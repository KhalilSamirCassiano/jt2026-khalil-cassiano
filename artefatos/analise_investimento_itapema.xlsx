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954ba6a4e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b4b9fca301247b1"/>
    <x:sheet xmlns:r="http://schemas.openxmlformats.org/officeDocument/2006/relationships" name="Premissas" sheetId="2" r:id="Re37bdb0dac674e7a"/>
    <x:sheet xmlns:r="http://schemas.openxmlformats.org/officeDocument/2006/relationships" name="Perfil e Local" sheetId="3" r:id="Rde48b3a832c142fc"/>
    <x:sheet xmlns:r="http://schemas.openxmlformats.org/officeDocument/2006/relationships" name="Drivers" sheetId="4" r:id="R2914fd93c6954965"/>
    <x:sheet xmlns:r="http://schemas.openxmlformats.org/officeDocument/2006/relationships" name="Retorno" sheetId="5" r:id="R2dd98dba094045a6"/>
    <x:sheet xmlns:r="http://schemas.openxmlformats.org/officeDocument/2006/relationships" name="Tese Compactos" sheetId="6" r:id="R7e4ab32544a4493a"/>
    <x:sheet xmlns:r="http://schemas.openxmlformats.org/officeDocument/2006/relationships" name="Qualidade" sheetId="7" r:id="Re5e60364ce0a42cb"/>
    <x:sheet xmlns:r="http://schemas.openxmlformats.org/officeDocument/2006/relationships" name="Fontes" sheetId="8" r:id="R16be1e0dbbb74e99"/>
    <x:sheet xmlns:r="http://schemas.openxmlformats.org/officeDocument/2006/relationships" name="Base Airbnb" sheetId="9" r:id="Rd733aba21c664080"/>
  </x:sheets>
</x:workbook>
</file>

<file path=xl/comments1.xml><?xml version="1.0" encoding="utf-8"?>
<x:comments xmlns:x="http://schemas.openxmlformats.org/spreadsheetml/2006/main">
  <x:authors>
    <x:author>tc={3D4B42F1-A1AE-31F4-76B6-576CB51A4F11}</x:author>
    <x:author>tc={E5BE76FD-00B7-E3F8-789E-C8396BE92885}</x:author>
    <x:author>tc={74CAF1C4-E3EC-059E-FBD9-772132C1B5E6}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Haircut para anualizar o período Jan–Abr; não é um dado observado.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Reconhece que noites ausentes podem ser bloqueios, não reservas.</x:t>
        </x:r>
      </x:text>
    </x:comment>
    <x:comment ref="B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Banco Central do Brasil, decisão Copom de 05/08/2026.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;[Red](0.0%);-"/>
    <x:numFmt numFmtId="201" formatCode="#,##0"/>
    <x:numFmt numFmtId="202" formatCode="0.0%"/>
    <x:numFmt numFmtId="203" formatCode="&quot;R$&quot;#,##0"/>
    <x:numFmt numFmtId="204" formatCode="0.000"/>
    <x:numFmt numFmtId="205" formatCode="0.00"/>
    <x:numFmt numFmtId="206" formatCode="&quot;R$&quot;#,##0;[Red](&quot;R$&quot;#,##0);-"/>
    <x:numFmt numFmtId="207" formatCode="0.0"/>
    <x:numFmt numFmtId="208" formatCode="0.00%"/>
    <x:numFmt numFmtId="209" formatCode="#,##0;[Red](#,##0);-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A5A78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0E1B33"/>
      <x:name val="Carlito"/>
    </x:font>
    <x:font>
      <x:sz val="9"/>
      <x:color rgb="FF0000FF"/>
      <x:name val="Carlito"/>
    </x:font>
    <x:font>
      <x:i/>
      <x:sz val="9"/>
      <x:color rgb="FF4A5A78"/>
      <x:name val="Carlito"/>
    </x:font>
    <x:font>
      <x:sz val="9"/>
      <x:color rgb="FF008000"/>
      <x:name val="Carlito"/>
    </x:font>
    <x:font>
      <x:sz val="9"/>
      <x:color rgb="FF000000"/>
      <x:name val="Carlito"/>
    </x:font>
    <x:font>
      <x:b/>
      <x:sz val="9"/>
      <x:color rgb="FFFC6058"/>
      <x:name val="Carlito"/>
    </x:font>
    <x:font>
      <x:b/>
      <x:sz val="8"/>
      <x:color rgb="FFFFFFFF"/>
      <x:name val="Carlito"/>
    </x:font>
    <x:font>
      <x:sz val="8"/>
      <x:color rgb="FF008000"/>
      <x:name val="Carlito"/>
    </x:font>
    <x:font>
      <x:b/>
      <x:sz val="9"/>
      <x:color rgb="FFFFFFFF"/>
      <x:name val="Carlito"/>
    </x:font>
    <x:font>
      <x:sz val="11"/>
      <x:color rgb="FF0E1B33"/>
      <x:name val="Carlito"/>
    </x:font>
    <x:font>
      <x:b/>
      <x:sz val="11"/>
      <x:color rgb="FF00143D"/>
      <x:name val="Carlito"/>
    </x:font>
    <x:font>
      <x:b/>
      <x:sz val="12"/>
      <x:color rgb="FFFC605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143D"/>
      </x:patternFill>
    </x:fill>
    <x:fill>
      <x:patternFill patternType="solid">
        <x:fgColor rgb="FFEAF0FF"/>
      </x:patternFill>
    </x:fill>
    <x:fill>
      <x:patternFill patternType="solid">
        <x:fgColor rgb="FF0055FF"/>
      </x:patternFill>
    </x:fill>
    <x:fill>
      <x:patternFill patternType="solid">
        <x:fgColor rgb="FFFFF3B0"/>
      </x:patternFill>
    </x:fill>
    <x:fill>
      <x:patternFill patternType="solid">
        <x:fgColor rgb="FFF4F7FC"/>
      </x:patternFill>
    </x:fill>
    <x:fill>
      <x:patternFill patternType="solid">
        <x:fgColor rgb="FFFDECEC"/>
      </x:patternFill>
    </x:fill>
  </x:fills>
  <x:borders count="13">
    <x:border/>
    <x:border>
      <x:right style="thin">
        <x:color rgb="FFB7C6E2"/>
      </x:right>
    </x:border>
    <x:border>
      <x:left style="thin">
        <x:color rgb="FFB7C6E2"/>
      </x:left>
      <x:right style="thin">
        <x:color rgb="FFB7C6E2"/>
      </x:right>
    </x:border>
    <x:border>
      <x:left style="thin">
        <x:color rgb="FFB7C6E2"/>
      </x:left>
    </x:border>
    <x:border>
      <x:bottom style="thin">
        <x:color rgb="FFDCE3EF"/>
      </x:bottom>
    </x:border>
    <x:border>
      <x:top style="thin">
        <x:color rgb="FFDCE3EF"/>
      </x:top>
      <x:bottom style="thin">
        <x:color rgb="FFDCE3EF"/>
      </x:bottom>
    </x:border>
    <x:border>
      <x:top style="thin">
        <x:color rgb="FFDCE3EF"/>
      </x:top>
    </x:border>
    <x:border>
      <x:left style="thin">
        <x:color rgb="FFDCE3EF"/>
      </x:left>
      <x:top style="thin">
        <x:color rgb="FFDCE3EF"/>
      </x:top>
    </x:border>
    <x:border>
      <x:right style="thin">
        <x:color rgb="FFDCE3EF"/>
      </x:right>
      <x:top style="thin">
        <x:color rgb="FFDCE3EF"/>
      </x:top>
    </x:border>
    <x:border>
      <x:left style="thin">
        <x:color rgb="FFDCE3EF"/>
      </x:left>
    </x:border>
    <x:border>
      <x:right style="thin">
        <x:color rgb="FFDCE3EF"/>
      </x:right>
    </x:border>
    <x:border>
      <x:left style="thin">
        <x:color rgb="FFDCE3EF"/>
      </x:left>
      <x:bottom style="thin">
        <x:color rgb="FFDCE3EF"/>
      </x:bottom>
    </x:border>
    <x:border>
      <x:right style="thin">
        <x:color rgb="FFDCE3EF"/>
      </x:right>
      <x:bottom style="thin">
        <x:color rgb="FFDCE3EF"/>
      </x:bottom>
    </x:border>
  </x:borders>
  <x:cellStyleXfs count="1">
    <x:xf numFmtId="0" fontId="0" fillId="0" borderId="0"/>
  </x:cellStyleXfs>
  <x:cellXfs count="2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1" fontId="5" fillId="3" borderId="4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3" fontId="5" fillId="3" borderId="5" xfId="0" applyNumberFormat="1" applyFont="1" applyFill="1" applyBorder="1" applyAlignment="1">
      <x:alignment vertical="center"/>
    </x:xf>
    <x:xf numFmtId="201" fontId="6" fillId="3" borderId="4" xfId="0" applyNumberFormat="1" applyFont="1" applyFill="1" applyBorder="1" applyAlignment="1">
      <x:alignment vertical="center"/>
    </x:xf>
    <x:xf numFmtId="202" fontId="6" fillId="3" borderId="5" xfId="0" applyNumberFormat="1" applyFont="1" applyFill="1" applyBorder="1" applyAlignment="1">
      <x:alignment vertical="center"/>
    </x:xf>
    <x:xf numFmtId="203" fontId="6" fillId="3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6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4" xfId="0" applyNumberFormat="1" applyFont="1" applyFill="1" applyBorder="1"/>
    <x:xf numFmtId="0" fontId="7" fillId="5" borderId="12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203" fontId="8" fillId="0" borderId="4" xfId="0" applyNumberFormat="1" applyFont="1" applyFill="1" applyBorder="1" applyAlignment="1">
      <x:alignment vertical="center"/>
    </x:xf>
    <x:xf numFmtId="203" fontId="8" fillId="0" borderId="5" xfId="0" applyNumberFormat="1" applyFont="1" applyFill="1" applyBorder="1" applyAlignment="1">
      <x:alignment vertical="center"/>
    </x:xf>
    <x:xf numFmtId="203" fontId="8" fillId="0" borderId="6" xfId="0" applyNumberFormat="1" applyFont="1" applyFill="1" applyBorder="1" applyAlignment="1">
      <x:alignment vertical="center"/>
    </x:xf>
    <x:xf numFmtId="202" fontId="8" fillId="0" borderId="4" xfId="0" applyNumberFormat="1" applyFont="1" applyFill="1" applyBorder="1" applyAlignment="1">
      <x:alignment vertical="center"/>
    </x:xf>
    <x:xf numFmtId="202" fontId="8" fillId="0" borderId="5" xfId="0" applyNumberFormat="1" applyFont="1" applyFill="1" applyBorder="1" applyAlignment="1">
      <x:alignment vertical="center"/>
    </x:xf>
    <x:xf numFmtId="202" fontId="8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4" fontId="8" fillId="0" borderId="4" xfId="0" applyNumberFormat="1" applyFont="1" applyFill="1" applyBorder="1" applyAlignment="1">
      <x:alignment vertical="center"/>
    </x:xf>
    <x:xf numFmtId="204" fontId="8" fillId="0" borderId="5" xfId="0" applyNumberFormat="1" applyFont="1" applyFill="1" applyBorder="1" applyAlignment="1">
      <x:alignment vertical="center"/>
    </x:xf>
    <x:xf numFmtId="204" fontId="8" fillId="0" borderId="6" xfId="0" applyNumberFormat="1" applyFont="1" applyFill="1" applyBorder="1" applyAlignment="1">
      <x:alignment vertical="center"/>
    </x:xf>
    <x:xf numFmtId="205" fontId="8" fillId="0" borderId="4" xfId="0" applyNumberFormat="1" applyFont="1" applyFill="1" applyBorder="1" applyAlignment="1">
      <x:alignment vertical="center"/>
    </x:xf>
    <x:xf numFmtId="205" fontId="8" fillId="0" borderId="5" xfId="0" applyNumberFormat="1" applyFont="1" applyFill="1" applyBorder="1" applyAlignment="1">
      <x:alignment vertical="center"/>
    </x:xf>
    <x:xf numFmtId="205" fontId="8" fillId="0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6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4" xfId="0" applyNumberFormat="1" applyFont="1" applyFill="1" applyBorder="1"/>
    <x:xf numFmtId="0" fontId="7" fillId="6" borderId="12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206" fontId="8" fillId="0" borderId="4" xfId="0" applyNumberFormat="1" applyFont="1" applyFill="1" applyBorder="1" applyAlignment="1">
      <x:alignment vertical="center"/>
    </x:xf>
    <x:xf numFmtId="206" fontId="8" fillId="0" borderId="5" xfId="0" applyNumberFormat="1" applyFont="1" applyFill="1" applyBorder="1" applyAlignment="1">
      <x:alignment vertical="center"/>
    </x:xf>
    <x:xf numFmtId="206" fontId="8" fillId="0" borderId="6" xfId="0" applyNumberFormat="1" applyFont="1" applyFill="1" applyBorder="1" applyAlignment="1">
      <x:alignment vertical="center"/>
    </x:xf>
    <x:xf numFmtId="201" fontId="8" fillId="0" borderId="4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7" fontId="8" fillId="0" borderId="4" xfId="0" applyNumberFormat="1" applyFont="1" applyFill="1" applyBorder="1" applyAlignment="1">
      <x:alignment vertical="center"/>
    </x:xf>
    <x:xf numFmtId="207" fontId="8" fillId="0" borderId="5" xfId="0" applyNumberFormat="1" applyFont="1" applyFill="1" applyBorder="1" applyAlignment="1">
      <x:alignment vertical="center"/>
    </x:xf>
    <x:xf numFmtId="207" fontId="8" fillId="0" borderId="6" xfId="0" applyNumberFormat="1" applyFont="1" applyFill="1" applyBorder="1" applyAlignment="1">
      <x:alignment vertical="center"/>
    </x:xf>
    <x:xf numFmtId="206" fontId="9" fillId="0" borderId="4" xfId="0" applyNumberFormat="1" applyFont="1" applyFill="1" applyBorder="1" applyAlignment="1">
      <x:alignment vertical="center"/>
    </x:xf>
    <x:xf numFmtId="202" fontId="9" fillId="0" borderId="4" xfId="0" applyNumberFormat="1" applyFont="1" applyFill="1" applyBorder="1" applyAlignment="1">
      <x:alignment vertical="center"/>
    </x:xf>
    <x:xf numFmtId="207" fontId="9" fillId="0" borderId="4" xfId="0" applyNumberFormat="1" applyFont="1" applyFill="1" applyBorder="1" applyAlignment="1">
      <x:alignment vertical="center"/>
    </x:xf>
    <x:xf numFmtId="206" fontId="9" fillId="0" borderId="5" xfId="0" applyNumberFormat="1" applyFont="1" applyFill="1" applyBorder="1" applyAlignment="1">
      <x:alignment vertical="center"/>
    </x:xf>
    <x:xf numFmtId="202" fontId="9" fillId="0" borderId="5" xfId="0" applyNumberFormat="1" applyFont="1" applyFill="1" applyBorder="1" applyAlignment="1">
      <x:alignment vertical="center"/>
    </x:xf>
    <x:xf numFmtId="207" fontId="9" fillId="0" borderId="5" xfId="0" applyNumberFormat="1" applyFont="1" applyFill="1" applyBorder="1" applyAlignment="1">
      <x:alignment vertical="center"/>
    </x:xf>
    <x:xf numFmtId="206" fontId="9" fillId="0" borderId="6" xfId="0" applyNumberFormat="1" applyFont="1" applyFill="1" applyBorder="1" applyAlignment="1">
      <x:alignment vertical="center"/>
    </x:xf>
    <x:xf numFmtId="202" fontId="9" fillId="0" borderId="6" xfId="0" applyNumberFormat="1" applyFont="1" applyFill="1" applyBorder="1" applyAlignment="1">
      <x:alignment vertical="center"/>
    </x:xf>
    <x:xf numFmtId="207" fontId="9" fillId="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7" xfId="0" applyNumberFormat="1" applyFont="1" applyFill="1" applyBorder="1"/>
    <x:xf numFmtId="0" fontId="7" fillId="7" borderId="6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4" xfId="0" applyNumberFormat="1" applyFont="1" applyFill="1" applyBorder="1"/>
    <x:xf numFmtId="0" fontId="7" fillId="7" borderId="12" xfId="0" applyNumberFormat="1" applyFont="1" applyFill="1" applyBorder="1"/>
    <x:xf numFmtId="0" fontId="7" fillId="7" borderId="7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208" fontId="8" fillId="0" borderId="4" xfId="0" applyNumberFormat="1" applyFont="1" applyFill="1" applyBorder="1" applyAlignment="1">
      <x:alignment vertical="center"/>
    </x:xf>
    <x:xf numFmtId="208" fontId="8" fillId="0" borderId="5" xfId="0" applyNumberFormat="1" applyFont="1" applyFill="1" applyBorder="1" applyAlignment="1">
      <x:alignment vertical="center"/>
    </x:xf>
    <x:xf numFmtId="208" fontId="8" fillId="0" borderId="6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202" fontId="10" fillId="0" borderId="6" xfId="0" applyNumberFormat="1" applyFont="1" applyFill="1" applyBorder="1" applyAlignment="1">
      <x:alignment vertical="center"/>
    </x:xf>
    <x:xf numFmtId="209" fontId="5" fillId="0" borderId="4" xfId="0" applyNumberFormat="1" applyFont="1" applyFill="1" applyBorder="1" applyAlignment="1">
      <x:alignment vertical="center"/>
    </x:xf>
    <x:xf numFmtId="209" fontId="5" fillId="0" borderId="5" xfId="0" applyNumberFormat="1" applyFont="1" applyFill="1" applyBorder="1" applyAlignment="1">
      <x:alignment vertical="center"/>
    </x:xf>
    <x:xf numFmtId="209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2" fillId="0" borderId="4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5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6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202" fontId="12" fillId="0" borderId="4" xfId="0" applyNumberFormat="1" applyFont="1" applyFill="1" applyBorder="1" applyAlignment="1">
      <x:alignment vertical="center"/>
    </x:xf>
    <x:xf numFmtId="202" fontId="12" fillId="0" borderId="5" xfId="0" applyNumberFormat="1" applyFont="1" applyFill="1" applyBorder="1" applyAlignment="1">
      <x:alignment vertical="center"/>
    </x:xf>
    <x:xf numFmtId="202" fontId="12" fillId="0" borderId="6" xfId="0" applyNumberFormat="1" applyFont="1" applyFill="1" applyBorder="1" applyAlignment="1">
      <x:alignment vertical="center"/>
    </x:xf>
    <x:xf numFmtId="203" fontId="12" fillId="0" borderId="4" xfId="0" applyNumberFormat="1" applyFont="1" applyFill="1" applyBorder="1" applyAlignment="1">
      <x:alignment vertical="center"/>
    </x:xf>
    <x:xf numFmtId="203" fontId="12" fillId="0" borderId="5" xfId="0" applyNumberFormat="1" applyFont="1" applyFill="1" applyBorder="1" applyAlignment="1">
      <x:alignment vertical="center"/>
    </x:xf>
    <x:xf numFmtId="203" fontId="12" fillId="0" borderId="6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14" fillId="6" borderId="4" xfId="0" applyNumberFormat="1" applyFont="1" applyFill="1" applyBorder="1" applyAlignment="1">
      <x:alignment vertical="center"/>
    </x:xf>
    <x:xf numFmtId="0" fontId="14" fillId="6" borderId="5" xfId="0" applyNumberFormat="1" applyFont="1" applyFill="1" applyBorder="1" applyAlignment="1">
      <x:alignment vertical="center"/>
    </x:xf>
    <x:xf numFmtId="0" fontId="14" fillId="6" borderId="6" xfId="0" applyNumberFormat="1" applyFont="1" applyFill="1" applyBorder="1" applyAlignment="1">
      <x:alignment vertical="center"/>
    </x:xf>
    <x:xf numFmtId="0" fontId="15" fillId="6" borderId="4" xfId="0" applyNumberFormat="1" applyFont="1" applyFill="1" applyBorder="1" applyAlignment="1">
      <x:alignment vertical="center"/>
    </x:xf>
    <x:xf numFmtId="0" fontId="15" fillId="6" borderId="5" xfId="0" applyNumberFormat="1" applyFont="1" applyFill="1" applyBorder="1" applyAlignment="1">
      <x:alignment vertical="center"/>
    </x:xf>
    <x:xf numFmtId="0" fontId="15" fillId="6" borderId="6" xfId="0" applyNumberFormat="1" applyFont="1" applyFill="1" applyBorder="1" applyAlignment="1">
      <x:alignment vertical="center"/>
    </x:xf>
    <x:xf numFmtId="0" fontId="16" fillId="6" borderId="4" xfId="0" applyNumberFormat="1" applyFont="1" applyFill="1" applyBorder="1" applyAlignment="1">
      <x:alignment vertical="center"/>
    </x:xf>
    <x:xf numFmtId="0" fontId="16" fillId="6" borderId="5" xfId="0" applyNumberFormat="1" applyFont="1" applyFill="1" applyBorder="1" applyAlignment="1">
      <x:alignment vertical="center"/>
    </x:xf>
    <x:xf numFmtId="0" fontId="16" fillId="6" borderId="6" xfId="0" applyNumberFormat="1" applyFont="1" applyFill="1" applyBorder="1" applyAlignment="1">
      <x:alignment vertical="center"/>
    </x:xf>
    <x:xf numFmtId="0" fontId="16" fillId="6" borderId="4" xfId="0" applyNumberFormat="1" applyFont="1" applyFill="1" applyBorder="1" applyAlignment="1">
      <x:alignment vertical="center" wrapText="1"/>
    </x:xf>
    <x:xf numFmtId="0" fontId="16" fillId="6" borderId="5" xfId="0" applyNumberFormat="1" applyFont="1" applyFill="1" applyBorder="1" applyAlignment="1">
      <x:alignment vertical="center" wrapText="1"/>
    </x:xf>
    <x:xf numFmtId="0" fontId="16" fillId="6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8F5E9"/>
        </x:patternFill>
      </x:fill>
    </x:dxf>
    <x:dxf>
      <x:font>
        <x:b/>
        <x:color rgb="FF9C6500"/>
      </x:font>
      <x:fill>
        <x:patternFill patternType="solid">
          <x:bgColor rgb="FFFFF3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9988e38e14ac8" /><Relationship Type="http://schemas.openxmlformats.org/officeDocument/2006/relationships/theme" Target="/xl/theme/theme1.xml" Id="Re5ac6134d403420f" /><Relationship Type="http://schemas.microsoft.com/office/2022/11/relationships/FeaturePropertyBag" Target="/xl/featurePropertyBag/featurePropertyBag.xml" Id="R5b824dff0ae844a6" /><Relationship Type="http://schemas.openxmlformats.org/officeDocument/2006/relationships/sharedStrings" Target="/xl/sharedStrings.xml" Id="Rc51e5b57bb654fb9" /><Relationship Type="http://schemas.openxmlformats.org/officeDocument/2006/relationships/worksheet" Target="/xl/worksheets/sheet1.xml" Id="R8b4b9fca301247b1" /><Relationship Type="http://schemas.openxmlformats.org/officeDocument/2006/relationships/worksheet" Target="/xl/worksheets/sheet2.xml" Id="Re37bdb0dac674e7a" /><Relationship Type="http://schemas.openxmlformats.org/officeDocument/2006/relationships/worksheet" Target="/xl/worksheets/sheet3.xml" Id="Rde48b3a832c142fc" /><Relationship Type="http://schemas.openxmlformats.org/officeDocument/2006/relationships/worksheet" Target="/xl/worksheets/sheet4.xml" Id="R2914fd93c6954965" /><Relationship Type="http://schemas.openxmlformats.org/officeDocument/2006/relationships/worksheet" Target="/xl/worksheets/sheet5.xml" Id="R2dd98dba094045a6" /><Relationship Type="http://schemas.openxmlformats.org/officeDocument/2006/relationships/worksheet" Target="/xl/worksheets/sheet6.xml" Id="R7e4ab32544a4493a" /><Relationship Type="http://schemas.openxmlformats.org/officeDocument/2006/relationships/worksheet" Target="/xl/worksheets/sheet7.xml" Id="Re5e60364ce0a42cb" /><Relationship Type="http://schemas.openxmlformats.org/officeDocument/2006/relationships/worksheet" Target="/xl/worksheets/sheet8.xml" Id="R16be1e0dbbb74e99" /><Relationship Type="http://schemas.openxmlformats.org/officeDocument/2006/relationships/worksheet" Target="/xl/worksheets/sheet9.xml" Id="Rd733aba21c664080" /><Relationship Type="http://schemas.microsoft.com/office/2017/10/relationships/person" Target="/xl/persons/person.xml" Id="Rf748d5b83e6b45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3be2966c3f4cbf" /><Relationship Type="http://schemas.openxmlformats.org/officeDocument/2006/relationships/chart" Target="/xl/drawings/charts/chart2.xml" Id="Rba9cdcf00bd541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bd12dbdcf8e4f27" /><Relationship Type="http://schemas.openxmlformats.org/officeDocument/2006/relationships/chart" Target="/xl/drawings/charts/chart4.xml" Id="R98341f04b6cf4c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Meia Praia lidera receita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Receita 90d</c:v>
          </c:tx>
          <c:cat>
            <c:strRef>
              <c:f>'Resumo'!$A$30:$A$32</c:f>
              <c:strCache>
                <c:ptCount val="0"/>
              </c:strCache>
            </c:strRef>
          </c:cat>
          <c:val>
            <c:numRef>
              <c:f>'Resumo'!$B$30:$B$32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cresce com quartos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Receita 90d</c:v>
          </c:tx>
          <c:cat>
            <c:strRef>
              <c:f>'Resumo'!$F$30:$F$33</c:f>
              <c:strCache>
                <c:ptCount val="0"/>
              </c:strCache>
            </c:strRef>
          </c:cat>
          <c:val>
            <c:numRef>
              <c:f>'Resumo'!$G$30:$G$33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proxy em 90 dias por número de quartos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</c:v>
          </c:tx>
          <c:cat>
            <c:strRef>
              <c:f>'Perfil e Local'!$A$6:$A$9</c:f>
              <c:strCache>
                <c:ptCount val="0"/>
              </c:strCache>
            </c:strRef>
          </c:cat>
          <c:val>
            <c:numRef>
              <c:f>'Perfil e Local'!$B$6:$B$9</c:f>
              <c:numCache>
                <c:formatCode>"R$"#,##0</c:formatCode>
                <c:ptCount val="0"/>
              </c:numCache>
            </c:numRef>
          </c:val>
        </c:ser>
        <c:ser>
          <c:idx val="1"/>
          <c:order val="1"/>
          <c:tx>
            <c:v>Receita proxy 90d</c:v>
          </c:tx>
          <c:cat>
            <c:strRef>
              <c:f>'Perfil e Local'!$A$6:$A$9</c:f>
              <c:strCache>
                <c:ptCount val="0"/>
              </c:strCache>
            </c:strRef>
          </c:cat>
          <c:val>
            <c:numRef>
              <c:f>'Perfil e Local'!$C$6:$C$9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Meia Praia lidera a receita mediana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</c:v>
          </c:tx>
          <c:cat>
            <c:strRef>
              <c:f>'Perfil e Local'!$A$14:$A$16</c:f>
              <c:strCache>
                <c:ptCount val="0"/>
              </c:strCache>
            </c:strRef>
          </c:cat>
          <c:val>
            <c:numRef>
              <c:f>'Perfil e Local'!$B$14:$B$16</c:f>
              <c:numCache>
                <c:formatCode>"R$"#,##0</c:formatCode>
                <c:ptCount val="0"/>
              </c:numCache>
            </c:numRef>
          </c:val>
        </c:ser>
        <c:ser>
          <c:idx val="1"/>
          <c:order val="1"/>
          <c:tx>
            <c:v>Receita proxy 90d</c:v>
          </c:tx>
          <c:cat>
            <c:strRef>
              <c:f>'Perfil e Local'!$A$14:$A$16</c:f>
              <c:strCache>
                <c:ptCount val="0"/>
              </c:strCache>
            </c:strRef>
          </c:cat>
          <c:val>
            <c:numRef>
              <c:f>'Perfil e Local'!$C$14:$C$16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3be2966c3f4cbf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9cdcf00bd5419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d12dbdcf8e4f27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341f04b6cf4c4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Khalil Cassiano" id="{87B4A93B-B0A1-4172-B6C9-597309EA004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26T15:05:08.801" personId="{87B4A93B-B0A1-4172-B6C9-597309EA0041}" id="{3D4B42F1-A1AE-31F4-76B6-576CB51A4F11}">
    <xltc:text>Haircut para anualizar o período Jan–Abr; não é um dado observado.</xltc:text>
  </xltc:threadedComment>
  <xltc:threadedComment ref="B11" dT="2026-08-26T15:05:08.802" personId="{87B4A93B-B0A1-4172-B6C9-597309EA0041}" id="{E5BE76FD-00B7-E3F8-789E-C8396BE92885}">
    <xltc:text>Reconhece que noites ausentes podem ser bloqueios, não reservas.</xltc:text>
  </xltc:threadedComment>
  <xltc:threadedComment ref="B18" dT="2026-08-26T15:05:08.802" personId="{87B4A93B-B0A1-4172-B6C9-597309EA0041}" id="{74CAF1C4-E3EC-059E-FBD9-772132C1B5E6}">
    <xltc:text>Fonte: Banco Central do Brasil, decisão Copom de 05/08/2026.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958dce3e5748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d8a89db238b46ac" /><Relationship Type="http://schemas.openxmlformats.org/officeDocument/2006/relationships/vmlDrawing" Target="/xl/drawings/vmldrawing.vml" Id="Rb9469589faca42cb" /><Relationship Type="http://schemas.microsoft.com/office/2017/10/relationships/threadedComment" Target="/xl/threadedcomments/threadedcomment.xml" Id="R2bf3567b6ce74e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58c6c9fd78a44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4" hidden="0" customWidth="1"/>
    <x:col min="4" max="4" width="43" hidden="0" customWidth="1"/>
    <x:col min="5" max="5" width="17" hidden="0" customWidth="1"/>
    <x:col min="6" max="6" width="16" hidden="0" customWidth="1"/>
    <x:col min="7" max="7" width="17" hidden="0" customWidth="1"/>
    <x:col min="8" max="8" width="14" hidden="0" customWidth="1"/>
    <x:col min="9" max="9" width="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4" t="str">
        <x:v>Itapema — recomendação de investimento short stay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7" t="str">
        <x:v>Decisão baseada em Airbnb + VivaReal; dados operacionais de janeiro de 2025.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2" customHeight="1">
      <x:c r="A4" s="10" t="str">
        <x:v>Decisão executiva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30" customHeight="1">
      <x:c r="A5" s="22" t="str">
        <x:v>Pergunta</x:v>
      </x:c>
      <x:c r="B5" s="23" t="str">
        <x:v>Resposta</x:v>
      </x:c>
      <x:c r="C5" s="23" t="str">
        <x:v>KPI</x:v>
      </x:c>
      <x:c r="D5" s="24" t="str">
        <x:v>Leitura</x:v>
      </x:c>
    </x:row>
    <x:row r="6">
      <x:c r="A6" s="208" t="str">
        <x:v>Local de maior receita</x:v>
      </x:c>
      <x:c r="B6" s="211" t="str">
        <x:v>Meia Praia</x:v>
      </x:c>
      <x:c r="C6" s="217" t="str">
        <x:v>R$ 16,1 mil</x:v>
      </x:c>
      <x:c r="D6" s="208" t="str">
        <x:v>mediana proxy 90d — amostra estrita</x:v>
      </x:c>
    </x:row>
    <x:row r="7">
      <x:c r="A7" s="209" t="str">
        <x:v>Maior receita por tipologia</x:v>
      </x:c>
      <x:c r="B7" s="212" t="str">
        <x:v>Apartamento, 4 quartos</x:v>
      </x:c>
      <x:c r="C7" s="218" t="str">
        <x:v>R$ 27,1 mil</x:v>
      </x:c>
      <x:c r="D7" s="209" t="str">
        <x:v>90d, mas yield mediano baixo</x:v>
      </x:c>
    </x:row>
    <x:row r="8">
      <x:c r="A8" s="209" t="str">
        <x:v>Melhor eficiência com evidência</x:v>
      </x:c>
      <x:c r="B8" s="212" t="str">
        <x:v>Apartamento, 2 quartos — Morretes</x:v>
      </x:c>
      <x:c r="C8" s="218" t="str">
        <x:v>1,6%</x:v>
      </x:c>
      <x:c r="D8" s="209" t="str">
        <x:v>yield líquido base no preço mediano</x:v>
      </x:c>
    </x:row>
    <x:row r="9" ht="30" customHeight="1">
      <x:c r="A9" s="209" t="str">
        <x:v>Tese compactos no Centro</x:v>
      </x:c>
      <x:c r="B9" s="212" t="str">
        <x:v>NÃO SUSTENTADA</x:v>
      </x:c>
      <x:c r="C9" s="218" t="str">
        <x:v>98,7%</x:v>
      </x:c>
      <x:c r="D9" s="209" t="str">
        <x:v>Morretes 2Q supera Centro 1Q no bootstrap; studios no Centro: n=0</x:v>
      </x:c>
    </x:row>
    <x:row r="10" ht="30" customHeight="1">
      <x:c r="A10" s="210" t="str">
        <x:v>Posição</x:v>
      </x:c>
      <x:c r="B10" s="213" t="str">
        <x:v>NÃO COMPRAR no preço mediano</x:v>
      </x:c>
      <x:c r="C10" s="219" t="str">
        <x:v>Comprar só com desconto</x:v>
      </x:c>
      <x:c r="D10" s="210" t="str">
        <x:v>e validação do calendário real</x:v>
      </x:c>
    </x:row>
    <x:row r="12" ht="22" customHeight="1">
      <x:c r="A12" s="10" t="str">
        <x:v>Por que essa posição</x:v>
      </x:c>
      <x:c r="B12" s="10"/>
      <x:c r="C12" s="10"/>
      <x:c r="D12" s="10"/>
      <x:c r="E12" s="10"/>
      <x:c r="F12" s="10"/>
      <x:c r="G12" s="10"/>
    </x:row>
    <x:row r="13" ht="30" customHeight="1">
      <x:c r="A13" s="22" t="str">
        <x:v>Tema</x:v>
      </x:c>
      <x:c r="B13" s="24" t="str">
        <x:v>Conclusão</x:v>
      </x:c>
    </x:row>
    <x:row r="14">
      <x:c r="A14" s="29" t="str">
        <x:v>Receita</x:v>
      </x:c>
      <x:c r="B14" s="176" t="str">
        <x:v>Meia Praia supera Centro em ~48% na amostra ampla e mantém liderança nas 3 capturas.</x:v>
      </x:c>
    </x:row>
    <x:row r="15">
      <x:c r="A15" s="30" t="str">
        <x:v>Perfil</x:v>
      </x:c>
      <x:c r="B15" s="177" t="str">
        <x:v>4 quartos faturam mais, mas o preço mediano em Meia Praia destrói a eficiência de capital.</x:v>
      </x:c>
    </x:row>
    <x:row r="16">
      <x:c r="A16" s="30" t="str">
        <x:v>Drivers</x:v>
      </x:c>
      <x:c r="B16" s="177" t="str">
        <x:v>Praia, Superhost, capacidade e banheiros têm associação positiva; qualidade operacional importa.</x:v>
      </x:c>
    </x:row>
    <x:row r="17">
      <x:c r="A17" s="30" t="str">
        <x:v>Retorno</x:v>
      </x:c>
      <x:c r="B17" s="177" t="str">
        <x:v>O melhor segmento com evidência alta rende ~1,6% líquido base no preço mediano anunciado.</x:v>
      </x:c>
    </x:row>
    <x:row r="18">
      <x:c r="A18" s="30" t="str">
        <x:v>Compra</x:v>
      </x:c>
      <x:c r="B18" s="177" t="str">
        <x:v>O candidato indicativo de R$458 mil chega a ~2,5% base e ~3,9% no cenário alto — ainda exige desconto.</x:v>
      </x:c>
    </x:row>
    <x:row r="19">
      <x:c r="A19" s="31" t="str">
        <x:v>Risco</x:v>
      </x:c>
      <x:c r="B19" s="178" t="str">
        <x:v>Preço é pedido, receita é proxy e a base tem apenas 3 capturas. Atualização é pré-condição.</x:v>
      </x:c>
    </x:row>
    <x:row r="22" ht="22" customHeight="1">
      <x:c r="A22" s="10" t="str">
        <x:v>Indicadores para decisão</x:v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 ht="30" customHeight="1">
      <x:c r="A23" s="22" t="str">
        <x:v>KPI</x:v>
      </x:c>
      <x:c r="B23" s="23" t="str">
        <x:v>Valor</x:v>
      </x:c>
      <x:c r="C23" s="23" t="str">
        <x:v>KPI</x:v>
      </x:c>
      <x:c r="D23" s="23" t="str">
        <x:v>Valor</x:v>
      </x:c>
      <x:c r="E23" s="23" t="str">
        <x:v>KPI</x:v>
      </x:c>
      <x:c r="F23" s="23" t="str">
        <x:v>Valor</x:v>
      </x:c>
      <x:c r="G23" s="23" t="str">
        <x:v>KPI</x:v>
      </x:c>
      <x:c r="H23" s="24" t="str">
        <x:v>Valor</x:v>
      </x:c>
      <x:c r="J23" s="64" t="str">
        <x:v>Conclusão de IC: a tese de compactos no Centro não é sustentada. Studios no Centro não têm amostra; para 1 quarto, Morretes 2Q vence em 98,7% das réplicas de yield. Priorizar 2 quartos e buscar preço abaixo do mercado; Meia Praia para receita, Morretes para eficiência.</x:v>
      </x:c>
      <x:c r="K23" s="65"/>
      <x:c r="L23" s="65"/>
      <x:c r="M23" s="65"/>
      <x:c r="N23" s="66"/>
    </x:row>
    <x:row r="24">
      <x:c r="A24" s="29" t="str">
        <x:v>Listings detalhes</x:v>
      </x:c>
      <x:c r="B24" s="35" t="n">
        <x:v>4441</x:v>
      </x:c>
      <x:c r="C24" s="29" t="str">
        <x:v>Listings com preço</x:v>
      </x:c>
      <x:c r="D24" s="35" t="n">
        <x:v>1005</x:v>
      </x:c>
      <x:c r="E24" s="29" t="str">
        <x:v>Captura usada</x:v>
      </x:c>
      <x:c r="F24" s="29" t="str">
        <x:v>20/01/2025</x:v>
      </x:c>
      <x:c r="G24" s="29" t="str">
        <x:v>Amostra estrita</x:v>
      </x:c>
      <x:c r="H24" s="29" t="n">
        <x:v>588</x:v>
      </x:c>
      <x:c r="J24" s="67"/>
      <x:c r="K24" s="68"/>
      <x:c r="L24" s="68"/>
      <x:c r="M24" s="68"/>
      <x:c r="N24" s="69"/>
    </x:row>
    <x:row r="25">
      <x:c r="A25" s="31" t="str">
        <x:v>Meia Praia 90d</x:v>
      </x:c>
      <x:c r="B25" s="220" t="n">
        <x:v>16131.32129</x:v>
      </x:c>
      <x:c r="C25" s="31" t="str">
        <x:v>Centro 90d</x:v>
      </x:c>
      <x:c r="D25" s="220" t="n">
        <x:v>10901.765632</x:v>
      </x:c>
      <x:c r="E25" s="31" t="str">
        <x:v>Diferença</x:v>
      </x:c>
      <x:c r="F25" s="38" t="n">
        <x:v>0.4796980447506285</x:v>
      </x:c>
      <x:c r="G25" s="38" t="str">
        <x:v>R² OOS</x:v>
      </x:c>
      <x:c r="H25" s="38" t="n">
        <x:v>0.1766577026617614</x:v>
      </x:c>
      <x:c r="J25" s="67"/>
      <x:c r="K25" s="68"/>
      <x:c r="L25" s="68"/>
      <x:c r="M25" s="68"/>
      <x:c r="N25" s="69"/>
    </x:row>
    <x:row r="26">
      <x:c r="J26" s="70"/>
      <x:c r="K26" s="71"/>
      <x:c r="L26" s="71"/>
      <x:c r="M26" s="71"/>
      <x:c r="N26" s="72"/>
    </x:row>
    <x:row r="28" ht="22" customHeight="1">
      <x:c r="A28" s="10" t="str">
        <x:v>Base dos gráficos</x:v>
      </x:c>
      <x:c r="B28" s="10"/>
      <x:c r="C28" s="10"/>
      <x:c r="D28" s="10"/>
    </x:row>
    <x:row r="29" ht="30" customHeight="1">
      <x:c r="A29" s="22" t="str">
        <x:v>Bairro</x:v>
      </x:c>
      <x:c r="B29" s="23" t="str">
        <x:v>Receita 90d</x:v>
      </x:c>
      <x:c r="C29" s="23" t="str">
        <x:v>N</x:v>
      </x:c>
      <x:c r="D29" s="24" t="str">
        <x:v>Ocupação</x:v>
      </x:c>
      <x:c r="F29" s="22" t="str">
        <x:v>Quartos</x:v>
      </x:c>
      <x:c r="G29" s="23" t="str">
        <x:v>Receita 90d</x:v>
      </x:c>
      <x:c r="H29" s="24" t="str">
        <x:v>N</x:v>
      </x:c>
    </x:row>
    <x:row r="30">
      <x:c r="A30" s="77" t="str">
        <x:v>Meia Praia</x:v>
      </x:c>
      <x:c r="B30" s="80" t="n">
        <x:v>16131.321289657</x:v>
      </x:c>
      <x:c r="C30" s="77" t="n">
        <x:v>350</x:v>
      </x:c>
      <x:c r="D30" s="83" t="n">
        <x:v>0.3111111111</x:v>
      </x:c>
      <x:c r="F30" s="77" t="n">
        <x:v>4</x:v>
      </x:c>
      <x:c r="G30" s="80" t="n">
        <x:v>27070.0834738506</x:v>
      </x:c>
      <x:c r="H30" s="77" t="n">
        <x:v>38</x:v>
      </x:c>
    </x:row>
    <x:row r="31">
      <x:c r="A31" s="78" t="str">
        <x:v>Morretes</x:v>
      </x:c>
      <x:c r="B31" s="81" t="n">
        <x:v>12324.3012281292</x:v>
      </x:c>
      <x:c r="C31" s="78" t="n">
        <x:v>52</x:v>
      </x:c>
      <x:c r="D31" s="84" t="n">
        <x:v>0.2944444444</x:v>
      </x:c>
      <x:c r="F31" s="78" t="n">
        <x:v>3</x:v>
      </x:c>
      <x:c r="G31" s="81" t="n">
        <x:v>16641.224091802</x:v>
      </x:c>
      <x:c r="H31" s="78" t="n">
        <x:v>241</x:v>
      </x:c>
    </x:row>
    <x:row r="32">
      <x:c r="A32" s="79" t="str">
        <x:v>Centro</x:v>
      </x:c>
      <x:c r="B32" s="82" t="n">
        <x:v>10901.7656318258</x:v>
      </x:c>
      <x:c r="C32" s="79" t="n">
        <x:v>147</x:v>
      </x:c>
      <x:c r="D32" s="85" t="n">
        <x:v>0.2555555556</x:v>
      </x:c>
      <x:c r="F32" s="78" t="n">
        <x:v>2</x:v>
      </x:c>
      <x:c r="G32" s="81" t="n">
        <x:v>12332.4855013339</x:v>
      </x:c>
      <x:c r="H32" s="78" t="n">
        <x:v>201</x:v>
      </x:c>
    </x:row>
    <x:row r="33">
      <x:c r="F33" s="79" t="n">
        <x:v>1</x:v>
      </x:c>
      <x:c r="G33" s="82" t="n">
        <x:v>9945.9238316925</x:v>
      </x:c>
      <x:c r="H33" s="79" t="n">
        <x:v>98</x:v>
      </x:c>
    </x:row>
  </x:sheetData>
  <x:mergeCells>
    <x:mergeCell ref="A1:N1"/>
    <x:mergeCell ref="A2:N2"/>
    <x:mergeCell ref="A4:N4"/>
    <x:mergeCell ref="A12:G12"/>
    <x:mergeCell ref="A22:N22"/>
    <x:mergeCell ref="A28:D28"/>
    <x:mergeCell ref="J23:N26"/>
  </x:mergeCells>
  <x:pageMargins left="0.7" right="0.7" top="0.75" bottom="0.75" header="0.3" footer="0.3"/>
  <x:drawing xmlns:r="http://schemas.openxmlformats.org/officeDocument/2006/relationships" r:id="Ra0958dce3e57487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34" hidden="0" customWidth="1"/>
  </x:cols>
  <x:sheetData>
    <x:row r="1" ht="34" customHeight="1">
      <x:c r="A1" s="4" t="str">
        <x:v>Premissas de underwriting</x:v>
      </x:c>
      <x:c r="B1" s="4"/>
      <x:c r="C1" s="4"/>
      <x:c r="D1" s="4"/>
      <x:c r="E1" s="4"/>
      <x:c r="F1" s="4"/>
    </x:row>
    <x:row r="2" ht="28" customHeight="1">
      <x:c r="A2" s="7" t="str">
        <x:v>Células azuis são editáveis; cálculos nas demais abas atualizam por fórmula.</x:v>
      </x:c>
      <x:c r="B2" s="7"/>
      <x:c r="C2" s="7"/>
      <x:c r="D2" s="7"/>
      <x:c r="E2" s="7"/>
      <x:c r="F2" s="7"/>
    </x:row>
    <x:row r="4" ht="22" customHeight="1">
      <x:c r="A4" s="10" t="str">
        <x:v>Definições e cenários</x:v>
      </x:c>
      <x:c r="B4" s="10"/>
      <x:c r="C4" s="10"/>
      <x:c r="D4" s="10"/>
      <x:c r="E4" s="10"/>
      <x:c r="F4" s="10"/>
    </x:row>
    <x:row r="5" ht="30" customHeight="1">
      <x:c r="A5" s="22" t="str">
        <x:v>Premissa</x:v>
      </x:c>
      <x:c r="B5" s="23" t="str">
        <x:v>Valor</x:v>
      </x:c>
      <x:c r="C5" s="23" t="str">
        <x:v>Unidade</x:v>
      </x:c>
      <x:c r="D5" s="23" t="str">
        <x:v>Origem</x:v>
      </x:c>
      <x:c r="E5" s="23" t="str">
        <x:v>Cenário/data</x:v>
      </x:c>
      <x:c r="F5" s="24" t="str">
        <x:v>Observação</x:v>
      </x:c>
    </x:row>
    <x:row r="6">
      <x:c r="A6" s="29" t="str">
        <x:v>Horizonte observado</x:v>
      </x:c>
      <x:c r="B6" s="42" t="n">
        <x:v>90</x:v>
      </x:c>
      <x:c r="C6" s="29" t="str">
        <x:v>dias</x:v>
      </x:c>
      <x:c r="D6" s="29" t="str">
        <x:v>Base Price_AV</x:v>
      </x:c>
      <x:c r="E6" s="29" t="str">
        <x:v>Jan–abr/2025</x:v>
      </x:c>
      <x:c r="F6" s="29" t="str">
        <x:v>Não é ano completo</x:v>
      </x:c>
    </x:row>
    <x:row r="7">
      <x:c r="A7" s="30" t="str">
        <x:v>Sazonalidade — baixo</x:v>
      </x:c>
      <x:c r="B7" s="43" t="n">
        <x:v>0.6</x:v>
      </x:c>
      <x:c r="C7" s="30" t="str">
        <x:v>% do run-rate</x:v>
      </x:c>
      <x:c r="D7" s="30" t="str">
        <x:v>Premissa</x:v>
      </x:c>
      <x:c r="E7" s="30" t="str">
        <x:v>Conservador</x:v>
      </x:c>
      <x:c r="F7" s="30" t="str">
        <x:v>Editável</x:v>
      </x:c>
    </x:row>
    <x:row r="8">
      <x:c r="A8" s="30" t="str">
        <x:v>Sazonalidade — base</x:v>
      </x:c>
      <x:c r="B8" s="43" t="n">
        <x:v>0.75</x:v>
      </x:c>
      <x:c r="C8" s="30" t="str">
        <x:v>% do run-rate</x:v>
      </x:c>
      <x:c r="D8" s="30" t="str">
        <x:v>Premissa</x:v>
      </x:c>
      <x:c r="E8" s="30" t="str">
        <x:v>Base</x:v>
      </x:c>
      <x:c r="F8" s="30" t="str">
        <x:v>Editável</x:v>
      </x:c>
    </x:row>
    <x:row r="9">
      <x:c r="A9" s="30" t="str">
        <x:v>Sazonalidade — alto</x:v>
      </x:c>
      <x:c r="B9" s="43" t="n">
        <x:v>0.9</x:v>
      </x:c>
      <x:c r="C9" s="30" t="str">
        <x:v>% do run-rate</x:v>
      </x:c>
      <x:c r="D9" s="30" t="str">
        <x:v>Premissa</x:v>
      </x:c>
      <x:c r="E9" s="30" t="str">
        <x:v>Otimista</x:v>
      </x:c>
      <x:c r="F9" s="30" t="str">
        <x:v>Editável</x:v>
      </x:c>
    </x:row>
    <x:row r="10">
      <x:c r="A10" s="30" t="str">
        <x:v>Indisponível que vira reserva — baixo</x:v>
      </x:c>
      <x:c r="B10" s="43" t="n">
        <x:v>0.7</x:v>
      </x:c>
      <x:c r="C10" s="30" t="str">
        <x:v>%</x:v>
      </x:c>
      <x:c r="D10" s="30" t="str">
        <x:v>Premissa</x:v>
      </x:c>
      <x:c r="E10" s="30" t="str">
        <x:v>Conservador</x:v>
      </x:c>
      <x:c r="F10" s="30" t="str">
        <x:v>Editável</x:v>
      </x:c>
    </x:row>
    <x:row r="11">
      <x:c r="A11" s="30" t="str">
        <x:v>Indisponível que vira reserva — base</x:v>
      </x:c>
      <x:c r="B11" s="43" t="n">
        <x:v>0.85</x:v>
      </x:c>
      <x:c r="C11" s="30" t="str">
        <x:v>%</x:v>
      </x:c>
      <x:c r="D11" s="30" t="str">
        <x:v>Premissa</x:v>
      </x:c>
      <x:c r="E11" s="30" t="str">
        <x:v>Base</x:v>
      </x:c>
      <x:c r="F11" s="30" t="str">
        <x:v>Editável</x:v>
      </x:c>
    </x:row>
    <x:row r="12">
      <x:c r="A12" s="30" t="str">
        <x:v>Indisponível que vira reserva — alto</x:v>
      </x:c>
      <x:c r="B12" s="43" t="n">
        <x:v>1</x:v>
      </x:c>
      <x:c r="C12" s="30" t="str">
        <x:v>%</x:v>
      </x:c>
      <x:c r="D12" s="30" t="str">
        <x:v>Premissa</x:v>
      </x:c>
      <x:c r="E12" s="30" t="str">
        <x:v>Otimista</x:v>
      </x:c>
      <x:c r="F12" s="30" t="str">
        <x:v>Editável</x:v>
      </x:c>
    </x:row>
    <x:row r="13">
      <x:c r="A13" s="30" t="str">
        <x:v>Custos variáveis totais</x:v>
      </x:c>
      <x:c r="B13" s="43" t="n">
        <x:v>0.33</x:v>
      </x:c>
      <x:c r="C13" s="30" t="str">
        <x:v>% receita</x:v>
      </x:c>
      <x:c r="D13" s="30" t="str">
        <x:v>Premissa</x:v>
      </x:c>
      <x:c r="E13" s="30" t="str">
        <x:v>Gestão, canais e operação</x:v>
      </x:c>
      <x:c r="F13" s="30" t="str">
        <x:v>Editável</x:v>
      </x:c>
    </x:row>
    <x:row r="14">
      <x:c r="A14" s="30" t="str">
        <x:v>Custos de aquisição</x:v>
      </x:c>
      <x:c r="B14" s="43" t="n">
        <x:v>0.05</x:v>
      </x:c>
      <x:c r="C14" s="30" t="str">
        <x:v>% preço</x:v>
      </x:c>
      <x:c r="D14" s="30" t="str">
        <x:v>Premissa</x:v>
      </x:c>
      <x:c r="E14" s="30" t="str">
        <x:v>ITBI, registro e diligência</x:v>
      </x:c>
      <x:c r="F14" s="30" t="str">
        <x:v>Editável</x:v>
      </x:c>
    </x:row>
    <x:row r="15">
      <x:c r="A15" s="30" t="str">
        <x:v>Setup/mobília — base</x:v>
      </x:c>
      <x:c r="B15" s="44" t="n">
        <x:v>60000</x:v>
      </x:c>
      <x:c r="C15" s="30" t="str">
        <x:v>R$</x:v>
      </x:c>
      <x:c r="D15" s="30" t="str">
        <x:v>Premissa</x:v>
      </x:c>
      <x:c r="E15" s="30" t="str">
        <x:v>Parcela fixa</x:v>
      </x:c>
      <x:c r="F15" s="30" t="str">
        <x:v>Editável</x:v>
      </x:c>
    </x:row>
    <x:row r="16">
      <x:c r="A16" s="30" t="str">
        <x:v>Setup/mobília — por quarto</x:v>
      </x:c>
      <x:c r="B16" s="44" t="n">
        <x:v>25000</x:v>
      </x:c>
      <x:c r="C16" s="30" t="str">
        <x:v>R$</x:v>
      </x:c>
      <x:c r="D16" s="30" t="str">
        <x:v>Premissa</x:v>
      </x:c>
      <x:c r="E16" s="30" t="str">
        <x:v>Adicional por quarto</x:v>
      </x:c>
      <x:c r="F16" s="30" t="str">
        <x:v>Editável</x:v>
      </x:c>
    </x:row>
    <x:row r="17">
      <x:c r="A17" s="30" t="str">
        <x:v>Yield líquido mínimo</x:v>
      </x:c>
      <x:c r="B17" s="43" t="n">
        <x:v>0.04</x:v>
      </x:c>
      <x:c r="C17" s="30" t="str">
        <x:v>%</x:v>
      </x:c>
      <x:c r="D17" s="30" t="str">
        <x:v>Premissa</x:v>
      </x:c>
      <x:c r="E17" s="30" t="str">
        <x:v>Hurdle ilustrativo</x:v>
      </x:c>
      <x:c r="F17" s="30" t="str">
        <x:v>Editável</x:v>
      </x:c>
    </x:row>
    <x:row r="18">
      <x:c r="A18" s="31" t="str">
        <x:v>Selic atual</x:v>
      </x:c>
      <x:c r="B18" s="38" t="n">
        <x:v>0.14</x:v>
      </x:c>
      <x:c r="C18" s="31" t="str">
        <x:v>% a.a.</x:v>
      </x:c>
      <x:c r="D18" s="31" t="str">
        <x:v>Banco Central</x:v>
      </x:c>
      <x:c r="E18" s="31" t="str">
        <x:v>05/08/2026</x:v>
      </x:c>
      <x:c r="F18" s="31" t="str">
        <x:v>Contexto, não input do NOI</x:v>
      </x:c>
    </x:row>
    <x:row r="20">
      <x:c r="A20" s="64" t="str">
        <x:v>Receita proxy = preço esperado das noites ausentes do calendário. A ausência pode significar reserva, bloqueio do proprietário ou calendário fechado. Por isso, o cenário-base reconhece apenas 85% das noites indisponíveis e aplica desconto de sazonalidade de 25% ao run-rate Jan–abr.</x:v>
      </x:c>
      <x:c r="B20" s="65"/>
      <x:c r="C20" s="65"/>
      <x:c r="D20" s="65"/>
      <x:c r="E20" s="65"/>
      <x:c r="F20" s="66"/>
    </x:row>
    <x:row r="21">
      <x:c r="A21" s="67"/>
      <x:c r="B21" s="68"/>
      <x:c r="C21" s="68"/>
      <x:c r="D21" s="68"/>
      <x:c r="E21" s="68"/>
      <x:c r="F21" s="69"/>
    </x:row>
    <x:row r="22">
      <x:c r="A22" s="70"/>
      <x:c r="B22" s="71"/>
      <x:c r="C22" s="71"/>
      <x:c r="D22" s="71"/>
      <x:c r="E22" s="71"/>
      <x:c r="F22" s="72"/>
    </x:row>
  </x:sheetData>
  <x:mergeCells>
    <x:mergeCell ref="A1:F1"/>
    <x:mergeCell ref="A2:F2"/>
    <x:mergeCell ref="A4:F4"/>
    <x:mergeCell ref="A20:F22"/>
  </x:mergeCells>
  <x:pageMargins left="0.7" right="0.7" top="0.75" bottom="0.75" header="0.3" footer="0.3"/>
  <x:legacyDrawing xmlns:r="http://schemas.openxmlformats.org/officeDocument/2006/relationships" r:id="Rb9469589faca42c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7" hidden="0" customWidth="1"/>
    <x:col min="8" max="8" width="14" hidden="0" customWidth="1"/>
    <x:col min="9" max="9" width="14" hidden="0" customWidth="1"/>
    <x:col min="10" max="10" width="16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</x:cols>
  <x:sheetData>
    <x:row r="1" ht="34" customHeight="1">
      <x:c r="A1" s="4" t="str">
        <x:v>Perfil e localização — amostra estrita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7" t="str">
        <x:v>Somente anúncios com ao menos uma data disponível em cada bloco de 30 dias do horizonte.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2" customHeight="1">
      <x:c r="A4" s="10" t="str">
        <x:v>Receita por número de quartos</x:v>
      </x:c>
      <x:c r="B4" s="10"/>
      <x:c r="C4" s="10"/>
      <x:c r="D4" s="10"/>
      <x:c r="E4" s="10"/>
      <x:c r="F4" s="10"/>
    </x:row>
    <x:row r="5" ht="30" customHeight="1">
      <x:c r="A5" s="22" t="str">
        <x:v>Quartos</x:v>
      </x:c>
      <x:c r="B5" s="23" t="str">
        <x:v>N</x:v>
      </x:c>
      <x:c r="C5" s="23" t="str">
        <x:v>Receita proxy 90d</x:v>
      </x:c>
      <x:c r="D5" s="23" t="str">
        <x:v>IC 95% — baixo</x:v>
      </x:c>
      <x:c r="E5" s="23" t="str">
        <x:v>IC 95% — alto</x:v>
      </x:c>
      <x:c r="F5" s="24" t="str">
        <x:v>ADR mediana</x:v>
      </x:c>
    </x:row>
    <x:row r="6">
      <x:c r="A6" s="77" t="n">
        <x:v>4</x:v>
      </x:c>
      <x:c r="B6" s="77" t="n">
        <x:v>38</x:v>
      </x:c>
      <x:c r="C6" s="80" t="n">
        <x:v>27070.0834738506</x:v>
      </x:c>
      <x:c r="D6" s="80" t="n">
        <x:v>22120.2585582632</x:v>
      </x:c>
      <x:c r="E6" s="80" t="n">
        <x:v>34188.0678352874</x:v>
      </x:c>
      <x:c r="F6" s="80" t="n">
        <x:v>950</x:v>
      </x:c>
    </x:row>
    <x:row r="7">
      <x:c r="A7" s="78" t="n">
        <x:v>3</x:v>
      </x:c>
      <x:c r="B7" s="78" t="n">
        <x:v>241</x:v>
      </x:c>
      <x:c r="C7" s="81" t="n">
        <x:v>16641.224091802</x:v>
      </x:c>
      <x:c r="D7" s="81" t="n">
        <x:v>15509.7981200511</x:v>
      </x:c>
      <x:c r="E7" s="81" t="n">
        <x:v>17844.8091761362</x:v>
      </x:c>
      <x:c r="F7" s="81" t="n">
        <x:v>662</x:v>
      </x:c>
    </x:row>
    <x:row r="8">
      <x:c r="A8" s="78" t="n">
        <x:v>2</x:v>
      </x:c>
      <x:c r="B8" s="78" t="n">
        <x:v>201</x:v>
      </x:c>
      <x:c r="C8" s="81" t="n">
        <x:v>12332.4855013339</x:v>
      </x:c>
      <x:c r="D8" s="81" t="n">
        <x:v>11174.7167651117</x:v>
      </x:c>
      <x:c r="E8" s="81" t="n">
        <x:v>13368.8131855257</x:v>
      </x:c>
      <x:c r="F8" s="81" t="n">
        <x:v>456</x:v>
      </x:c>
    </x:row>
    <x:row r="9">
      <x:c r="A9" s="79" t="n">
        <x:v>1</x:v>
      </x:c>
      <x:c r="B9" s="79" t="n">
        <x:v>98</x:v>
      </x:c>
      <x:c r="C9" s="82" t="n">
        <x:v>9945.9238316925</x:v>
      </x:c>
      <x:c r="D9" s="82" t="n">
        <x:v>8492.0473051853</x:v>
      </x:c>
      <x:c r="E9" s="82" t="n">
        <x:v>10398.2058532675</x:v>
      </x:c>
      <x:c r="F9" s="82" t="n">
        <x:v>427</x:v>
      </x:c>
    </x:row>
    <x:row r="12" ht="22" customHeight="1">
      <x:c r="A12" s="10" t="str">
        <x:v>Receita por bairro</x:v>
      </x:c>
      <x:c r="B12" s="10"/>
      <x:c r="C12" s="10"/>
      <x:c r="D12" s="10"/>
      <x:c r="E12" s="10"/>
      <x:c r="F12" s="10"/>
    </x:row>
    <x:row r="13" ht="30" customHeight="1">
      <x:c r="A13" s="22" t="str">
        <x:v>Bairro</x:v>
      </x:c>
      <x:c r="B13" s="23" t="str">
        <x:v>N</x:v>
      </x:c>
      <x:c r="C13" s="23" t="str">
        <x:v>Receita proxy 90d</x:v>
      </x:c>
      <x:c r="D13" s="23" t="str">
        <x:v>IC 95% — baixo</x:v>
      </x:c>
      <x:c r="E13" s="23" t="str">
        <x:v>IC 95% — alto</x:v>
      </x:c>
      <x:c r="F13" s="24" t="str">
        <x:v>Ocupação proxy</x:v>
      </x:c>
    </x:row>
    <x:row r="14">
      <x:c r="A14" s="77" t="str">
        <x:v>Meia Praia</x:v>
      </x:c>
      <x:c r="B14" s="77" t="n">
        <x:v>350</x:v>
      </x:c>
      <x:c r="C14" s="80" t="n">
        <x:v>16131.321289657</x:v>
      </x:c>
      <x:c r="D14" s="80" t="n">
        <x:v>14770.0147840897</x:v>
      </x:c>
      <x:c r="E14" s="80" t="n">
        <x:v>17100.9315376354</x:v>
      </x:c>
      <x:c r="F14" s="83" t="n">
        <x:v>0.3111111111</x:v>
      </x:c>
    </x:row>
    <x:row r="15">
      <x:c r="A15" s="78" t="str">
        <x:v>Morretes</x:v>
      </x:c>
      <x:c r="B15" s="78" t="n">
        <x:v>52</x:v>
      </x:c>
      <x:c r="C15" s="81" t="n">
        <x:v>12324.3012281292</x:v>
      </x:c>
      <x:c r="D15" s="81" t="n">
        <x:v>10660.1107217548</x:v>
      </x:c>
      <x:c r="E15" s="81" t="n">
        <x:v>15381.8076806678</x:v>
      </x:c>
      <x:c r="F15" s="84" t="n">
        <x:v>0.2944444444</x:v>
      </x:c>
    </x:row>
    <x:row r="16">
      <x:c r="A16" s="79" t="str">
        <x:v>Centro</x:v>
      </x:c>
      <x:c r="B16" s="79" t="n">
        <x:v>147</x:v>
      </x:c>
      <x:c r="C16" s="82" t="n">
        <x:v>10901.7656318258</x:v>
      </x:c>
      <x:c r="D16" s="82" t="n">
        <x:v>9986.6642993119</x:v>
      </x:c>
      <x:c r="E16" s="82" t="n">
        <x:v>12312.9957214537</x:v>
      </x:c>
      <x:c r="F16" s="85" t="n">
        <x:v>0.2555555556</x:v>
      </x:c>
    </x:row>
    <x:row r="20" ht="22" customHeight="1">
      <x:c r="A20" s="10" t="str">
        <x:v>Apartamentos por bairro e quartos</x:v>
      </x:c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 ht="30" customHeight="1">
      <x:c r="A21" s="22" t="str">
        <x:v>Bairro</x:v>
      </x:c>
      <x:c r="B21" s="23" t="str">
        <x:v>Quartos</x:v>
      </x:c>
      <x:c r="C21" s="23" t="str">
        <x:v>N</x:v>
      </x:c>
      <x:c r="D21" s="23" t="str">
        <x:v>Receita 90d</x:v>
      </x:c>
      <x:c r="E21" s="23" t="str">
        <x:v>IC baixo</x:v>
      </x:c>
      <x:c r="F21" s="23" t="str">
        <x:v>IC alto</x:v>
      </x:c>
      <x:c r="G21" s="23" t="str">
        <x:v>Receita anual base</x:v>
      </x:c>
      <x:c r="H21" s="23" t="str">
        <x:v>ADR</x:v>
      </x:c>
      <x:c r="I21" s="23" t="str">
        <x:v>Ocup. proxy</x:v>
      </x:c>
      <x:c r="J21" s="24" t="str">
        <x:v>P75 receita 90d</x:v>
      </x:c>
    </x:row>
    <x:row r="22">
      <x:c r="A22" s="77" t="str">
        <x:v>Meia Praia</x:v>
      </x:c>
      <x:c r="B22" s="77" t="n">
        <x:v>4</x:v>
      </x:c>
      <x:c r="C22" s="77" t="n">
        <x:v>32</x:v>
      </x:c>
      <x:c r="D22" s="80" t="n">
        <x:v>25473.4163970608</x:v>
      </x:c>
      <x:c r="E22" s="80" t="n">
        <x:v>20590.6042619151</x:v>
      </x:c>
      <x:c r="F22" s="80" t="n">
        <x:v>35078.7443697175</x:v>
      </x:c>
      <x:c r="G22" s="80" t="n">
        <x:v>65859.395309901</x:v>
      </x:c>
      <x:c r="H22" s="80" t="n">
        <x:v>899.5</x:v>
      </x:c>
      <x:c r="I22" s="83" t="n">
        <x:v>0.3166666667</x:v>
      </x:c>
      <x:c r="J22" s="80" t="n">
        <x:v>37577.2366307992</x:v>
      </x:c>
    </x:row>
    <x:row r="23">
      <x:c r="A23" s="78" t="str">
        <x:v>Meia Praia</x:v>
      </x:c>
      <x:c r="B23" s="78" t="n">
        <x:v>3</x:v>
      </x:c>
      <x:c r="C23" s="78" t="n">
        <x:v>201</x:v>
      </x:c>
      <x:c r="D23" s="81" t="n">
        <x:v>16716.8871082036</x:v>
      </x:c>
      <x:c r="E23" s="81" t="n">
        <x:v>15681.447615549</x:v>
      </x:c>
      <x:c r="F23" s="81" t="n">
        <x:v>18143.1008907373</x:v>
      </x:c>
      <x:c r="G23" s="81" t="n">
        <x:v>43220.1185443347</x:v>
      </x:c>
      <x:c r="H23" s="81" t="n">
        <x:v>690</x:v>
      </x:c>
      <x:c r="I23" s="84" t="n">
        <x:v>0.3</x:v>
      </x:c>
      <x:c r="J23" s="81" t="n">
        <x:v>23741.4207236088</x:v>
      </x:c>
    </x:row>
    <x:row r="24">
      <x:c r="A24" s="78" t="str">
        <x:v>Centro</x:v>
      </x:c>
      <x:c r="B24" s="78" t="n">
        <x:v>3</x:v>
      </x:c>
      <x:c r="C24" s="78" t="n">
        <x:v>27</x:v>
      </x:c>
      <x:c r="D24" s="81" t="n">
        <x:v>15812.6393476964</x:v>
      </x:c>
      <x:c r="E24" s="81" t="n">
        <x:v>11906.9579484067</x:v>
      </x:c>
      <x:c r="F24" s="81" t="n">
        <x:v>24647.9211022267</x:v>
      </x:c>
      <x:c r="G24" s="81" t="n">
        <x:v>40882.2613135234</x:v>
      </x:c>
      <x:c r="H24" s="81" t="n">
        <x:v>699</x:v>
      </x:c>
      <x:c r="I24" s="84" t="n">
        <x:v>0.3111111111</x:v>
      </x:c>
      <x:c r="J24" s="81" t="n">
        <x:v>25088.9226011928</x:v>
      </x:c>
    </x:row>
    <x:row r="25">
      <x:c r="A25" s="78" t="str">
        <x:v>Meia Praia</x:v>
      </x:c>
      <x:c r="B25" s="78" t="n">
        <x:v>1</x:v>
      </x:c>
      <x:c r="C25" s="78" t="n">
        <x:v>15</x:v>
      </x:c>
      <x:c r="D25" s="81" t="n">
        <x:v>13216.0841936284</x:v>
      </x:c>
      <x:c r="E25" s="81" t="n">
        <x:v>10276.8593031946</x:v>
      </x:c>
      <x:c r="F25" s="81" t="n">
        <x:v>17612.3607984299</x:v>
      </x:c>
      <x:c r="G25" s="81" t="n">
        <x:v>34169.0843422768</x:v>
      </x:c>
      <x:c r="H25" s="81" t="n">
        <x:v>480</x:v>
      </x:c>
      <x:c r="I25" s="84" t="n">
        <x:v>0.3555555556</x:v>
      </x:c>
      <x:c r="J25" s="81" t="n">
        <x:v>18064.4409935512</x:v>
      </x:c>
    </x:row>
    <x:row r="26">
      <x:c r="A26" s="78" t="str">
        <x:v>Meia Praia</x:v>
      </x:c>
      <x:c r="B26" s="78" t="n">
        <x:v>2</x:v>
      </x:c>
      <x:c r="C26" s="78" t="n">
        <x:v>90</x:v>
      </x:c>
      <x:c r="D26" s="81" t="n">
        <x:v>13117.1212117233</x:v>
      </x:c>
      <x:c r="E26" s="81" t="n">
        <x:v>11265.6455113762</x:v>
      </x:c>
      <x:c r="F26" s="81" t="n">
        <x:v>15567.9189995939</x:v>
      </x:c>
      <x:c r="G26" s="81" t="n">
        <x:v>33913.2237994762</x:v>
      </x:c>
      <x:c r="H26" s="81" t="n">
        <x:v>450</x:v>
      </x:c>
      <x:c r="I26" s="84" t="n">
        <x:v>0.3444444444</x:v>
      </x:c>
      <x:c r="J26" s="81" t="n">
        <x:v>20089.9593828839</x:v>
      </x:c>
    </x:row>
    <x:row r="27">
      <x:c r="A27" s="78" t="str">
        <x:v>Centro</x:v>
      </x:c>
      <x:c r="B27" s="78" t="n">
        <x:v>2</x:v>
      </x:c>
      <x:c r="C27" s="78" t="n">
        <x:v>47</x:v>
      </x:c>
      <x:c r="D27" s="81" t="n">
        <x:v>12608.7673501736</x:v>
      </x:c>
      <x:c r="E27" s="81" t="n">
        <x:v>10060.6117265522</x:v>
      </x:c>
      <x:c r="F27" s="81" t="n">
        <x:v>15116.427202053</x:v>
      </x:c>
      <x:c r="G27" s="81" t="n">
        <x:v>32598.9172532614</x:v>
      </x:c>
      <x:c r="H27" s="81" t="n">
        <x:v>627</x:v>
      </x:c>
      <x:c r="I27" s="84" t="n">
        <x:v>0.2444444444</x:v>
      </x:c>
      <x:c r="J27" s="81" t="n">
        <x:v>17913.3311622246</x:v>
      </x:c>
    </x:row>
    <x:row r="28">
      <x:c r="A28" s="78" t="str">
        <x:v>Tabuleiro dos Oliveiras</x:v>
      </x:c>
      <x:c r="B28" s="78" t="n">
        <x:v>2</x:v>
      </x:c>
      <x:c r="C28" s="78" t="n">
        <x:v>10</x:v>
      </x:c>
      <x:c r="D28" s="81" t="n">
        <x:v>12467.702950475</x:v>
      </x:c>
      <x:c r="E28" s="81" t="n">
        <x:v>6519.9790301424</x:v>
      </x:c>
      <x:c r="F28" s="81" t="n">
        <x:v>17994.034985247</x:v>
      </x:c>
      <x:c r="G28" s="81" t="n">
        <x:v>32234.2070032073</x:v>
      </x:c>
      <x:c r="H28" s="81" t="n">
        <x:v>447.5</x:v>
      </x:c>
      <x:c r="I28" s="84" t="n">
        <x:v>0.3444444444</x:v>
      </x:c>
      <x:c r="J28" s="81" t="n">
        <x:v>16852.6729310463</x:v>
      </x:c>
    </x:row>
    <x:row r="29">
      <x:c r="A29" s="78" t="str">
        <x:v>Morretes</x:v>
      </x:c>
      <x:c r="B29" s="78" t="n">
        <x:v>2</x:v>
      </x:c>
      <x:c r="C29" s="78" t="n">
        <x:v>38</x:v>
      </x:c>
      <x:c r="D29" s="81" t="n">
        <x:v>11578.1305718718</x:v>
      </x:c>
      <x:c r="E29" s="81" t="n">
        <x:v>9181.0897598863</x:v>
      </x:c>
      <x:c r="F29" s="81" t="n">
        <x:v>13226.4008645121</x:v>
      </x:c>
      <x:c r="G29" s="81" t="n">
        <x:v>29934.2917493601</x:v>
      </x:c>
      <x:c r="H29" s="81" t="n">
        <x:v>449.25</x:v>
      </x:c>
      <x:c r="I29" s="84" t="n">
        <x:v>0.2722222222</x:v>
      </x:c>
      <x:c r="J29" s="81" t="n">
        <x:v>15951.7360070829</x:v>
      </x:c>
    </x:row>
    <x:row r="30">
      <x:c r="A30" s="79" t="str">
        <x:v>Centro</x:v>
      </x:c>
      <x:c r="B30" s="79" t="n">
        <x:v>1</x:v>
      </x:c>
      <x:c r="C30" s="79" t="n">
        <x:v>70</x:v>
      </x:c>
      <x:c r="D30" s="82" t="n">
        <x:v>9993.9069801275</x:v>
      </x:c>
      <x:c r="E30" s="82" t="n">
        <x:v>8501.0445366187</x:v>
      </x:c>
      <x:c r="F30" s="82" t="n">
        <x:v>10625.405459273</x:v>
      </x:c>
      <x:c r="G30" s="82" t="n">
        <x:v>25838.413671538</x:v>
      </x:c>
      <x:c r="H30" s="82" t="n">
        <x:v>460.5</x:v>
      </x:c>
      <x:c r="I30" s="85" t="n">
        <x:v>0.2444444444</x:v>
      </x:c>
      <x:c r="J30" s="82" t="n">
        <x:v>12544.3711957847</x:v>
      </x:c>
    </x:row>
  </x:sheetData>
  <x:mergeCells>
    <x:mergeCell ref="A1:N1"/>
    <x:mergeCell ref="A2:N2"/>
    <x:mergeCell ref="A4:F4"/>
    <x:mergeCell ref="A12:F12"/>
    <x:mergeCell ref="A20:J20"/>
  </x:mergeCells>
  <x:pageMargins left="0.7" right="0.7" top="0.75" bottom="0.75" header="0.3" footer="0.3"/>
  <x:drawing xmlns:r="http://schemas.openxmlformats.org/officeDocument/2006/relationships" r:id="R758c6c9fd78a44c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1" hidden="0" customWidth="1"/>
    <x:col min="5" max="5" width="16" hidden="0" customWidth="1"/>
    <x:col min="6" max="6" width="30" hidden="0" customWidth="1"/>
    <x:col min="7" max="7" width="40" hidden="0" customWidth="1"/>
  </x:cols>
  <x:sheetData>
    <x:row r="1" ht="34" customHeight="1">
      <x:c r="A1" s="4" t="str">
        <x:v>Características associadas à receita</x:v>
      </x:c>
      <x:c r="B1" s="4"/>
      <x:c r="C1" s="4"/>
      <x:c r="D1" s="4"/>
      <x:c r="E1" s="4"/>
      <x:c r="F1" s="4"/>
      <x:c r="G1" s="4"/>
    </x:row>
    <x:row r="2" ht="28" customHeight="1">
      <x:c r="A2" s="7" t="str">
        <x:v>Modelo log-linear com erros robustos; associações não são efeitos causais.</x:v>
      </x:c>
      <x:c r="B2" s="7"/>
      <x:c r="C2" s="7"/>
      <x:c r="D2" s="7"/>
      <x:c r="E2" s="7"/>
      <x:c r="F2" s="7"/>
      <x:c r="G2" s="7"/>
    </x:row>
    <x:row r="4" ht="22" customHeight="1">
      <x:c r="A4" s="10" t="str">
        <x:v>Diagnóstico do modelo</x:v>
      </x:c>
      <x:c r="B4" s="10"/>
      <x:c r="C4" s="10"/>
      <x:c r="D4" s="10"/>
      <x:c r="E4" s="10"/>
      <x:c r="F4" s="10"/>
      <x:c r="G4" s="10"/>
    </x:row>
    <x:row r="5" ht="30" customHeight="1">
      <x:c r="A5" s="22" t="str">
        <x:v>Amostra</x:v>
      </x:c>
      <x:c r="B5" s="23" t="str">
        <x:v>Variáveis</x:v>
      </x:c>
      <x:c r="C5" s="23" t="str">
        <x:v>R² treino</x:v>
      </x:c>
      <x:c r="D5" s="23" t="str">
        <x:v>R² ajustado</x:v>
      </x:c>
      <x:c r="E5" s="23" t="str">
        <x:v>R² 5-fold</x:v>
      </x:c>
      <x:c r="F5" s="23" t="str">
        <x:v>Alvo</x:v>
      </x:c>
      <x:c r="G5" s="24" t="str">
        <x:v>Leitura</x:v>
      </x:c>
    </x:row>
    <x:row r="6">
      <x:c r="A6" s="86" t="n">
        <x:v>572</x:v>
      </x:c>
      <x:c r="B6" s="86" t="n">
        <x:v>26</x:v>
      </x:c>
      <x:c r="C6" s="87" t="n">
        <x:v>0.2671611459143074</x:v>
      </x:c>
      <x:c r="D6" s="87" t="n">
        <x:v>0.23360625332796614</x:v>
      </x:c>
      <x:c r="E6" s="87" t="n">
        <x:v>0.1766577026617614</x:v>
      </x:c>
      <x:c r="F6" s="86" t="str">
        <x:v>log(1 + gross_revenue_proxy_90)</x:v>
      </x:c>
      <x:c r="G6" s="86" t="str">
        <x:v>Associações condicionais, não efeitos causais.</x:v>
      </x:c>
    </x:row>
    <x:row r="9" ht="22" customHeight="1">
      <x:c r="A9" s="10" t="str">
        <x:v>Coeficientes ordenados por força estatística</x:v>
      </x:c>
      <x:c r="B9" s="10"/>
      <x:c r="C9" s="10"/>
      <x:c r="D9" s="10"/>
      <x:c r="E9" s="10"/>
      <x:c r="F9" s="10"/>
    </x:row>
    <x:row r="10" ht="30" customHeight="1">
      <x:c r="A10" s="22" t="str">
        <x:v>Característica</x:v>
      </x:c>
      <x:c r="B10" s="23" t="str">
        <x:v>Coef. log</x:v>
      </x:c>
      <x:c r="C10" s="23" t="str">
        <x:v>Erro robusto</x:v>
      </x:c>
      <x:c r="D10" s="23" t="str">
        <x:v>t</x:v>
      </x:c>
      <x:c r="E10" s="23" t="str">
        <x:v>Impacto aprox.</x:v>
      </x:c>
      <x:c r="F10" s="24" t="str">
        <x:v>|t|</x:v>
      </x:c>
    </x:row>
    <x:row r="11">
      <x:c r="A11" s="77" t="str">
        <x:v>amenity_beach</x:v>
      </x:c>
      <x:c r="B11" s="88" t="n">
        <x:v>0.2099240914</x:v>
      </x:c>
      <x:c r="C11" s="88" t="n">
        <x:v>0.0690871096</x:v>
      </x:c>
      <x:c r="D11" s="91" t="n">
        <x:v>3.0385421035</x:v>
      </x:c>
      <x:c r="E11" s="83" t="n">
        <x:v>0.233584416725</x:v>
      </x:c>
      <x:c r="F11" s="91" t="n">
        <x:v>3.0385421035</x:v>
      </x:c>
    </x:row>
    <x:row r="12">
      <x:c r="A12" s="78" t="str">
        <x:v>is_superhost</x:v>
      </x:c>
      <x:c r="B12" s="89" t="n">
        <x:v>0.2231150749</x:v>
      </x:c>
      <x:c r="C12" s="89" t="n">
        <x:v>0.0756726815</x:v>
      </x:c>
      <x:c r="D12" s="92" t="n">
        <x:v>2.9484230023</x:v>
      </x:c>
      <x:c r="E12" s="84" t="n">
        <x:v>0.249964405005</x:v>
      </x:c>
      <x:c r="F12" s="92" t="n">
        <x:v>2.9484230023</x:v>
      </x:c>
    </x:row>
    <x:row r="13">
      <x:c r="A13" s="78" t="str">
        <x:v>number_of_guests</x:v>
      </x:c>
      <x:c r="B13" s="89" t="n">
        <x:v>0.1488037496</x:v>
      </x:c>
      <x:c r="C13" s="89" t="n">
        <x:v>0.0616162601</x:v>
      </x:c>
      <x:c r="D13" s="92" t="n">
        <x:v>2.4150078154</x:v>
      </x:c>
      <x:c r="E13" s="84" t="n">
        <x:v>0.160445229012</x:v>
      </x:c>
      <x:c r="F13" s="92" t="n">
        <x:v>2.4150078154</x:v>
      </x:c>
    </x:row>
    <x:row r="14">
      <x:c r="A14" s="78" t="str">
        <x:v>number_of_bathrooms</x:v>
      </x:c>
      <x:c r="B14" s="89" t="n">
        <x:v>0.106772569</x:v>
      </x:c>
      <x:c r="C14" s="89" t="n">
        <x:v>0.0492483321</x:v>
      </x:c>
      <x:c r="D14" s="92" t="n">
        <x:v>2.1680443666</x:v>
      </x:c>
      <x:c r="E14" s="84" t="n">
        <x:v>0.11268116748700001</x:v>
      </x:c>
      <x:c r="F14" s="92" t="n">
        <x:v>2.1680443666</x:v>
      </x:c>
    </x:row>
    <x:row r="15">
      <x:c r="A15" s="78" t="str">
        <x:v>tipo_outros</x:v>
      </x:c>
      <x:c r="B15" s="89" t="n">
        <x:v>-1.135803979</x:v>
      </x:c>
      <x:c r="C15" s="89" t="n">
        <x:v>0.5261747453</x:v>
      </x:c>
      <x:c r="D15" s="92" t="n">
        <x:v>-2.158606032</x:v>
      </x:c>
      <x:c r="E15" s="84" t="n">
        <x:v>-0.678836191458</x:v>
      </x:c>
      <x:c r="F15" s="92" t="n">
        <x:v>2.158606032</x:v>
      </x:c>
    </x:row>
    <x:row r="16">
      <x:c r="A16" s="78" t="str">
        <x:v>host_reviews_log</x:v>
      </x:c>
      <x:c r="B16" s="89" t="n">
        <x:v>0.1463918139</x:v>
      </x:c>
      <x:c r="C16" s="89" t="n">
        <x:v>0.0690826011</x:v>
      </x:c>
      <x:c r="D16" s="92" t="n">
        <x:v>2.1190836992</x:v>
      </x:c>
      <x:c r="E16" s="84" t="n">
        <x:v>0.15764968247400002</x:v>
      </x:c>
      <x:c r="F16" s="92" t="n">
        <x:v>2.1190836992</x:v>
      </x:c>
    </x:row>
    <x:row r="17">
      <x:c r="A17" s="78" t="str">
        <x:v>bairro_Outros bairros</x:v>
      </x:c>
      <x:c r="B17" s="89" t="n">
        <x:v>-0.298972313</x:v>
      </x:c>
      <x:c r="C17" s="89" t="n">
        <x:v>0.1592030511</x:v>
      </x:c>
      <x:c r="D17" s="92" t="n">
        <x:v>-1.8779307992</x:v>
      </x:c>
      <x:c r="E17" s="84" t="n">
        <x:v>-0.258420058692</x:v>
      </x:c>
      <x:c r="F17" s="92" t="n">
        <x:v>1.8779307992</x:v>
      </x:c>
    </x:row>
    <x:row r="18">
      <x:c r="A18" s="78" t="str">
        <x:v>amenity_washer</x:v>
      </x:c>
      <x:c r="B18" s="89" t="n">
        <x:v>0.2716619297</x:v>
      </x:c>
      <x:c r="C18" s="89" t="n">
        <x:v>0.1496451716</x:v>
      </x:c>
      <x:c r="D18" s="92" t="n">
        <x:v>1.8153738398</x:v>
      </x:c>
      <x:c r="E18" s="84" t="n">
        <x:v>0.31214332961499996</x:v>
      </x:c>
      <x:c r="F18" s="92" t="n">
        <x:v>1.8153738398</x:v>
      </x:c>
    </x:row>
    <x:row r="19">
      <x:c r="A19" s="78" t="str">
        <x:v>cleaning_fee_log</x:v>
      </x:c>
      <x:c r="B19" s="89" t="n">
        <x:v>-0.0466660029</x:v>
      </x:c>
      <x:c r="C19" s="89" t="n">
        <x:v>0.0262706671</x:v>
      </x:c>
      <x:c r="D19" s="92" t="n">
        <x:v>-1.7763539371</x:v>
      </x:c>
      <x:c r="E19" s="84" t="n">
        <x:v>-0.045593886777000006</x:v>
      </x:c>
      <x:c r="F19" s="92" t="n">
        <x:v>1.7763539371</x:v>
      </x:c>
    </x:row>
    <x:row r="20">
      <x:c r="A20" s="78" t="str">
        <x:v>picture_count</x:v>
      </x:c>
      <x:c r="B20" s="89" t="n">
        <x:v>0.0567172867</x:v>
      </x:c>
      <x:c r="C20" s="89" t="n">
        <x:v>0.0344268723</x:v>
      </x:c>
      <x:c r="D20" s="92" t="n">
        <x:v>1.6474713745</x:v>
      </x:c>
      <x:c r="E20" s="84" t="n">
        <x:v>0.058356556618999994</x:v>
      </x:c>
      <x:c r="F20" s="92" t="n">
        <x:v>1.6474713745</x:v>
      </x:c>
    </x:row>
    <x:row r="21">
      <x:c r="A21" s="78" t="str">
        <x:v>bairro_Morretes</x:v>
      </x:c>
      <x:c r="B21" s="89" t="n">
        <x:v>-0.218453326</x:v>
      </x:c>
      <x:c r="C21" s="89" t="n">
        <x:v>0.1339133431</x:v>
      </x:c>
      <x:c r="D21" s="92" t="n">
        <x:v>-1.6313036547</x:v>
      </x:c>
      <x:c r="E21" s="84" t="n">
        <x:v>-0.19623900666400002</x:v>
      </x:c>
      <x:c r="F21" s="92" t="n">
        <x:v>1.6313036547</x:v>
      </x:c>
    </x:row>
    <x:row r="22">
      <x:c r="A22" s="78" t="str">
        <x:v>is_professional</x:v>
      </x:c>
      <x:c r="B22" s="89" t="n">
        <x:v>0.2037835914</x:v>
      </x:c>
      <x:c r="C22" s="89" t="n">
        <x:v>0.1377753656</x:v>
      </x:c>
      <x:c r="D22" s="92" t="n">
        <x:v>1.4791003499</x:v>
      </x:c>
      <x:c r="E22" s="84" t="n">
        <x:v>0.226032800711</x:v>
      </x:c>
      <x:c r="F22" s="92" t="n">
        <x:v>1.4791003499</x:v>
      </x:c>
    </x:row>
    <x:row r="23">
      <x:c r="A23" s="78" t="str">
        <x:v>is_guest_favorite</x:v>
      </x:c>
      <x:c r="B23" s="89" t="n">
        <x:v>0.0810286572</x:v>
      </x:c>
      <x:c r="C23" s="89" t="n">
        <x:v>0.0721130271</x:v>
      </x:c>
      <x:c r="D23" s="92" t="n">
        <x:v>1.1236341133</x:v>
      </x:c>
      <x:c r="E23" s="84" t="n">
        <x:v>0.084401972058</x:v>
      </x:c>
      <x:c r="F23" s="92" t="n">
        <x:v>1.1236341133</x:v>
      </x:c>
    </x:row>
    <x:row r="24">
      <x:c r="A24" s="78" t="str">
        <x:v>amenity_pool</x:v>
      </x:c>
      <x:c r="B24" s="89" t="n">
        <x:v>-0.1195910379</x:v>
      </x:c>
      <x:c r="C24" s="89" t="n">
        <x:v>0.1391099985</x:v>
      </x:c>
      <x:c r="D24" s="92" t="n">
        <x:v>-0.8596868606</x:v>
      </x:c>
      <x:c r="E24" s="84" t="n">
        <x:v>-0.112716772244</x:v>
      </x:c>
      <x:c r="F24" s="92" t="n">
        <x:v>0.8596868606</x:v>
      </x:c>
    </x:row>
    <x:row r="25">
      <x:c r="A25" s="78" t="str">
        <x:v>number_of_bedrooms</x:v>
      </x:c>
      <x:c r="B25" s="89" t="n">
        <x:v>0.1556753086</x:v>
      </x:c>
      <x:c r="C25" s="89" t="n">
        <x:v>0.2086017524</x:v>
      </x:c>
      <x:c r="D25" s="92" t="n">
        <x:v>0.7462799655</x:v>
      </x:c>
      <x:c r="E25" s="84" t="n">
        <x:v>0.168446756896</x:v>
      </x:c>
      <x:c r="F25" s="92" t="n">
        <x:v>0.7462799655</x:v>
      </x:c>
    </x:row>
    <x:row r="26">
      <x:c r="A26" s="78" t="str">
        <x:v>bedrooms_squared</x:v>
      </x:c>
      <x:c r="B26" s="89" t="n">
        <x:v>-0.1326718619</x:v>
      </x:c>
      <x:c r="C26" s="89" t="n">
        <x:v>0.193996686</x:v>
      </x:c>
      <x:c r="D26" s="92" t="n">
        <x:v>-0.6838872593</x:v>
      </x:c>
      <x:c r="E26" s="84" t="n">
        <x:v>-0.12424758730900001</x:v>
      </x:c>
      <x:c r="F26" s="92" t="n">
        <x:v>0.6838872593</x:v>
      </x:c>
    </x:row>
    <x:row r="27">
      <x:c r="A27" s="78" t="str">
        <x:v>amenity_bbq</x:v>
      </x:c>
      <x:c r="B27" s="89" t="n">
        <x:v>-0.065789076</x:v>
      </x:c>
      <x:c r="C27" s="89" t="n">
        <x:v>0.098687798</x:v>
      </x:c>
      <x:c r="D27" s="92" t="n">
        <x:v>-0.6666384027</x:v>
      </x:c>
      <x:c r="E27" s="84" t="n">
        <x:v>-0.063671662459</x:v>
      </x:c>
      <x:c r="F27" s="92" t="n">
        <x:v>0.6666384027</x:v>
      </x:c>
    </x:row>
    <x:row r="28">
      <x:c r="A28" s="78" t="str">
        <x:v>number_of_beds</x:v>
      </x:c>
      <x:c r="B28" s="89" t="n">
        <x:v>0.0252708745</x:v>
      </x:c>
      <x:c r="C28" s="89" t="n">
        <x:v>0.0465111029</x:v>
      </x:c>
      <x:c r="D28" s="92" t="n">
        <x:v>0.5433299337</x:v>
      </x:c>
      <x:c r="E28" s="84" t="n">
        <x:v>0.025592889823</x:v>
      </x:c>
      <x:c r="F28" s="92" t="n">
        <x:v>0.5433299337</x:v>
      </x:c>
    </x:row>
    <x:row r="29">
      <x:c r="A29" s="78" t="str">
        <x:v>reviews_log</x:v>
      </x:c>
      <x:c r="B29" s="89" t="n">
        <x:v>0.0154467297</x:v>
      </x:c>
      <x:c r="C29" s="89" t="n">
        <x:v>0.041610482</x:v>
      </x:c>
      <x:c r="D29" s="92" t="n">
        <x:v>0.3712220808</x:v>
      </x:c>
      <x:c r="E29" s="84" t="n">
        <x:v>0.01556664708</x:v>
      </x:c>
      <x:c r="F29" s="92" t="n">
        <x:v>0.3712220808</x:v>
      </x:c>
    </x:row>
    <x:row r="30">
      <x:c r="A30" s="79" t="str">
        <x:v>host_experience_years</x:v>
      </x:c>
      <x:c r="B30" s="90" t="n">
        <x:v>0.008534945</x:v>
      </x:c>
      <x:c r="C30" s="90" t="n">
        <x:v>0.039017714</x:v>
      </x:c>
      <x:c r="D30" s="93" t="n">
        <x:v>0.2187453877</x:v>
      </x:c>
      <x:c r="E30" s="85" t="n">
        <x:v>0.008571471458</x:v>
      </x:c>
      <x:c r="F30" s="93" t="n">
        <x:v>0.2187453877</x:v>
      </x:c>
    </x:row>
    <x:row r="32">
      <x:c r="A32" s="113" t="str">
        <x:v>Principais sinais robustos: acesso/proximidade de praia e Superhost aparecem positivos; maior capacidade e mais banheiros também ajudam. O R² fora da amostra é modesto, indicando que prédio, distância exata da praia, qualidade da reforma e calendário real ainda explicam grande parte do desempenho.</x:v>
      </x:c>
      <x:c r="B32" s="114"/>
      <x:c r="C32" s="114"/>
      <x:c r="D32" s="114"/>
      <x:c r="E32" s="114"/>
      <x:c r="F32" s="114"/>
      <x:c r="G32" s="115"/>
    </x:row>
    <x:row r="33">
      <x:c r="A33" s="116"/>
      <x:c r="B33" s="117"/>
      <x:c r="C33" s="117"/>
      <x:c r="D33" s="117"/>
      <x:c r="E33" s="117"/>
      <x:c r="F33" s="117"/>
      <x:c r="G33" s="118"/>
    </x:row>
    <x:row r="34">
      <x:c r="A34" s="119"/>
      <x:c r="B34" s="120"/>
      <x:c r="C34" s="120"/>
      <x:c r="D34" s="120"/>
      <x:c r="E34" s="120"/>
      <x:c r="F34" s="120"/>
      <x:c r="G34" s="121"/>
    </x:row>
  </x:sheetData>
  <x:mergeCells>
    <x:mergeCell ref="A1:G1"/>
    <x:mergeCell ref="A2:G2"/>
    <x:mergeCell ref="A4:G4"/>
    <x:mergeCell ref="A9:F9"/>
    <x:mergeCell ref="A32:G34"/>
  </x:mergeCells>
  <x:conditionalFormatting sqref="F11:F30">
    <x:cfRule type="dataBar" priority="1">
      <x:dataBar>
        <x:cfvo type="min"/>
        <x:cfvo type="max"/>
        <x:color rgb="FF0055FF"/>
      </x:dataBar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9" hidden="0" customWidth="1"/>
    <x:col min="4" max="4" width="9" hidden="0" customWidth="1"/>
    <x:col min="5" max="5" width="14" hidden="0" customWidth="1"/>
    <x:col min="6" max="6" width="13" hidden="0" customWidth="1"/>
    <x:col min="7" max="7" width="13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1" hidden="0" customWidth="1"/>
    <x:col min="25" max="25" width="36" hidden="0" customWidth="1"/>
    <x:col min="26" max="26" width="48" hidden="0" customWidth="1"/>
  </x:cols>
  <x:sheetData>
    <x:row r="1" ht="34" customHeight="1">
      <x:c r="A1" s="4" t="str">
        <x:v>Retorno estimado e candidatos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8" customHeight="1">
      <x:c r="A2" s="7" t="str">
        <x:v>Receita baseada em pares Airbnb; preços de compra são anúncios VivaReal de 11/01/2025.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22" customHeight="1">
      <x:c r="A4" s="10" t="str">
        <x:v>Retorno por segmento — mediana do mercado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</x:row>
    <x:row r="5" ht="30" customHeight="1">
      <x:c r="A5" s="22" t="str">
        <x:v>Bairro</x:v>
      </x:c>
      <x:c r="B5" s="23" t="str">
        <x:v>Quartos</x:v>
      </x:c>
      <x:c r="C5" s="23" t="str">
        <x:v>N venda</x:v>
      </x:c>
      <x:c r="D5" s="23" t="str">
        <x:v>Preço mediano</x:v>
      </x:c>
      <x:c r="E5" s="23" t="str">
        <x:v>Área</x:v>
      </x:c>
      <x:c r="F5" s="23" t="str">
        <x:v>R$/m²</x:v>
      </x:c>
      <x:c r="G5" s="23" t="str">
        <x:v>Condomínio</x:v>
      </x:c>
      <x:c r="H5" s="23" t="str">
        <x:v>IPTU</x:v>
      </x:c>
      <x:c r="I5" s="23" t="str">
        <x:v>N Airbnb</x:v>
      </x:c>
      <x:c r="J5" s="23" t="str">
        <x:v>Receita 90d</x:v>
      </x:c>
      <x:c r="K5" s="23" t="str">
        <x:v>Receita anual base</x:v>
      </x:c>
      <x:c r="L5" s="23" t="str">
        <x:v>Setup</x:v>
      </x:c>
      <x:c r="M5" s="23" t="str">
        <x:v>Investimento</x:v>
      </x:c>
      <x:c r="N5" s="23" t="str">
        <x:v>NOI</x:v>
      </x:c>
      <x:c r="O5" s="23" t="str">
        <x:v>Yield líquido</x:v>
      </x:c>
      <x:c r="P5" s="23" t="str">
        <x:v>Payback</x:v>
      </x:c>
      <x:c r="Q5" s="24" t="str">
        <x:v>Evidência</x:v>
      </x:c>
    </x:row>
    <x:row r="6">
      <x:c r="A6" s="77" t="str">
        <x:v>Tabuleiro dos Oliveiras</x:v>
      </x:c>
      <x:c r="B6" s="77" t="n">
        <x:v>2</x:v>
      </x:c>
      <x:c r="C6" s="77" t="n">
        <x:v>109</x:v>
      </x:c>
      <x:c r="D6" s="122" t="n">
        <x:v>780000</x:v>
      </x:c>
      <x:c r="E6" s="125" t="n">
        <x:v>69</x:v>
      </x:c>
      <x:c r="F6" s="80" t="n">
        <x:v>11660.2380952381</x:v>
      </x:c>
      <x:c r="G6" s="122" t="n">
        <x:v>400</x:v>
      </x:c>
      <x:c r="H6" s="122" t="n">
        <x:v>900</x:v>
      </x:c>
      <x:c r="I6" s="125" t="n">
        <x:v>10</x:v>
      </x:c>
      <x:c r="J6" s="122" t="n">
        <x:v>12467.702950475</x:v>
      </x:c>
      <x:c r="K6" s="131" t="n">
        <x:f>J6/'Premissas'!$B$6*365*'Premissas'!$B$8*'Premissas'!$B$11</x:f>
        <x:v>32234.20700320724</x:v>
      </x:c>
      <x:c r="L6" s="131" t="n">
        <x:f>'Premissas'!$B$15+'Premissas'!$B$16*B6</x:f>
        <x:v>110000</x:v>
      </x:c>
      <x:c r="M6" s="131" t="n">
        <x:f>D6*(1+'Premissas'!$B$14)+L6</x:f>
        <x:v>929000</x:v>
      </x:c>
      <x:c r="N6" s="131" t="n">
        <x:f>K6*(1-'Premissas'!$B$13)-G6*12-H6</x:f>
        <x:v>15896.918692148847</x:v>
      </x:c>
      <x:c r="O6" s="132" t="n">
        <x:f>IFERROR(N6/M6,0)</x:f>
        <x:v>0.017111860809632774</x:v>
      </x:c>
      <x:c r="P6" s="133" t="n">
        <x:f>IFERROR(M6/N6,0)</x:f>
        <x:v>58.43899802159858</x:v>
      </x:c>
      <x:c r="Q6" s="77" t="str">
        <x:v>Baixa</x:v>
      </x:c>
    </x:row>
    <x:row r="7">
      <x:c r="A7" s="78" t="str">
        <x:v>Morretes</x:v>
      </x:c>
      <x:c r="B7" s="78" t="n">
        <x:v>2</x:v>
      </x:c>
      <x:c r="C7" s="78" t="n">
        <x:v>1031</x:v>
      </x:c>
      <x:c r="D7" s="123" t="n">
        <x:v>790000</x:v>
      </x:c>
      <x:c r="E7" s="126" t="n">
        <x:v>69</x:v>
      </x:c>
      <x:c r="F7" s="81" t="n">
        <x:v>11562.5</x:v>
      </x:c>
      <x:c r="G7" s="123" t="n">
        <x:v>350</x:v>
      </x:c>
      <x:c r="H7" s="123" t="n">
        <x:v>850</x:v>
      </x:c>
      <x:c r="I7" s="126" t="n">
        <x:v>38</x:v>
      </x:c>
      <x:c r="J7" s="123" t="n">
        <x:v>11578.1305718718</x:v>
      </x:c>
      <x:c r="K7" s="134" t="n">
        <x:f>J7/'Premissas'!$B$6*365*'Premissas'!$B$8*'Premissas'!$B$11</x:f>
        <x:v>29934.29174936021</x:v>
      </x:c>
      <x:c r="L7" s="134" t="n">
        <x:f>'Premissas'!$B$15+'Premissas'!$B$16*B7</x:f>
        <x:v>110000</x:v>
      </x:c>
      <x:c r="M7" s="134" t="n">
        <x:f>D7*(1+'Premissas'!$B$14)+L7</x:f>
        <x:v>939500</x:v>
      </x:c>
      <x:c r="N7" s="134" t="n">
        <x:f>K7*(1-'Premissas'!$B$13)-G7*12-H7</x:f>
        <x:v>15005.975472071339</x:v>
      </x:c>
      <x:c r="O7" s="135" t="n">
        <x:f>IFERROR(N7/M7,0)</x:f>
        <x:v>0.01597229959773426</x:v>
      </x:c>
      <x:c r="P7" s="136" t="n">
        <x:f>IFERROR(M7/N7,0)</x:f>
        <x:v>62.608392353337415</x:v>
      </x:c>
      <x:c r="Q7" s="78" t="str">
        <x:v>Alta</x:v>
      </x:c>
    </x:row>
    <x:row r="8">
      <x:c r="A8" s="78" t="str">
        <x:v>Meia Praia</x:v>
      </x:c>
      <x:c r="B8" s="78" t="n">
        <x:v>1</x:v>
      </x:c>
      <x:c r="C8" s="78" t="n">
        <x:v>56</x:v>
      </x:c>
      <x:c r="D8" s="123" t="n">
        <x:v>877500</x:v>
      </x:c>
      <x:c r="E8" s="126" t="n">
        <x:v>40</x:v>
      </x:c>
      <x:c r="F8" s="81" t="n">
        <x:v>21250</x:v>
      </x:c>
      <x:c r="G8" s="123" t="n">
        <x:v>727.5</x:v>
      </x:c>
      <x:c r="H8" s="123" t="n">
        <x:v>1000</x:v>
      </x:c>
      <x:c r="I8" s="126" t="n">
        <x:v>15</x:v>
      </x:c>
      <x:c r="J8" s="123" t="n">
        <x:v>13216.0841936284</x:v>
      </x:c>
      <x:c r="K8" s="134" t="n">
        <x:f>J8/'Premissas'!$B$6*365*'Premissas'!$B$8*'Premissas'!$B$11</x:f>
        <x:v>34169.08434227676</x:v>
      </x:c>
      <x:c r="L8" s="134" t="n">
        <x:f>'Premissas'!$B$15+'Premissas'!$B$16*B8</x:f>
        <x:v>85000</x:v>
      </x:c>
      <x:c r="M8" s="134" t="n">
        <x:f>D8*(1+'Premissas'!$B$14)+L8</x:f>
        <x:v>1006375</x:v>
      </x:c>
      <x:c r="N8" s="134" t="n">
        <x:f>K8*(1-'Premissas'!$B$13)-G8*12-H8</x:f>
        <x:v>13163.286509325426</x:v>
      </x:c>
      <x:c r="O8" s="135" t="n">
        <x:f>IFERROR(N8/M8,0)</x:f>
        <x:v>0.01307990213322611</x:v>
      </x:c>
      <x:c r="P8" s="136" t="n">
        <x:f>IFERROR(M8/N8,0)</x:f>
        <x:v>76.45317142394809</x:v>
      </x:c>
      <x:c r="Q8" s="78" t="str">
        <x:v>Média</x:v>
      </x:c>
    </x:row>
    <x:row r="9">
      <x:c r="A9" s="78" t="str">
        <x:v>Meia Praia</x:v>
      </x:c>
      <x:c r="B9" s="78" t="n">
        <x:v>2</x:v>
      </x:c>
      <x:c r="C9" s="78" t="n">
        <x:v>241</x:v>
      </x:c>
      <x:c r="D9" s="123" t="n">
        <x:v>1070000</x:v>
      </x:c>
      <x:c r="E9" s="126" t="n">
        <x:v>85</x:v>
      </x:c>
      <x:c r="F9" s="81" t="n">
        <x:v>12826.0869565217</x:v>
      </x:c>
      <x:c r="G9" s="123" t="n">
        <x:v>500</x:v>
      </x:c>
      <x:c r="H9" s="123" t="n">
        <x:v>1083</x:v>
      </x:c>
      <x:c r="I9" s="126" t="n">
        <x:v>90</x:v>
      </x:c>
      <x:c r="J9" s="123" t="n">
        <x:v>13117.1212117233</x:v>
      </x:c>
      <x:c r="K9" s="134" t="n">
        <x:f>J9/'Premissas'!$B$6*365*'Premissas'!$B$8*'Premissas'!$B$11</x:f>
        <x:v>33913.22379947628</x:v>
      </x:c>
      <x:c r="L9" s="134" t="n">
        <x:f>'Premissas'!$B$15+'Premissas'!$B$16*B9</x:f>
        <x:v>110000</x:v>
      </x:c>
      <x:c r="M9" s="134" t="n">
        <x:f>D9*(1+'Premissas'!$B$14)+L9</x:f>
        <x:v>1233500</x:v>
      </x:c>
      <x:c r="N9" s="134" t="n">
        <x:f>K9*(1-'Premissas'!$B$13)-G9*12-H9</x:f>
        <x:v>15638.859945649107</x:v>
      </x:c>
      <x:c r="O9" s="135" t="n">
        <x:f>IFERROR(N9/M9,0)</x:f>
        <x:v>0.012678443409525016</x:v>
      </x:c>
      <x:c r="P9" s="136" t="n">
        <x:f>IFERROR(M9/N9,0)</x:f>
        <x:v>78.87403584959992</x:v>
      </x:c>
      <x:c r="Q9" s="78" t="str">
        <x:v>Alta</x:v>
      </x:c>
    </x:row>
    <x:row r="10">
      <x:c r="A10" s="78" t="str">
        <x:v>Centro</x:v>
      </x:c>
      <x:c r="B10" s="78" t="n">
        <x:v>2</x:v>
      </x:c>
      <x:c r="C10" s="78" t="n">
        <x:v>84</x:v>
      </x:c>
      <x:c r="D10" s="123" t="n">
        <x:v>1122500</x:v>
      </x:c>
      <x:c r="E10" s="126" t="n">
        <x:v>85.5</x:v>
      </x:c>
      <x:c r="F10" s="81" t="n">
        <x:v>13181.1935240964</x:v>
      </x:c>
      <x:c r="G10" s="123" t="n">
        <x:v>500</x:v>
      </x:c>
      <x:c r="H10" s="123" t="n">
        <x:v>1000</x:v>
      </x:c>
      <x:c r="I10" s="126" t="n">
        <x:v>47</x:v>
      </x:c>
      <x:c r="J10" s="123" t="n">
        <x:v>12608.7673501736</x:v>
      </x:c>
      <x:c r="K10" s="134" t="n">
        <x:f>J10/'Premissas'!$B$6*365*'Premissas'!$B$8*'Premissas'!$B$11</x:f>
        <x:v>32598.91725326133</x:v>
      </x:c>
      <x:c r="L10" s="134" t="n">
        <x:f>'Premissas'!$B$15+'Premissas'!$B$16*B10</x:f>
        <x:v>110000</x:v>
      </x:c>
      <x:c r="M10" s="134" t="n">
        <x:f>D10*(1+'Premissas'!$B$14)+L10</x:f>
        <x:v>1288625</x:v>
      </x:c>
      <x:c r="N10" s="134" t="n">
        <x:f>K10*(1-'Premissas'!$B$13)-G10*12-H10</x:f>
        <x:v>14841.274559685087</x:v>
      </x:c>
      <x:c r="O10" s="135" t="n">
        <x:f>IFERROR(N10/M10,0)</x:f>
        <x:v>0.011517140021096198</x:v>
      </x:c>
      <x:c r="P10" s="136" t="n">
        <x:f>IFERROR(M10/N10,0)</x:f>
        <x:v>86.82711143289724</x:v>
      </x:c>
      <x:c r="Q10" s="78" t="str">
        <x:v>Alta</x:v>
      </x:c>
    </x:row>
    <x:row r="11">
      <x:c r="A11" s="78" t="str">
        <x:v>Centro</x:v>
      </x:c>
      <x:c r="B11" s="78" t="n">
        <x:v>1</x:v>
      </x:c>
      <x:c r="C11" s="78" t="n">
        <x:v>19</x:v>
      </x:c>
      <x:c r="D11" s="123" t="n">
        <x:v>890000</x:v>
      </x:c>
      <x:c r="E11" s="126" t="n">
        <x:v>42</x:v>
      </x:c>
      <x:c r="F11" s="81" t="n">
        <x:v>16250</x:v>
      </x:c>
      <x:c r="G11" s="123" t="n">
        <x:v>550</x:v>
      </x:c>
      <x:c r="H11" s="123" t="n">
        <x:v>1200</x:v>
      </x:c>
      <x:c r="I11" s="126" t="n">
        <x:v>70</x:v>
      </x:c>
      <x:c r="J11" s="123" t="n">
        <x:v>9993.9069801275</x:v>
      </x:c>
      <x:c r="K11" s="134" t="n">
        <x:f>J11/'Premissas'!$B$6*365*'Premissas'!$B$8*'Premissas'!$B$11</x:f>
        <x:v>25838.413671537972</x:v>
      </x:c>
      <x:c r="L11" s="134" t="n">
        <x:f>'Premissas'!$B$15+'Premissas'!$B$16*B11</x:f>
        <x:v>85000</x:v>
      </x:c>
      <x:c r="M11" s="134" t="n">
        <x:f>D11*(1+'Premissas'!$B$14)+L11</x:f>
        <x:v>1019500</x:v>
      </x:c>
      <x:c r="N11" s="134" t="n">
        <x:f>K11*(1-'Premissas'!$B$13)-G11*12-H11</x:f>
        <x:v>9511.737159930439</x:v>
      </x:c>
      <x:c r="O11" s="135" t="n">
        <x:f>IFERROR(N11/M11,0)</x:f>
        <x:v>0.00932980594402201</x:v>
      </x:c>
      <x:c r="P11" s="136" t="n">
        <x:f>IFERROR(M11/N11,0)</x:f>
        <x:v>107.18336544188693</x:v>
      </x:c>
      <x:c r="Q11" s="78" t="str">
        <x:v>Média</x:v>
      </x:c>
    </x:row>
    <x:row r="12">
      <x:c r="A12" s="78" t="str">
        <x:v>Meia Praia</x:v>
      </x:c>
      <x:c r="B12" s="78" t="n">
        <x:v>3</x:v>
      </x:c>
      <x:c r="C12" s="78" t="n">
        <x:v>1652</x:v>
      </x:c>
      <x:c r="D12" s="123" t="n">
        <x:v>1880000</x:v>
      </x:c>
      <x:c r="E12" s="126" t="n">
        <x:v>129</x:v>
      </x:c>
      <x:c r="F12" s="81" t="n">
        <x:v>14957.264957265</x:v>
      </x:c>
      <x:c r="G12" s="123" t="n">
        <x:v>650</x:v>
      </x:c>
      <x:c r="H12" s="123" t="n">
        <x:v>1700</x:v>
      </x:c>
      <x:c r="I12" s="126" t="n">
        <x:v>201</x:v>
      </x:c>
      <x:c r="J12" s="123" t="n">
        <x:v>16716.8871082036</x:v>
      </x:c>
      <x:c r="K12" s="134" t="n">
        <x:f>J12/'Premissas'!$B$6*365*'Premissas'!$B$8*'Premissas'!$B$11</x:f>
        <x:v>43220.11854433471</x:v>
      </x:c>
      <x:c r="L12" s="134" t="n">
        <x:f>'Premissas'!$B$15+'Premissas'!$B$16*B12</x:f>
        <x:v>135000</x:v>
      </x:c>
      <x:c r="M12" s="134" t="n">
        <x:f>D12*(1+'Premissas'!$B$14)+L12</x:f>
        <x:v>2109000</x:v>
      </x:c>
      <x:c r="N12" s="134" t="n">
        <x:f>K12*(1-'Premissas'!$B$13)-G12*12-H12</x:f>
        <x:v>19457.479424704256</x:v>
      </x:c>
      <x:c r="O12" s="135" t="n">
        <x:f>IFERROR(N12/M12,0)</x:f>
        <x:v>0.009225926706829899</x:v>
      </x:c>
      <x:c r="P12" s="136" t="n">
        <x:f>IFERROR(M12/N12,0)</x:f>
        <x:v>108.39019556265345</x:v>
      </x:c>
      <x:c r="Q12" s="78" t="str">
        <x:v>Alta</x:v>
      </x:c>
    </x:row>
    <x:row r="13">
      <x:c r="A13" s="78" t="str">
        <x:v>Meia Praia</x:v>
      </x:c>
      <x:c r="B13" s="78" t="n">
        <x:v>4</x:v>
      </x:c>
      <x:c r="C13" s="78" t="n">
        <x:v>1195</x:v>
      </x:c>
      <x:c r="D13" s="123" t="n">
        <x:v>3500000</x:v>
      </x:c>
      <x:c r="E13" s="126" t="n">
        <x:v>187</x:v>
      </x:c>
      <x:c r="F13" s="81" t="n">
        <x:v>18201.4315789474</x:v>
      </x:c>
      <x:c r="G13" s="123" t="n">
        <x:v>950</x:v>
      </x:c>
      <x:c r="H13" s="123" t="n">
        <x:v>3053</x:v>
      </x:c>
      <x:c r="I13" s="126" t="n">
        <x:v>32</x:v>
      </x:c>
      <x:c r="J13" s="123" t="n">
        <x:v>25473.4163970608</x:v>
      </x:c>
      <x:c r="K13" s="134" t="n">
        <x:f>J13/'Premissas'!$B$6*365*'Premissas'!$B$8*'Premissas'!$B$11</x:f>
        <x:v>65859.39530990094</x:v>
      </x:c>
      <x:c r="L13" s="134" t="n">
        <x:f>'Premissas'!$B$15+'Premissas'!$B$16*B13</x:f>
        <x:v>160000</x:v>
      </x:c>
      <x:c r="M13" s="134" t="n">
        <x:f>D13*(1+'Premissas'!$B$14)+L13</x:f>
        <x:v>3835000</x:v>
      </x:c>
      <x:c r="N13" s="134" t="n">
        <x:f>K13*(1-'Premissas'!$B$13)-G13*12-H13</x:f>
        <x:v>29672.79485763362</x:v>
      </x:c>
      <x:c r="O13" s="135" t="n">
        <x:f>IFERROR(N13/M13,0)</x:f>
        <x:v>0.007737365021547228</x:v>
      </x:c>
      <x:c r="P13" s="136" t="n">
        <x:f>IFERROR(M13/N13,0)</x:f>
        <x:v>129.24296543011377</x:v>
      </x:c>
      <x:c r="Q13" s="78" t="str">
        <x:v>Alta</x:v>
      </x:c>
    </x:row>
    <x:row r="14">
      <x:c r="A14" s="79" t="str">
        <x:v>Centro</x:v>
      </x:c>
      <x:c r="B14" s="79" t="n">
        <x:v>3</x:v>
      </x:c>
      <x:c r="C14" s="79" t="n">
        <x:v>430</x:v>
      </x:c>
      <x:c r="D14" s="124" t="n">
        <x:v>2100000</x:v>
      </x:c>
      <x:c r="E14" s="127" t="n">
        <x:v>131</x:v>
      </x:c>
      <x:c r="F14" s="82" t="n">
        <x:v>15789.4736842105</x:v>
      </x:c>
      <x:c r="G14" s="124" t="n">
        <x:v>693.5</x:v>
      </x:c>
      <x:c r="H14" s="124" t="n">
        <x:v>1690</x:v>
      </x:c>
      <x:c r="I14" s="127" t="n">
        <x:v>27</x:v>
      </x:c>
      <x:c r="J14" s="124" t="n">
        <x:v>15812.6393476964</x:v>
      </x:c>
      <x:c r="K14" s="137" t="n">
        <x:f>J14/'Premissas'!$B$6*365*'Premissas'!$B$8*'Premissas'!$B$11</x:f>
        <x:v>40882.261313523406</x:v>
      </x:c>
      <x:c r="L14" s="137" t="n">
        <x:f>'Premissas'!$B$15+'Premissas'!$B$16*B14</x:f>
        <x:v>135000</x:v>
      </x:c>
      <x:c r="M14" s="137" t="n">
        <x:f>D14*(1+'Premissas'!$B$14)+L14</x:f>
        <x:v>2340000</x:v>
      </x:c>
      <x:c r="N14" s="137" t="n">
        <x:f>K14*(1-'Premissas'!$B$13)-G14*12-H14</x:f>
        <x:v>17379.115080060677</x:v>
      </x:c>
      <x:c r="O14" s="138" t="n">
        <x:f>IFERROR(N14/M14,0)</x:f>
        <x:v>0.007426972256436187</x:v>
      </x:c>
      <x:c r="P14" s="139" t="n">
        <x:f>IFERROR(M14/N14,0)</x:f>
        <x:v>134.64436993599963</x:v>
      </x:c>
      <x:c r="Q14" s="79" t="str">
        <x:v>Média</x:v>
      </x:c>
    </x:row>
    <x:row r="18" ht="22" customHeight="1">
      <x:c r="A18" s="10" t="str">
        <x:v>Candidatos prontos — ranking por yield base</x:v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22" t="str">
        <x:v>ID</x:v>
      </x:c>
      <x:c r="B19" s="23" t="str">
        <x:v>Bairro</x:v>
      </x:c>
      <x:c r="C19" s="23" t="str">
        <x:v>Quartos</x:v>
      </x:c>
      <x:c r="D19" s="23" t="str">
        <x:v>Área</x:v>
      </x:c>
      <x:c r="E19" s="23" t="str">
        <x:v>Preço</x:v>
      </x:c>
      <x:c r="F19" s="23" t="str">
        <x:v>R$/m²</x:v>
      </x:c>
      <x:c r="G19" s="23" t="str">
        <x:v>Condomínio</x:v>
      </x:c>
      <x:c r="H19" s="23" t="str">
        <x:v>IPTU</x:v>
      </x:c>
      <x:c r="I19" s="23" t="str">
        <x:v>N Airbnb</x:v>
      </x:c>
      <x:c r="J19" s="23" t="str">
        <x:v>ADR</x:v>
      </x:c>
      <x:c r="K19" s="23" t="str">
        <x:v>Ocup. proxy</x:v>
      </x:c>
      <x:c r="L19" s="23" t="str">
        <x:v>Receita 90d</x:v>
      </x:c>
      <x:c r="M19" s="23" t="str">
        <x:v>Setup</x:v>
      </x:c>
      <x:c r="N19" s="23" t="str">
        <x:v>Investimento</x:v>
      </x:c>
      <x:c r="O19" s="23" t="str">
        <x:v>Gross baixo</x:v>
      </x:c>
      <x:c r="P19" s="23" t="str">
        <x:v>Gross base</x:v>
      </x:c>
      <x:c r="Q19" s="23" t="str">
        <x:v>Gross alto</x:v>
      </x:c>
      <x:c r="R19" s="23" t="str">
        <x:v>NOI baixo</x:v>
      </x:c>
      <x:c r="S19" s="23" t="str">
        <x:v>NOI base</x:v>
      </x:c>
      <x:c r="T19" s="23" t="str">
        <x:v>NOI alto</x:v>
      </x:c>
      <x:c r="U19" s="23" t="str">
        <x:v>Yield baixo</x:v>
      </x:c>
      <x:c r="V19" s="23" t="str">
        <x:v>Yield base</x:v>
      </x:c>
      <x:c r="W19" s="23" t="str">
        <x:v>Yield alto</x:v>
      </x:c>
      <x:c r="X19" s="23" t="str">
        <x:v>Payback</x:v>
      </x:c>
      <x:c r="Y19" s="23" t="str">
        <x:v>Link</x:v>
      </x:c>
      <x:c r="Z19" s="24" t="str">
        <x:v>Título</x:v>
      </x:c>
    </x:row>
    <x:row r="20">
      <x:c r="A20" s="77" t="n">
        <x:v>2750112194</x:v>
      </x:c>
      <x:c r="B20" s="77" t="str">
        <x:v>Morretes</x:v>
      </x:c>
      <x:c r="C20" s="77" t="n">
        <x:v>2</x:v>
      </x:c>
      <x:c r="D20" s="77" t="n">
        <x:v>52</x:v>
      </x:c>
      <x:c r="E20" s="122" t="n">
        <x:v>458000</x:v>
      </x:c>
      <x:c r="F20" s="122" t="n">
        <x:v>8807.6923076923</x:v>
      </x:c>
      <x:c r="G20" s="122" t="n">
        <x:v>350</x:v>
      </x:c>
      <x:c r="H20" s="122" t="n">
        <x:v>850</x:v>
      </x:c>
      <x:c r="I20" s="77" t="n">
        <x:v>38</x:v>
      </x:c>
      <x:c r="J20" s="122" t="n">
        <x:v>449.25</x:v>
      </x:c>
      <x:c r="K20" s="83" t="n">
        <x:v>0.2722222222</x:v>
      </x:c>
      <x:c r="L20" s="122" t="n">
        <x:v>11578.1305718718</x:v>
      </x:c>
      <x:c r="M20" s="131" t="n">
        <x:f>'Premissas'!$B$15+'Premissas'!$B$16*C20</x:f>
        <x:v>110000</x:v>
      </x:c>
      <x:c r="N20" s="131" t="n">
        <x:f>E20*(1+'Premissas'!$B$14)+M20</x:f>
        <x:v>590900</x:v>
      </x:c>
      <x:c r="O20" s="131" t="n">
        <x:f>L20/'Premissas'!$B$6*365*'Premissas'!$B$7*'Premissas'!$B$10</x:f>
        <x:v>19721.41574075496</x:v>
      </x:c>
      <x:c r="P20" s="131" t="n">
        <x:f>L20/'Premissas'!$B$6*365*'Premissas'!$B$8*'Premissas'!$B$11</x:f>
        <x:v>29934.29174936021</x:v>
      </x:c>
      <x:c r="Q20" s="131" t="n">
        <x:f>L20/'Premissas'!$B$6*365*'Premissas'!$B$9*'Premissas'!$B$12</x:f>
        <x:v>42260.17658733207</x:v>
      </x:c>
      <x:c r="R20" s="131" t="n">
        <x:f>O20*(1-'Premissas'!$B$13)-G20*12-H20</x:f>
        <x:v>8163.348546305822</x:v>
      </x:c>
      <x:c r="S20" s="131" t="n">
        <x:f>P20*(1-'Premissas'!$B$13)-G20*12-H20</x:f>
        <x:v>15005.975472071339</x:v>
      </x:c>
      <x:c r="T20" s="131" t="n">
        <x:f>Q20*(1-'Premissas'!$B$13)-G20*12-H20</x:f>
        <x:v>23264.318313512482</x:v>
      </x:c>
      <x:c r="U20" s="132" t="n">
        <x:f>IFERROR(R20/N20,0)</x:f>
        <x:v>0.013815110080057239</x:v>
      </x:c>
      <x:c r="V20" s="132" t="n">
        <x:f>IFERROR(S20/N20,0)</x:f>
        <x:v>0.02539511841609636</x:v>
      </x:c>
      <x:c r="W20" s="132" t="n">
        <x:f>IFERROR(T20/N20,0)</x:f>
        <x:v>0.03937099054579875</x:v>
      </x:c>
      <x:c r="X20" s="133" t="n">
        <x:f>IFERROR(N20/S20,0)</x:f>
        <x:v>39.37764666480796</x:v>
      </x:c>
      <x:c r="Y20" s="77" t="str">
        <x:v>https://www.vivareal.com.br/imovel/apartamento-2-quartos-morretes-bairros-itapema-com-garagem-52m2-venda-RS458000-id-2750112194/</x:v>
      </x:c>
      <x:c r="Z20" s="77" t="str">
        <x:v>Apartamento com 02 dormitórios em empreendimento com área de lazer completa em Itapema</x:v>
      </x:c>
    </x:row>
    <x:row r="21">
      <x:c r="A21" s="78" t="n">
        <x:v>2614369252</x:v>
      </x:c>
      <x:c r="B21" s="78" t="str">
        <x:v>Morretes</x:v>
      </x:c>
      <x:c r="C21" s="78" t="n">
        <x:v>2</x:v>
      </x:c>
      <x:c r="D21" s="78" t="n">
        <x:v>55</x:v>
      </x:c>
      <x:c r="E21" s="123" t="n">
        <x:v>460000</x:v>
      </x:c>
      <x:c r="F21" s="123" t="n">
        <x:v>8363.6363636364</x:v>
      </x:c>
      <x:c r="G21" s="123" t="n">
        <x:v>350</x:v>
      </x:c>
      <x:c r="H21" s="123" t="n">
        <x:v>850</x:v>
      </x:c>
      <x:c r="I21" s="78" t="n">
        <x:v>38</x:v>
      </x:c>
      <x:c r="J21" s="123" t="n">
        <x:v>449.25</x:v>
      </x:c>
      <x:c r="K21" s="84" t="n">
        <x:v>0.2722222222</x:v>
      </x:c>
      <x:c r="L21" s="123" t="n">
        <x:v>11578.1305718718</x:v>
      </x:c>
      <x:c r="M21" s="134" t="n">
        <x:f>'Premissas'!$B$15+'Premissas'!$B$16*C21</x:f>
        <x:v>110000</x:v>
      </x:c>
      <x:c r="N21" s="134" t="n">
        <x:f>E21*(1+'Premissas'!$B$14)+M21</x:f>
        <x:v>593000</x:v>
      </x:c>
      <x:c r="O21" s="134" t="n">
        <x:f>L21/'Premissas'!$B$6*365*'Premissas'!$B$7*'Premissas'!$B$10</x:f>
        <x:v>19721.41574075496</x:v>
      </x:c>
      <x:c r="P21" s="134" t="n">
        <x:f>L21/'Premissas'!$B$6*365*'Premissas'!$B$8*'Premissas'!$B$11</x:f>
        <x:v>29934.29174936021</x:v>
      </x:c>
      <x:c r="Q21" s="134" t="n">
        <x:f>L21/'Premissas'!$B$6*365*'Premissas'!$B$9*'Premissas'!$B$12</x:f>
        <x:v>42260.17658733207</x:v>
      </x:c>
      <x:c r="R21" s="134" t="n">
        <x:f>O21*(1-'Premissas'!$B$13)-G21*12-H21</x:f>
        <x:v>8163.348546305822</x:v>
      </x:c>
      <x:c r="S21" s="134" t="n">
        <x:f>P21*(1-'Premissas'!$B$13)-G21*12-H21</x:f>
        <x:v>15005.975472071339</x:v>
      </x:c>
      <x:c r="T21" s="134" t="n">
        <x:f>Q21*(1-'Premissas'!$B$13)-G21*12-H21</x:f>
        <x:v>23264.318313512482</x:v>
      </x:c>
      <x:c r="U21" s="135" t="n">
        <x:f>IFERROR(R21/N21,0)</x:f>
        <x:v>0.0137661864187282</x:v>
      </x:c>
      <x:c r="V21" s="135" t="n">
        <x:f>IFERROR(S21/N21,0)</x:f>
        <x:v>0.025305186293543572</x:v>
      </x:c>
      <x:c r="W21" s="135" t="n">
        <x:f>IFERROR(T21/N21,0)</x:f>
        <x:v>0.03923156545280351</x:v>
      </x:c>
      <x:c r="X21" s="136" t="n">
        <x:f>IFERROR(N21/S21,0)</x:f>
        <x:v>39.51759091594368</x:v>
      </x:c>
      <x:c r="Y21" s="78" t="str">
        <x:v>https://www.vivareal.com.br/imovel/apartamento-2-quartos-morretes-bairros-itapema-com-garagem-55m2-venda-RS460000-id-2614369252/</x:v>
      </x:c>
      <x:c r="Z21" s="78" t="str">
        <x:v>APARTAMENTO A VENDA EM ITAPEMA | 2 DORMITORIOS</x:v>
      </x:c>
    </x:row>
    <x:row r="22">
      <x:c r="A22" s="78" t="n">
        <x:v>2769968613</x:v>
      </x:c>
      <x:c r="B22" s="78" t="str">
        <x:v>Morretes</x:v>
      </x:c>
      <x:c r="C22" s="78" t="n">
        <x:v>2</x:v>
      </x:c>
      <x:c r="D22" s="78" t="n">
        <x:v>55</x:v>
      </x:c>
      <x:c r="E22" s="123" t="n">
        <x:v>475000</x:v>
      </x:c>
      <x:c r="F22" s="123" t="n">
        <x:v>8636.3636363636</x:v>
      </x:c>
      <x:c r="G22" s="123" t="n">
        <x:v>350</x:v>
      </x:c>
      <x:c r="H22" s="123" t="n">
        <x:v>850</x:v>
      </x:c>
      <x:c r="I22" s="78" t="n">
        <x:v>38</x:v>
      </x:c>
      <x:c r="J22" s="123" t="n">
        <x:v>449.25</x:v>
      </x:c>
      <x:c r="K22" s="84" t="n">
        <x:v>0.2722222222</x:v>
      </x:c>
      <x:c r="L22" s="123" t="n">
        <x:v>11578.1305718718</x:v>
      </x:c>
      <x:c r="M22" s="134" t="n">
        <x:f>'Premissas'!$B$15+'Premissas'!$B$16*C22</x:f>
        <x:v>110000</x:v>
      </x:c>
      <x:c r="N22" s="134" t="n">
        <x:f>E22*(1+'Premissas'!$B$14)+M22</x:f>
        <x:v>608750</x:v>
      </x:c>
      <x:c r="O22" s="134" t="n">
        <x:f>L22/'Premissas'!$B$6*365*'Premissas'!$B$7*'Premissas'!$B$10</x:f>
        <x:v>19721.41574075496</x:v>
      </x:c>
      <x:c r="P22" s="134" t="n">
        <x:f>L22/'Premissas'!$B$6*365*'Premissas'!$B$8*'Premissas'!$B$11</x:f>
        <x:v>29934.29174936021</x:v>
      </x:c>
      <x:c r="Q22" s="134" t="n">
        <x:f>L22/'Premissas'!$B$6*365*'Premissas'!$B$9*'Premissas'!$B$12</x:f>
        <x:v>42260.17658733207</x:v>
      </x:c>
      <x:c r="R22" s="134" t="n">
        <x:f>O22*(1-'Premissas'!$B$13)-G22*12-H22</x:f>
        <x:v>8163.348546305822</x:v>
      </x:c>
      <x:c r="S22" s="134" t="n">
        <x:f>P22*(1-'Premissas'!$B$13)-G22*12-H22</x:f>
        <x:v>15005.975472071339</x:v>
      </x:c>
      <x:c r="T22" s="134" t="n">
        <x:f>Q22*(1-'Premissas'!$B$13)-G22*12-H22</x:f>
        <x:v>23264.318313512482</x:v>
      </x:c>
      <x:c r="U22" s="135" t="n">
        <x:f>IFERROR(R22/N22,0)</x:f>
        <x:v>0.013410018145882255</x:v>
      </x:c>
      <x:c r="V22" s="135" t="n">
        <x:f>IFERROR(S22/N22,0)</x:f>
        <x:v>0.02465047305473731</x:v>
      </x:c>
      <x:c r="W22" s="135" t="n">
        <x:f>IFERROR(T22/N22,0)</x:f>
        <x:v>0.038216539324045146</x:v>
      </x:c>
      <x:c r="X22" s="136" t="n">
        <x:f>IFERROR(N22/S22,0)</x:f>
        <x:v>40.567172799461574</x:v>
      </x:c>
      <x:c r="Y22" s="78" t="str">
        <x:v>https://www.vivareal.com.br/imovel/apartamento-2-quartos-morretes-bairros-itapema-com-garagem-55m2-venda-RS475000-id-2769968613/</x:v>
      </x:c>
      <x:c r="Z22" s="78" t="str">
        <x:v>Apartamento à venda com ótima localização, próximo ao supermercado Koch em Morretes, Itapema, SC</x:v>
      </x:c>
    </x:row>
    <x:row r="23">
      <x:c r="A23" s="78" t="n">
        <x:v>2748077316</x:v>
      </x:c>
      <x:c r="B23" s="78" t="str">
        <x:v>Morretes</x:v>
      </x:c>
      <x:c r="C23" s="78" t="n">
        <x:v>2</x:v>
      </x:c>
      <x:c r="D23" s="78" t="n">
        <x:v>60</x:v>
      </x:c>
      <x:c r="E23" s="123" t="n">
        <x:v>525500</x:v>
      </x:c>
      <x:c r="F23" s="123" t="n">
        <x:v>8758.3333333333</x:v>
      </x:c>
      <x:c r="G23" s="123" t="n">
        <x:v>250</x:v>
      </x:c>
      <x:c r="H23" s="123" t="n">
        <x:v>750</x:v>
      </x:c>
      <x:c r="I23" s="78" t="n">
        <x:v>38</x:v>
      </x:c>
      <x:c r="J23" s="123" t="n">
        <x:v>449.25</x:v>
      </x:c>
      <x:c r="K23" s="84" t="n">
        <x:v>0.2722222222</x:v>
      </x:c>
      <x:c r="L23" s="123" t="n">
        <x:v>11578.1305718718</x:v>
      </x:c>
      <x:c r="M23" s="134" t="n">
        <x:f>'Premissas'!$B$15+'Premissas'!$B$16*C23</x:f>
        <x:v>110000</x:v>
      </x:c>
      <x:c r="N23" s="134" t="n">
        <x:f>E23*(1+'Premissas'!$B$14)+M23</x:f>
        <x:v>661775</x:v>
      </x:c>
      <x:c r="O23" s="134" t="n">
        <x:f>L23/'Premissas'!$B$6*365*'Premissas'!$B$7*'Premissas'!$B$10</x:f>
        <x:v>19721.41574075496</x:v>
      </x:c>
      <x:c r="P23" s="134" t="n">
        <x:f>L23/'Premissas'!$B$6*365*'Premissas'!$B$8*'Premissas'!$B$11</x:f>
        <x:v>29934.29174936021</x:v>
      </x:c>
      <x:c r="Q23" s="134" t="n">
        <x:f>L23/'Premissas'!$B$6*365*'Premissas'!$B$9*'Premissas'!$B$12</x:f>
        <x:v>42260.17658733207</x:v>
      </x:c>
      <x:c r="R23" s="134" t="n">
        <x:f>O23*(1-'Premissas'!$B$13)-G23*12-H23</x:f>
        <x:v>9463.348546305822</x:v>
      </x:c>
      <x:c r="S23" s="134" t="n">
        <x:f>P23*(1-'Premissas'!$B$13)-G23*12-H23</x:f>
        <x:v>16305.975472071339</x:v>
      </x:c>
      <x:c r="T23" s="134" t="n">
        <x:f>Q23*(1-'Premissas'!$B$13)-G23*12-H23</x:f>
        <x:v>24564.318313512482</x:v>
      </x:c>
      <x:c r="U23" s="135" t="n">
        <x:f>IFERROR(R23/N23,0)</x:f>
        <x:v>0.014299948692993574</x:v>
      </x:c>
      <x:c r="V23" s="135" t="n">
        <x:f>IFERROR(S23/N23,0)</x:f>
        <x:v>0.024639757428236694</x:v>
      </x:c>
      <x:c r="W23" s="135" t="n">
        <x:f>IFERROR(T23/N23,0)</x:f>
        <x:v>0.03711883693628874</x:v>
      </x:c>
      <x:c r="X23" s="136" t="n">
        <x:f>IFERROR(N23/S23,0)</x:f>
        <x:v>40.58481512703607</x:v>
      </x:c>
      <x:c r="Y23" s="78" t="str">
        <x:v>https://www.vivareal.com.br/imovel/apartamento-2-quartos-morretes-bairros-itapema-com-garagem-60m2-venda-RS525500-id-2748077316/</x:v>
      </x:c>
      <x:c r="Z23" s="78" t="str">
        <x:v>Apartamento para Venda em Itapema, Morretes, 2 dormitórios, 1 suíte, 2 banheiros, 1 vaga</x:v>
      </x:c>
    </x:row>
    <x:row r="24">
      <x:c r="A24" s="78" t="n">
        <x:v>2727530262</x:v>
      </x:c>
      <x:c r="B24" s="78" t="str">
        <x:v>Morretes</x:v>
      </x:c>
      <x:c r="C24" s="78" t="n">
        <x:v>2</x:v>
      </x:c>
      <x:c r="D24" s="78" t="n">
        <x:v>60</x:v>
      </x:c>
      <x:c r="E24" s="123" t="n">
        <x:v>525000</x:v>
      </x:c>
      <x:c r="F24" s="123" t="n">
        <x:v>8750</x:v>
      </x:c>
      <x:c r="G24" s="123" t="n">
        <x:v>300</x:v>
      </x:c>
      <x:c r="H24" s="123" t="n">
        <x:v>500</x:v>
      </x:c>
      <x:c r="I24" s="78" t="n">
        <x:v>38</x:v>
      </x:c>
      <x:c r="J24" s="123" t="n">
        <x:v>449.25</x:v>
      </x:c>
      <x:c r="K24" s="84" t="n">
        <x:v>0.2722222222</x:v>
      </x:c>
      <x:c r="L24" s="123" t="n">
        <x:v>11578.1305718718</x:v>
      </x:c>
      <x:c r="M24" s="134" t="n">
        <x:f>'Premissas'!$B$15+'Premissas'!$B$16*C24</x:f>
        <x:v>110000</x:v>
      </x:c>
      <x:c r="N24" s="134" t="n">
        <x:f>E24*(1+'Premissas'!$B$14)+M24</x:f>
        <x:v>661250</x:v>
      </x:c>
      <x:c r="O24" s="134" t="n">
        <x:f>L24/'Premissas'!$B$6*365*'Premissas'!$B$7*'Premissas'!$B$10</x:f>
        <x:v>19721.41574075496</x:v>
      </x:c>
      <x:c r="P24" s="134" t="n">
        <x:f>L24/'Premissas'!$B$6*365*'Premissas'!$B$8*'Premissas'!$B$11</x:f>
        <x:v>29934.29174936021</x:v>
      </x:c>
      <x:c r="Q24" s="134" t="n">
        <x:f>L24/'Premissas'!$B$6*365*'Premissas'!$B$9*'Premissas'!$B$12</x:f>
        <x:v>42260.17658733207</x:v>
      </x:c>
      <x:c r="R24" s="134" t="n">
        <x:f>O24*(1-'Premissas'!$B$13)-G24*12-H24</x:f>
        <x:v>9113.348546305822</x:v>
      </x:c>
      <x:c r="S24" s="134" t="n">
        <x:f>P24*(1-'Premissas'!$B$13)-G24*12-H24</x:f>
        <x:v>15955.975472071339</x:v>
      </x:c>
      <x:c r="T24" s="134" t="n">
        <x:f>Q24*(1-'Premissas'!$B$13)-G24*12-H24</x:f>
        <x:v>24214.318313512482</x:v>
      </x:c>
      <x:c r="U24" s="135" t="n">
        <x:f>IFERROR(R24/N24,0)</x:f>
        <x:v>0.013782001582315044</x:v>
      </x:c>
      <x:c r="V24" s="135" t="n">
        <x:f>IFERROR(S24/N24,0)</x:f>
        <x:v>0.02413001961749919</x:v>
      </x:c>
      <x:c r="W24" s="135" t="n">
        <x:f>IFERROR(T24/N24,0)</x:f>
        <x:v>0.03661900690134213</x:v>
      </x:c>
      <x:c r="X24" s="136" t="n">
        <x:f>IFERROR(N24/S24,0)</x:f>
        <x:v>41.44215445539032</x:v>
      </x:c>
      <x:c r="Y24" s="78" t="str">
        <x:v>https://www.vivareal.com.br/imovel/apartamento-2-quartos-morretes-bairros-itapema-com-garagem-60m2-venda-RS525000-id-2727530262/</x:v>
      </x:c>
      <x:c r="Z24" s="78" t="str">
        <x:v>APTO COM 02 DORMS EM ITAPEMA, LAZER COMPLETO, OPORTUNIDADE!!!</x:v>
      </x:c>
    </x:row>
    <x:row r="25">
      <x:c r="A25" s="78" t="n">
        <x:v>2728011539</x:v>
      </x:c>
      <x:c r="B25" s="78" t="str">
        <x:v>Morretes</x:v>
      </x:c>
      <x:c r="C25" s="78" t="n">
        <x:v>2</x:v>
      </x:c>
      <x:c r="D25" s="78" t="n">
        <x:v>60</x:v>
      </x:c>
      <x:c r="E25" s="123" t="n">
        <x:v>525000</x:v>
      </x:c>
      <x:c r="F25" s="123" t="n">
        <x:v>8750</x:v>
      </x:c>
      <x:c r="G25" s="123" t="n">
        <x:v>300</x:v>
      </x:c>
      <x:c r="H25" s="123" t="n">
        <x:v>500</x:v>
      </x:c>
      <x:c r="I25" s="78" t="n">
        <x:v>38</x:v>
      </x:c>
      <x:c r="J25" s="123" t="n">
        <x:v>449.25</x:v>
      </x:c>
      <x:c r="K25" s="84" t="n">
        <x:v>0.2722222222</x:v>
      </x:c>
      <x:c r="L25" s="123" t="n">
        <x:v>11578.1305718718</x:v>
      </x:c>
      <x:c r="M25" s="134" t="n">
        <x:f>'Premissas'!$B$15+'Premissas'!$B$16*C25</x:f>
        <x:v>110000</x:v>
      </x:c>
      <x:c r="N25" s="134" t="n">
        <x:f>E25*(1+'Premissas'!$B$14)+M25</x:f>
        <x:v>661250</x:v>
      </x:c>
      <x:c r="O25" s="134" t="n">
        <x:f>L25/'Premissas'!$B$6*365*'Premissas'!$B$7*'Premissas'!$B$10</x:f>
        <x:v>19721.41574075496</x:v>
      </x:c>
      <x:c r="P25" s="134" t="n">
        <x:f>L25/'Premissas'!$B$6*365*'Premissas'!$B$8*'Premissas'!$B$11</x:f>
        <x:v>29934.29174936021</x:v>
      </x:c>
      <x:c r="Q25" s="134" t="n">
        <x:f>L25/'Premissas'!$B$6*365*'Premissas'!$B$9*'Premissas'!$B$12</x:f>
        <x:v>42260.17658733207</x:v>
      </x:c>
      <x:c r="R25" s="134" t="n">
        <x:f>O25*(1-'Premissas'!$B$13)-G25*12-H25</x:f>
        <x:v>9113.348546305822</x:v>
      </x:c>
      <x:c r="S25" s="134" t="n">
        <x:f>P25*(1-'Premissas'!$B$13)-G25*12-H25</x:f>
        <x:v>15955.975472071339</x:v>
      </x:c>
      <x:c r="T25" s="134" t="n">
        <x:f>Q25*(1-'Premissas'!$B$13)-G25*12-H25</x:f>
        <x:v>24214.318313512482</x:v>
      </x:c>
      <x:c r="U25" s="135" t="n">
        <x:f>IFERROR(R25/N25,0)</x:f>
        <x:v>0.013782001582315044</x:v>
      </x:c>
      <x:c r="V25" s="135" t="n">
        <x:f>IFERROR(S25/N25,0)</x:f>
        <x:v>0.02413001961749919</x:v>
      </x:c>
      <x:c r="W25" s="135" t="n">
        <x:f>IFERROR(T25/N25,0)</x:f>
        <x:v>0.03661900690134213</x:v>
      </x:c>
      <x:c r="X25" s="136" t="n">
        <x:f>IFERROR(N25/S25,0)</x:f>
        <x:v>41.44215445539032</x:v>
      </x:c>
      <x:c r="Y25" s="78" t="str">
        <x:v>https://www.vivareal.com.br/imovel/apartamento-2-quartos-morretes-bairros-itapema-com-garagem-60m2-venda-RS525000-id-2728011539/</x:v>
      </x:c>
      <x:c r="Z25" s="78" t="str">
        <x:v>APTO COM 02 DORMS EM ITAPEMA, LAZER COMPLETO, OPORTUNIDADE!!!</x:v>
      </x:c>
    </x:row>
    <x:row r="26">
      <x:c r="A26" s="78" t="n">
        <x:v>2767581974</x:v>
      </x:c>
      <x:c r="B26" s="78" t="str">
        <x:v>Morretes</x:v>
      </x:c>
      <x:c r="C26" s="78" t="n">
        <x:v>2</x:v>
      </x:c>
      <x:c r="D26" s="78" t="n">
        <x:v>50</x:v>
      </x:c>
      <x:c r="E26" s="123" t="n">
        <x:v>495000</x:v>
      </x:c>
      <x:c r="F26" s="123" t="n">
        <x:v>9900</x:v>
      </x:c>
      <x:c r="G26" s="123" t="n">
        <x:v>350</x:v>
      </x:c>
      <x:c r="H26" s="123" t="n">
        <x:v>850</x:v>
      </x:c>
      <x:c r="I26" s="78" t="n">
        <x:v>38</x:v>
      </x:c>
      <x:c r="J26" s="123" t="n">
        <x:v>449.25</x:v>
      </x:c>
      <x:c r="K26" s="84" t="n">
        <x:v>0.2722222222</x:v>
      </x:c>
      <x:c r="L26" s="123" t="n">
        <x:v>11578.1305718718</x:v>
      </x:c>
      <x:c r="M26" s="134" t="n">
        <x:f>'Premissas'!$B$15+'Premissas'!$B$16*C26</x:f>
        <x:v>110000</x:v>
      </x:c>
      <x:c r="N26" s="134" t="n">
        <x:f>E26*(1+'Premissas'!$B$14)+M26</x:f>
        <x:v>629750</x:v>
      </x:c>
      <x:c r="O26" s="134" t="n">
        <x:f>L26/'Premissas'!$B$6*365*'Premissas'!$B$7*'Premissas'!$B$10</x:f>
        <x:v>19721.41574075496</x:v>
      </x:c>
      <x:c r="P26" s="134" t="n">
        <x:f>L26/'Premissas'!$B$6*365*'Premissas'!$B$8*'Premissas'!$B$11</x:f>
        <x:v>29934.29174936021</x:v>
      </x:c>
      <x:c r="Q26" s="134" t="n">
        <x:f>L26/'Premissas'!$B$6*365*'Premissas'!$B$9*'Premissas'!$B$12</x:f>
        <x:v>42260.17658733207</x:v>
      </x:c>
      <x:c r="R26" s="134" t="n">
        <x:f>O26*(1-'Premissas'!$B$13)-G26*12-H26</x:f>
        <x:v>8163.348546305822</x:v>
      </x:c>
      <x:c r="S26" s="134" t="n">
        <x:f>P26*(1-'Premissas'!$B$13)-G26*12-H26</x:f>
        <x:v>15005.975472071339</x:v>
      </x:c>
      <x:c r="T26" s="134" t="n">
        <x:f>Q26*(1-'Premissas'!$B$13)-G26*12-H26</x:f>
        <x:v>23264.318313512482</x:v>
      </x:c>
      <x:c r="U26" s="135" t="n">
        <x:f>IFERROR(R26/N26,0)</x:f>
        <x:v>0.0129628400894098</x:v>
      </x:c>
      <x:c r="V26" s="135" t="n">
        <x:f>IFERROR(S26/N26,0)</x:f>
        <x:v>0.023828464425678982</x:v>
      </x:c>
      <x:c r="W26" s="135" t="n">
        <x:f>IFERROR(T26/N26,0)</x:f>
        <x:v>0.03694214896945214</x:v>
      </x:c>
      <x:c r="X26" s="136" t="n">
        <x:f>IFERROR(N26/S26,0)</x:f>
        <x:v>41.966615310818774</x:v>
      </x:c>
      <x:c r="Y26" s="78" t="str">
        <x:v>https://www.vivareal.com.br/imovel/apartamento-2-quartos-morretes-bairros-itapema-com-garagem-50m2-venda-RS495000-id-2767581974/</x:v>
      </x:c>
      <x:c r="Z26" s="78" t="str">
        <x:v>APARTAMENTO A VENDA EM ITAPEMA</x:v>
      </x:c>
    </x:row>
    <x:row r="27">
      <x:c r="A27" s="78" t="n">
        <x:v>2692570680</x:v>
      </x:c>
      <x:c r="B27" s="78" t="str">
        <x:v>Morretes</x:v>
      </x:c>
      <x:c r="C27" s="78" t="n">
        <x:v>2</x:v>
      </x:c>
      <x:c r="D27" s="78" t="n">
        <x:v>60</x:v>
      </x:c>
      <x:c r="E27" s="123" t="n">
        <x:v>530000</x:v>
      </x:c>
      <x:c r="F27" s="123" t="n">
        <x:v>8833.3333333333</x:v>
      </x:c>
      <x:c r="G27" s="123" t="n">
        <x:v>350</x:v>
      </x:c>
      <x:c r="H27" s="123" t="n">
        <x:v>850</x:v>
      </x:c>
      <x:c r="I27" s="78" t="n">
        <x:v>38</x:v>
      </x:c>
      <x:c r="J27" s="123" t="n">
        <x:v>449.25</x:v>
      </x:c>
      <x:c r="K27" s="84" t="n">
        <x:v>0.2722222222</x:v>
      </x:c>
      <x:c r="L27" s="123" t="n">
        <x:v>11578.1305718718</x:v>
      </x:c>
      <x:c r="M27" s="134" t="n">
        <x:f>'Premissas'!$B$15+'Premissas'!$B$16*C27</x:f>
        <x:v>110000</x:v>
      </x:c>
      <x:c r="N27" s="134" t="n">
        <x:f>E27*(1+'Premissas'!$B$14)+M27</x:f>
        <x:v>666500</x:v>
      </x:c>
      <x:c r="O27" s="134" t="n">
        <x:f>L27/'Premissas'!$B$6*365*'Premissas'!$B$7*'Premissas'!$B$10</x:f>
        <x:v>19721.41574075496</x:v>
      </x:c>
      <x:c r="P27" s="134" t="n">
        <x:f>L27/'Premissas'!$B$6*365*'Premissas'!$B$8*'Premissas'!$B$11</x:f>
        <x:v>29934.29174936021</x:v>
      </x:c>
      <x:c r="Q27" s="134" t="n">
        <x:f>L27/'Premissas'!$B$6*365*'Premissas'!$B$9*'Premissas'!$B$12</x:f>
        <x:v>42260.17658733207</x:v>
      </x:c>
      <x:c r="R27" s="134" t="n">
        <x:f>O27*(1-'Premissas'!$B$13)-G27*12-H27</x:f>
        <x:v>8163.348546305822</x:v>
      </x:c>
      <x:c r="S27" s="134" t="n">
        <x:f>P27*(1-'Premissas'!$B$13)-G27*12-H27</x:f>
        <x:v>15005.975472071339</x:v>
      </x:c>
      <x:c r="T27" s="134" t="n">
        <x:f>Q27*(1-'Premissas'!$B$13)-G27*12-H27</x:f>
        <x:v>23264.318313512482</x:v>
      </x:c>
      <x:c r="U27" s="135" t="n">
        <x:f>IFERROR(R27/N27,0)</x:f>
        <x:v>0.0122480848406689</x:v>
      </x:c>
      <x:c r="V27" s="135" t="n">
        <x:f>IFERROR(S27/N27,0)</x:f>
        <x:v>0.022514591856071027</x:v>
      </x:c>
      <x:c r="W27" s="135" t="n">
        <x:f>IFERROR(T27/N27,0)</x:f>
        <x:v>0.03490520377121153</x:v>
      </x:c>
      <x:c r="X27" s="136" t="n">
        <x:f>IFERROR(N27/S27,0)</x:f>
        <x:v>44.41563970569386</x:v>
      </x:c>
      <x:c r="Y27" s="78" t="str">
        <x:v>https://www.vivareal.com.br/imovel/apartamento-2-quartos-morretes-bairros-itapema-com-garagem-60m2-venda-RS530000-id-2692570680/</x:v>
      </x:c>
      <x:c r="Z27" s="78" t="str">
        <x:v>Exclusividade - Apartamento 02 Dormitórios mobiliado em Morretes - Itapema</x:v>
      </x:c>
    </x:row>
    <x:row r="28">
      <x:c r="A28" s="78" t="n">
        <x:v>2760266628</x:v>
      </x:c>
      <x:c r="B28" s="78" t="str">
        <x:v>Morretes</x:v>
      </x:c>
      <x:c r="C28" s="78" t="n">
        <x:v>2</x:v>
      </x:c>
      <x:c r="D28" s="78" t="n">
        <x:v>68</x:v>
      </x:c>
      <x:c r="E28" s="123" t="n">
        <x:v>600000</x:v>
      </x:c>
      <x:c r="F28" s="123" t="n">
        <x:v>8823.5294117647</x:v>
      </x:c>
      <x:c r="G28" s="123" t="n">
        <x:v>250</x:v>
      </x:c>
      <x:c r="H28" s="123" t="n">
        <x:v>560</x:v>
      </x:c>
      <x:c r="I28" s="78" t="n">
        <x:v>38</x:v>
      </x:c>
      <x:c r="J28" s="123" t="n">
        <x:v>449.25</x:v>
      </x:c>
      <x:c r="K28" s="84" t="n">
        <x:v>0.2722222222</x:v>
      </x:c>
      <x:c r="L28" s="123" t="n">
        <x:v>11578.1305718718</x:v>
      </x:c>
      <x:c r="M28" s="134" t="n">
        <x:f>'Premissas'!$B$15+'Premissas'!$B$16*C28</x:f>
        <x:v>110000</x:v>
      </x:c>
      <x:c r="N28" s="134" t="n">
        <x:f>E28*(1+'Premissas'!$B$14)+M28</x:f>
        <x:v>740000</x:v>
      </x:c>
      <x:c r="O28" s="134" t="n">
        <x:f>L28/'Premissas'!$B$6*365*'Premissas'!$B$7*'Premissas'!$B$10</x:f>
        <x:v>19721.41574075496</x:v>
      </x:c>
      <x:c r="P28" s="134" t="n">
        <x:f>L28/'Premissas'!$B$6*365*'Premissas'!$B$8*'Premissas'!$B$11</x:f>
        <x:v>29934.29174936021</x:v>
      </x:c>
      <x:c r="Q28" s="134" t="n">
        <x:f>L28/'Premissas'!$B$6*365*'Premissas'!$B$9*'Premissas'!$B$12</x:f>
        <x:v>42260.17658733207</x:v>
      </x:c>
      <x:c r="R28" s="134" t="n">
        <x:f>O28*(1-'Premissas'!$B$13)-G28*12-H28</x:f>
        <x:v>9653.348546305822</x:v>
      </x:c>
      <x:c r="S28" s="134" t="n">
        <x:f>P28*(1-'Premissas'!$B$13)-G28*12-H28</x:f>
        <x:v>16495.97547207134</x:v>
      </x:c>
      <x:c r="T28" s="134" t="n">
        <x:f>Q28*(1-'Premissas'!$B$13)-G28*12-H28</x:f>
        <x:v>24754.318313512482</x:v>
      </x:c>
      <x:c r="U28" s="135" t="n">
        <x:f>IFERROR(R28/N28,0)</x:f>
        <x:v>0.013045065603115975</x:v>
      </x:c>
      <x:c r="V28" s="135" t="n">
        <x:f>IFERROR(S28/N28,0)</x:f>
        <x:v>0.02229185874604235</x:v>
      </x:c>
      <x:c r="W28" s="135" t="n">
        <x:f>IFERROR(T28/N28,0)</x:f>
        <x:v>0.0334517815047466</x:v>
      </x:c>
      <x:c r="X28" s="136" t="n">
        <x:f>IFERROR(N28/S28,0)</x:f>
        <x:v>44.85942654636361</x:v>
      </x:c>
      <x:c r="Y28" s="78" t="str">
        <x:v>https://www.vivareal.com.br/imovel/apartamento-2-quartos-morretes-bairros-itapema-com-garagem-68m2-venda-RS600000-id-2760266628/</x:v>
      </x:c>
      <x:c r="Z28" s="78" t="str">
        <x:v>Imóvel para venda possui 68 metros quadrados com 2 quartos em Morretes - Itapema - SC</x:v>
      </x:c>
    </x:row>
    <x:row r="29">
      <x:c r="A29" s="78" t="n">
        <x:v>2663775496</x:v>
      </x:c>
      <x:c r="B29" s="78" t="str">
        <x:v>Morretes</x:v>
      </x:c>
      <x:c r="C29" s="78" t="n">
        <x:v>2</x:v>
      </x:c>
      <x:c r="D29" s="78" t="n">
        <x:v>62</x:v>
      </x:c>
      <x:c r="E29" s="123" t="n">
        <x:v>550000</x:v>
      </x:c>
      <x:c r="F29" s="123" t="n">
        <x:v>8870.9677419355</x:v>
      </x:c>
      <x:c r="G29" s="123" t="n">
        <x:v>350</x:v>
      </x:c>
      <x:c r="H29" s="123" t="n">
        <x:v>850</x:v>
      </x:c>
      <x:c r="I29" s="78" t="n">
        <x:v>38</x:v>
      </x:c>
      <x:c r="J29" s="123" t="n">
        <x:v>449.25</x:v>
      </x:c>
      <x:c r="K29" s="84" t="n">
        <x:v>0.2722222222</x:v>
      </x:c>
      <x:c r="L29" s="123" t="n">
        <x:v>11578.1305718718</x:v>
      </x:c>
      <x:c r="M29" s="134" t="n">
        <x:f>'Premissas'!$B$15+'Premissas'!$B$16*C29</x:f>
        <x:v>110000</x:v>
      </x:c>
      <x:c r="N29" s="134" t="n">
        <x:f>E29*(1+'Premissas'!$B$14)+M29</x:f>
        <x:v>687500</x:v>
      </x:c>
      <x:c r="O29" s="134" t="n">
        <x:f>L29/'Premissas'!$B$6*365*'Premissas'!$B$7*'Premissas'!$B$10</x:f>
        <x:v>19721.41574075496</x:v>
      </x:c>
      <x:c r="P29" s="134" t="n">
        <x:f>L29/'Premissas'!$B$6*365*'Premissas'!$B$8*'Premissas'!$B$11</x:f>
        <x:v>29934.29174936021</x:v>
      </x:c>
      <x:c r="Q29" s="134" t="n">
        <x:f>L29/'Premissas'!$B$6*365*'Premissas'!$B$9*'Premissas'!$B$12</x:f>
        <x:v>42260.17658733207</x:v>
      </x:c>
      <x:c r="R29" s="134" t="n">
        <x:f>O29*(1-'Premissas'!$B$13)-G29*12-H29</x:f>
        <x:v>8163.348546305822</x:v>
      </x:c>
      <x:c r="S29" s="134" t="n">
        <x:f>P29*(1-'Premissas'!$B$13)-G29*12-H29</x:f>
        <x:v>15005.975472071339</x:v>
      </x:c>
      <x:c r="T29" s="134" t="n">
        <x:f>Q29*(1-'Premissas'!$B$13)-G29*12-H29</x:f>
        <x:v>23264.318313512482</x:v>
      </x:c>
      <x:c r="U29" s="135" t="n">
        <x:f>IFERROR(R29/N29,0)</x:f>
        <x:v>0.011873961521899378</x:v>
      </x:c>
      <x:c r="V29" s="135" t="n">
        <x:f>IFERROR(S29/N29,0)</x:f>
        <x:v>0.02182687341392195</x:v>
      </x:c>
      <x:c r="W29" s="135" t="n">
        <x:f>IFERROR(T29/N29,0)</x:f>
        <x:v>0.03383900845601816</x:v>
      </x:c>
      <x:c r="X29" s="136" t="n">
        <x:f>IFERROR(N29/S29,0)</x:f>
        <x:v>45.815082217051064</x:v>
      </x:c>
      <x:c r="Y29" s="78" t="str">
        <x:v>https://www.vivareal.com.br/imovel/apartamento-2-quartos-morretes-bairros-itapema-com-garagem-62m2-venda-RS550000-id-2663775496/</x:v>
      </x:c>
      <x:c r="Z29" s="78" t="str">
        <x:v>Apartamento, 2 Dorm e 01 Vaga, no Morretes!</x:v>
      </x:c>
    </x:row>
    <x:row r="30">
      <x:c r="A30" s="78" t="n">
        <x:v>2748586010</x:v>
      </x:c>
      <x:c r="B30" s="78" t="str">
        <x:v>Morretes</x:v>
      </x:c>
      <x:c r="C30" s="78" t="n">
        <x:v>2</x:v>
      </x:c>
      <x:c r="D30" s="78" t="n">
        <x:v>60</x:v>
      </x:c>
      <x:c r="E30" s="123" t="n">
        <x:v>550000</x:v>
      </x:c>
      <x:c r="F30" s="123" t="n">
        <x:v>9166.6666666667</x:v>
      </x:c>
      <x:c r="G30" s="123" t="n">
        <x:v>350</x:v>
      </x:c>
      <x:c r="H30" s="123" t="n">
        <x:v>850</x:v>
      </x:c>
      <x:c r="I30" s="78" t="n">
        <x:v>38</x:v>
      </x:c>
      <x:c r="J30" s="123" t="n">
        <x:v>449.25</x:v>
      </x:c>
      <x:c r="K30" s="84" t="n">
        <x:v>0.2722222222</x:v>
      </x:c>
      <x:c r="L30" s="123" t="n">
        <x:v>11578.1305718718</x:v>
      </x:c>
      <x:c r="M30" s="134" t="n">
        <x:f>'Premissas'!$B$15+'Premissas'!$B$16*C30</x:f>
        <x:v>110000</x:v>
      </x:c>
      <x:c r="N30" s="134" t="n">
        <x:f>E30*(1+'Premissas'!$B$14)+M30</x:f>
        <x:v>687500</x:v>
      </x:c>
      <x:c r="O30" s="134" t="n">
        <x:f>L30/'Premissas'!$B$6*365*'Premissas'!$B$7*'Premissas'!$B$10</x:f>
        <x:v>19721.41574075496</x:v>
      </x:c>
      <x:c r="P30" s="134" t="n">
        <x:f>L30/'Premissas'!$B$6*365*'Premissas'!$B$8*'Premissas'!$B$11</x:f>
        <x:v>29934.29174936021</x:v>
      </x:c>
      <x:c r="Q30" s="134" t="n">
        <x:f>L30/'Premissas'!$B$6*365*'Premissas'!$B$9*'Premissas'!$B$12</x:f>
        <x:v>42260.17658733207</x:v>
      </x:c>
      <x:c r="R30" s="134" t="n">
        <x:f>O30*(1-'Premissas'!$B$13)-G30*12-H30</x:f>
        <x:v>8163.348546305822</x:v>
      </x:c>
      <x:c r="S30" s="134" t="n">
        <x:f>P30*(1-'Premissas'!$B$13)-G30*12-H30</x:f>
        <x:v>15005.975472071339</x:v>
      </x:c>
      <x:c r="T30" s="134" t="n">
        <x:f>Q30*(1-'Premissas'!$B$13)-G30*12-H30</x:f>
        <x:v>23264.318313512482</x:v>
      </x:c>
      <x:c r="U30" s="135" t="n">
        <x:f>IFERROR(R30/N30,0)</x:f>
        <x:v>0.011873961521899378</x:v>
      </x:c>
      <x:c r="V30" s="135" t="n">
        <x:f>IFERROR(S30/N30,0)</x:f>
        <x:v>0.02182687341392195</x:v>
      </x:c>
      <x:c r="W30" s="135" t="n">
        <x:f>IFERROR(T30/N30,0)</x:f>
        <x:v>0.03383900845601816</x:v>
      </x:c>
      <x:c r="X30" s="136" t="n">
        <x:f>IFERROR(N30/S30,0)</x:f>
        <x:v>45.815082217051064</x:v>
      </x:c>
      <x:c r="Y30" s="78" t="str">
        <x:v>https://www.vivareal.com.br/imovel/apartamento-2-quartos-morretes-bairros-itapema-com-garagem-60m2-venda-RS550000-id-2748586010/</x:v>
      </x:c>
      <x:c r="Z30" s="78" t="str">
        <x:v>Oportunidade! Apartamento 02 dormitórios em Itapema próximo ao Komprão atacadista</x:v>
      </x:c>
    </x:row>
    <x:row r="31">
      <x:c r="A31" s="78" t="n">
        <x:v>2710044482</x:v>
      </x:c>
      <x:c r="B31" s="78" t="str">
        <x:v>Morretes</x:v>
      </x:c>
      <x:c r="C31" s="78" t="n">
        <x:v>2</x:v>
      </x:c>
      <x:c r="D31" s="78" t="n">
        <x:v>65</x:v>
      </x:c>
      <x:c r="E31" s="123" t="n">
        <x:v>610000</x:v>
      </x:c>
      <x:c r="F31" s="123" t="n">
        <x:v>9384.6153846154</x:v>
      </x:c>
      <x:c r="G31" s="123" t="n">
        <x:v>270</x:v>
      </x:c>
      <x:c r="H31" s="123" t="n">
        <x:v>490</x:v>
      </x:c>
      <x:c r="I31" s="78" t="n">
        <x:v>38</x:v>
      </x:c>
      <x:c r="J31" s="123" t="n">
        <x:v>449.25</x:v>
      </x:c>
      <x:c r="K31" s="84" t="n">
        <x:v>0.2722222222</x:v>
      </x:c>
      <x:c r="L31" s="123" t="n">
        <x:v>11578.1305718718</x:v>
      </x:c>
      <x:c r="M31" s="134" t="n">
        <x:f>'Premissas'!$B$15+'Premissas'!$B$16*C31</x:f>
        <x:v>110000</x:v>
      </x:c>
      <x:c r="N31" s="134" t="n">
        <x:f>E31*(1+'Premissas'!$B$14)+M31</x:f>
        <x:v>750500</x:v>
      </x:c>
      <x:c r="O31" s="134" t="n">
        <x:f>L31/'Premissas'!$B$6*365*'Premissas'!$B$7*'Premissas'!$B$10</x:f>
        <x:v>19721.41574075496</x:v>
      </x:c>
      <x:c r="P31" s="134" t="n">
        <x:f>L31/'Premissas'!$B$6*365*'Premissas'!$B$8*'Premissas'!$B$11</x:f>
        <x:v>29934.29174936021</x:v>
      </x:c>
      <x:c r="Q31" s="134" t="n">
        <x:f>L31/'Premissas'!$B$6*365*'Premissas'!$B$9*'Premissas'!$B$12</x:f>
        <x:v>42260.17658733207</x:v>
      </x:c>
      <x:c r="R31" s="134" t="n">
        <x:f>O31*(1-'Premissas'!$B$13)-G31*12-H31</x:f>
        <x:v>9483.348546305822</x:v>
      </x:c>
      <x:c r="S31" s="134" t="n">
        <x:f>P31*(1-'Premissas'!$B$13)-G31*12-H31</x:f>
        <x:v>16325.975472071339</x:v>
      </x:c>
      <x:c r="T31" s="134" t="n">
        <x:f>Q31*(1-'Premissas'!$B$13)-G31*12-H31</x:f>
        <x:v>24584.318313512482</x:v>
      </x:c>
      <x:c r="U31" s="135" t="n">
        <x:f>IFERROR(R31/N31,0)</x:f>
        <x:v>0.01263604070127358</x:v>
      </x:c>
      <x:c r="V31" s="135" t="n">
        <x:f>IFERROR(S31/N31,0)</x:f>
        <x:v>0.021753464986104382</x:v>
      </x:c>
      <x:c r="W31" s="135" t="n">
        <x:f>IFERROR(T31/N31,0)</x:f>
        <x:v>0.03275725291607259</x:v>
      </x:c>
      <x:c r="X31" s="136" t="n">
        <x:f>IFERROR(N31/S31,0)</x:f>
        <x:v>45.969688076762814</x:v>
      </x:c>
      <x:c r="Y31" s="78" t="str">
        <x:v>https://www.vivareal.com.br/imovel/apartamento-2-quartos-morretes-bairros-itapema-com-garagem-65m2-venda-RS610000-id-2710044482/</x:v>
      </x:c>
      <x:c r="Z31" s="78" t="str">
        <x:v>Apartamento venda, 65 m², com 2 quartos sendo uma suíte, em Morretes - Itapema - SC</x:v>
      </x:c>
    </x:row>
    <x:row r="32">
      <x:c r="A32" s="78" t="n">
        <x:v>2769850382</x:v>
      </x:c>
      <x:c r="B32" s="78" t="str">
        <x:v>Morretes</x:v>
      </x:c>
      <x:c r="C32" s="78" t="n">
        <x:v>2</x:v>
      </x:c>
      <x:c r="D32" s="78" t="n">
        <x:v>69</x:v>
      </x:c>
      <x:c r="E32" s="123" t="n">
        <x:v>579760</x:v>
      </x:c>
      <x:c r="F32" s="123" t="n">
        <x:v>8402.3188405797</x:v>
      </x:c>
      <x:c r="G32" s="123" t="n">
        <x:v>300</x:v>
      </x:c>
      <x:c r="H32" s="123" t="n">
        <x:v>850</x:v>
      </x:c>
      <x:c r="I32" s="78" t="n">
        <x:v>38</x:v>
      </x:c>
      <x:c r="J32" s="123" t="n">
        <x:v>449.25</x:v>
      </x:c>
      <x:c r="K32" s="84" t="n">
        <x:v>0.2722222222</x:v>
      </x:c>
      <x:c r="L32" s="123" t="n">
        <x:v>11578.1305718718</x:v>
      </x:c>
      <x:c r="M32" s="134" t="n">
        <x:f>'Premissas'!$B$15+'Premissas'!$B$16*C32</x:f>
        <x:v>110000</x:v>
      </x:c>
      <x:c r="N32" s="134" t="n">
        <x:f>E32*(1+'Premissas'!$B$14)+M32</x:f>
        <x:v>718748</x:v>
      </x:c>
      <x:c r="O32" s="134" t="n">
        <x:f>L32/'Premissas'!$B$6*365*'Premissas'!$B$7*'Premissas'!$B$10</x:f>
        <x:v>19721.41574075496</x:v>
      </x:c>
      <x:c r="P32" s="134" t="n">
        <x:f>L32/'Premissas'!$B$6*365*'Premissas'!$B$8*'Premissas'!$B$11</x:f>
        <x:v>29934.29174936021</x:v>
      </x:c>
      <x:c r="Q32" s="134" t="n">
        <x:f>L32/'Premissas'!$B$6*365*'Premissas'!$B$9*'Premissas'!$B$12</x:f>
        <x:v>42260.17658733207</x:v>
      </x:c>
      <x:c r="R32" s="134" t="n">
        <x:f>O32*(1-'Premissas'!$B$13)-G32*12-H32</x:f>
        <x:v>8763.348546305822</x:v>
      </x:c>
      <x:c r="S32" s="134" t="n">
        <x:f>P32*(1-'Premissas'!$B$13)-G32*12-H32</x:f>
        <x:v>15605.975472071339</x:v>
      </x:c>
      <x:c r="T32" s="134" t="n">
        <x:f>Q32*(1-'Premissas'!$B$13)-G32*12-H32</x:f>
        <x:v>23864.318313512482</x:v>
      </x:c>
      <x:c r="U32" s="135" t="n">
        <x:f>IFERROR(R32/N32,0)</x:f>
        <x:v>0.012192518860999714</x:v>
      </x:c>
      <x:c r="V32" s="135" t="n">
        <x:f>IFERROR(S32/N32,0)</x:f>
        <x:v>0.02171272194436901</x:v>
      </x:c>
      <x:c r="W32" s="135" t="n">
        <x:f>IFERROR(T32/N32,0)</x:f>
        <x:v>0.033202622217400925</x:v>
      </x:c>
      <x:c r="X32" s="136" t="n">
        <x:f>IFERROR(N32/S32,0)</x:f>
        <x:v>46.05594833121973</x:v>
      </x:c>
      <x:c r="Y32" s="78" t="str">
        <x:v>https://www.vivareal.com.br/imovel/apartamento-2-quartos-morretes-bairros-itapema-com-garagem-69m2-venda-RS579760-id-2769850382/</x:v>
      </x:c>
      <x:c r="Z32" s="78" t="str">
        <x:v>Apartamento em Rua 416 - Morretes - Itapema/SC</x:v>
      </x:c>
    </x:row>
    <x:row r="33">
      <x:c r="A33" s="78" t="n">
        <x:v>2669679707</x:v>
      </x:c>
      <x:c r="B33" s="78" t="str">
        <x:v>Morretes</x:v>
      </x:c>
      <x:c r="C33" s="78" t="n">
        <x:v>2</x:v>
      </x:c>
      <x:c r="D33" s="78" t="n">
        <x:v>59</x:v>
      </x:c>
      <x:c r="E33" s="123" t="n">
        <x:v>560000</x:v>
      </x:c>
      <x:c r="F33" s="123" t="n">
        <x:v>9491.5254237288</x:v>
      </x:c>
      <x:c r="G33" s="123" t="n">
        <x:v>350</x:v>
      </x:c>
      <x:c r="H33" s="123" t="n">
        <x:v>850</x:v>
      </x:c>
      <x:c r="I33" s="78" t="n">
        <x:v>38</x:v>
      </x:c>
      <x:c r="J33" s="123" t="n">
        <x:v>449.25</x:v>
      </x:c>
      <x:c r="K33" s="84" t="n">
        <x:v>0.2722222222</x:v>
      </x:c>
      <x:c r="L33" s="123" t="n">
        <x:v>11578.1305718718</x:v>
      </x:c>
      <x:c r="M33" s="134" t="n">
        <x:f>'Premissas'!$B$15+'Premissas'!$B$16*C33</x:f>
        <x:v>110000</x:v>
      </x:c>
      <x:c r="N33" s="134" t="n">
        <x:f>E33*(1+'Premissas'!$B$14)+M33</x:f>
        <x:v>698000</x:v>
      </x:c>
      <x:c r="O33" s="134" t="n">
        <x:f>L33/'Premissas'!$B$6*365*'Premissas'!$B$7*'Premissas'!$B$10</x:f>
        <x:v>19721.41574075496</x:v>
      </x:c>
      <x:c r="P33" s="134" t="n">
        <x:f>L33/'Premissas'!$B$6*365*'Premissas'!$B$8*'Premissas'!$B$11</x:f>
        <x:v>29934.29174936021</x:v>
      </x:c>
      <x:c r="Q33" s="134" t="n">
        <x:f>L33/'Premissas'!$B$6*365*'Premissas'!$B$9*'Premissas'!$B$12</x:f>
        <x:v>42260.17658733207</x:v>
      </x:c>
      <x:c r="R33" s="134" t="n">
        <x:f>O33*(1-'Premissas'!$B$13)-G33*12-H33</x:f>
        <x:v>8163.348546305822</x:v>
      </x:c>
      <x:c r="S33" s="134" t="n">
        <x:f>P33*(1-'Premissas'!$B$13)-G33*12-H33</x:f>
        <x:v>15005.975472071339</x:v>
      </x:c>
      <x:c r="T33" s="134" t="n">
        <x:f>Q33*(1-'Premissas'!$B$13)-G33*12-H33</x:f>
        <x:v>23264.318313512482</x:v>
      </x:c>
      <x:c r="U33" s="135" t="n">
        <x:f>IFERROR(R33/N33,0)</x:f>
        <x:v>0.011695341756885132</x:v>
      </x:c>
      <x:c r="V33" s="135" t="n">
        <x:f>IFERROR(S33/N33,0)</x:f>
        <x:v>0.021498532194944613</x:v>
      </x:c>
      <x:c r="W33" s="135" t="n">
        <x:f>IFERROR(T33/N33,0)</x:f>
        <x:v>0.033329968930533645</x:v>
      </x:c>
      <x:c r="X33" s="136" t="n">
        <x:f>IFERROR(N33/S33,0)</x:f>
        <x:v>46.51480347272966</x:v>
      </x:c>
      <x:c r="Y33" s="78" t="str">
        <x:v>https://www.vivareal.com.br/imovel/apartamento-2-quartos-morretes-bairros-itapema-59m2-venda-RS560000-id-2669679707/</x:v>
      </x:c>
      <x:c r="Z33" s="78" t="str">
        <x:v>EXCELENTE APARTAMENTO EM ITAPEMA</x:v>
      </x:c>
    </x:row>
    <x:row r="34">
      <x:c r="A34" s="78" t="n">
        <x:v>2732128414</x:v>
      </x:c>
      <x:c r="B34" s="78" t="str">
        <x:v>Morretes</x:v>
      </x:c>
      <x:c r="C34" s="78" t="n">
        <x:v>2</x:v>
      </x:c>
      <x:c r="D34" s="78" t="n">
        <x:v>59</x:v>
      </x:c>
      <x:c r="E34" s="123" t="n">
        <x:v>525000</x:v>
      </x:c>
      <x:c r="F34" s="123" t="n">
        <x:v>8898.3050847458</x:v>
      </x:c>
      <x:c r="G34" s="123" t="n">
        <x:v>416</x:v>
      </x:c>
      <x:c r="H34" s="123" t="n">
        <x:v>850</x:v>
      </x:c>
      <x:c r="I34" s="78" t="n">
        <x:v>38</x:v>
      </x:c>
      <x:c r="J34" s="123" t="n">
        <x:v>449.25</x:v>
      </x:c>
      <x:c r="K34" s="84" t="n">
        <x:v>0.2722222222</x:v>
      </x:c>
      <x:c r="L34" s="123" t="n">
        <x:v>11578.1305718718</x:v>
      </x:c>
      <x:c r="M34" s="134" t="n">
        <x:f>'Premissas'!$B$15+'Premissas'!$B$16*C34</x:f>
        <x:v>110000</x:v>
      </x:c>
      <x:c r="N34" s="134" t="n">
        <x:f>E34*(1+'Premissas'!$B$14)+M34</x:f>
        <x:v>661250</x:v>
      </x:c>
      <x:c r="O34" s="134" t="n">
        <x:f>L34/'Premissas'!$B$6*365*'Premissas'!$B$7*'Premissas'!$B$10</x:f>
        <x:v>19721.41574075496</x:v>
      </x:c>
      <x:c r="P34" s="134" t="n">
        <x:f>L34/'Premissas'!$B$6*365*'Premissas'!$B$8*'Premissas'!$B$11</x:f>
        <x:v>29934.29174936021</x:v>
      </x:c>
      <x:c r="Q34" s="134" t="n">
        <x:f>L34/'Premissas'!$B$6*365*'Premissas'!$B$9*'Premissas'!$B$12</x:f>
        <x:v>42260.17658733207</x:v>
      </x:c>
      <x:c r="R34" s="134" t="n">
        <x:f>O34*(1-'Premissas'!$B$13)-G34*12-H34</x:f>
        <x:v>7371.348546305822</x:v>
      </x:c>
      <x:c r="S34" s="134" t="n">
        <x:f>P34*(1-'Premissas'!$B$13)-G34*12-H34</x:f>
        <x:v>14213.975472071339</x:v>
      </x:c>
      <x:c r="T34" s="134" t="n">
        <x:f>Q34*(1-'Premissas'!$B$13)-G34*12-H34</x:f>
        <x:v>22472.318313512482</x:v>
      </x:c>
      <x:c r="U34" s="135" t="n">
        <x:f>IFERROR(R34/N34,0)</x:f>
        <x:v>0.01114759704545304</x:v>
      </x:c>
      <x:c r="V34" s="135" t="n">
        <x:f>IFERROR(S34/N34,0)</x:f>
        <x:v>0.021495615080637187</x:v>
      </x:c>
      <x:c r="W34" s="135" t="n">
        <x:f>IFERROR(T34/N34,0)</x:f>
        <x:v>0.03398460236448012</x:v>
      </x:c>
      <x:c r="X34" s="136" t="n">
        <x:f>IFERROR(N34/S34,0)</x:f>
        <x:v>46.52111587636214</x:v>
      </x:c>
      <x:c r="Y34" s="78" t="str">
        <x:v>https://www.vivareal.com.br/imovel/apartamento-2-quartos-morretes-bairros-itapema-com-garagem-59m2-venda-RS525000-id-2732128414/</x:v>
      </x:c>
      <x:c r="Z34" s="78" t="str">
        <x:v>APARTAMENTO C/ 2 QUARTOS E 1 VAGA MORRETES ITAPEMA</x:v>
      </x:c>
    </x:row>
    <x:row r="35">
      <x:c r="A35" s="78" t="n">
        <x:v>2736865251</x:v>
      </x:c>
      <x:c r="B35" s="78" t="str">
        <x:v>Meia Praia</x:v>
      </x:c>
      <x:c r="C35" s="78" t="n">
        <x:v>3</x:v>
      </x:c>
      <x:c r="D35" s="78" t="n">
        <x:v>70</x:v>
      </x:c>
      <x:c r="E35" s="123" t="n">
        <x:v>899000</x:v>
      </x:c>
      <x:c r="F35" s="123" t="n">
        <x:v>12842.8571428571</x:v>
      </x:c>
      <x:c r="G35" s="123" t="n">
        <x:v>450</x:v>
      </x:c>
      <x:c r="H35" s="123" t="n">
        <x:v>500</x:v>
      </x:c>
      <x:c r="I35" s="78" t="n">
        <x:v>201</x:v>
      </x:c>
      <x:c r="J35" s="123" t="n">
        <x:v>690</x:v>
      </x:c>
      <x:c r="K35" s="84" t="n">
        <x:v>0.3</x:v>
      </x:c>
      <x:c r="L35" s="123" t="n">
        <x:v>16716.8871082036</x:v>
      </x:c>
      <x:c r="M35" s="134" t="n">
        <x:f>'Premissas'!$B$15+'Premissas'!$B$16*C35</x:f>
        <x:v>135000</x:v>
      </x:c>
      <x:c r="N35" s="134" t="n">
        <x:f>E35*(1+'Premissas'!$B$14)+M35</x:f>
        <x:v>1078950</x:v>
      </x:c>
      <x:c r="O35" s="134" t="n">
        <x:f>L35/'Premissas'!$B$6*365*'Premissas'!$B$7*'Premissas'!$B$10</x:f>
        <x:v>28474.431040973457</x:v>
      </x:c>
      <x:c r="P35" s="134" t="n">
        <x:f>L35/'Premissas'!$B$6*365*'Premissas'!$B$8*'Premissas'!$B$11</x:f>
        <x:v>43220.11854433471</x:v>
      </x:c>
      <x:c r="Q35" s="134" t="n">
        <x:f>L35/'Premissas'!$B$6*365*'Premissas'!$B$9*'Premissas'!$B$12</x:f>
        <x:v>61016.63794494313</x:v>
      </x:c>
      <x:c r="R35" s="134" t="n">
        <x:f>O35*(1-'Premissas'!$B$13)-G35*12-H35</x:f>
        <x:v>13177.868797452214</x:v>
      </x:c>
      <x:c r="S35" s="134" t="n">
        <x:f>P35*(1-'Premissas'!$B$13)-G35*12-H35</x:f>
        <x:v>23057.479424704256</x:v>
      </x:c>
      <x:c r="T35" s="134" t="n">
        <x:f>Q35*(1-'Premissas'!$B$13)-G35*12-H35</x:f>
        <x:v>34981.14742311189</x:v>
      </x:c>
      <x:c r="U35" s="135" t="n">
        <x:f>IFERROR(R35/N35,0)</x:f>
        <x:v>0.012213604705919843</x:v>
      </x:c>
      <x:c r="V35" s="135" t="n">
        <x:f>IFERROR(S35/N35,0)</x:f>
        <x:v>0.02137029466120233</x:v>
      </x:c>
      <x:c r="W35" s="135" t="n">
        <x:f>IFERROR(T35/N35,0)</x:f>
        <x:v>0.03242147219343982</x:v>
      </x:c>
      <x:c r="X35" s="136" t="n">
        <x:f>IFERROR(N35/S35,0)</x:f>
        <x:v>46.793926609514436</x:v>
      </x:c>
      <x:c r="Y35" s="78" t="str">
        <x:v>https://www.vivareal.com.br/imovel/apartamento-3-quartos-meia-praia-bairros-itapema-com-garagem-70m2-venda-RS899000-id-2736865251/</x:v>
      </x:c>
      <x:c r="Z35" s="78" t="str">
        <x:v>Apartamento Finamente Mobiliado</x:v>
      </x:c>
    </x:row>
    <x:row r="36">
      <x:c r="A36" s="78" t="n">
        <x:v>2710639195</x:v>
      </x:c>
      <x:c r="B36" s="78" t="str">
        <x:v>Tabuleiro dos Oliveiras</x:v>
      </x:c>
      <x:c r="C36" s="78" t="n">
        <x:v>2</x:v>
      </x:c>
      <x:c r="D36" s="78" t="n">
        <x:v>67</x:v>
      </x:c>
      <x:c r="E36" s="123" t="n">
        <x:v>650000</x:v>
      </x:c>
      <x:c r="F36" s="123" t="n">
        <x:v>9701.4925373134</x:v>
      </x:c>
      <x:c r="G36" s="123" t="n">
        <x:v>350</x:v>
      </x:c>
      <x:c r="H36" s="123" t="n">
        <x:v>500</x:v>
      </x:c>
      <x:c r="I36" s="78" t="n">
        <x:v>10</x:v>
      </x:c>
      <x:c r="J36" s="123" t="n">
        <x:v>447.5</x:v>
      </x:c>
      <x:c r="K36" s="84" t="n">
        <x:v>0.3444444444</x:v>
      </x:c>
      <x:c r="L36" s="123" t="n">
        <x:v>12467.702950475</x:v>
      </x:c>
      <x:c r="M36" s="134" t="n">
        <x:f>'Premissas'!$B$15+'Premissas'!$B$16*C36</x:f>
        <x:v>110000</x:v>
      </x:c>
      <x:c r="N36" s="134" t="n">
        <x:f>E36*(1+'Premissas'!$B$14)+M36</x:f>
        <x:v>792500</x:v>
      </x:c>
      <x:c r="O36" s="134" t="n">
        <x:f>L36/'Premissas'!$B$6*365*'Premissas'!$B$7*'Premissas'!$B$10</x:f>
        <x:v>21236.654025642416</x:v>
      </x:c>
      <x:c r="P36" s="134" t="n">
        <x:f>L36/'Premissas'!$B$6*365*'Premissas'!$B$8*'Premissas'!$B$11</x:f>
        <x:v>32234.20700320724</x:v>
      </x:c>
      <x:c r="Q36" s="134" t="n">
        <x:f>L36/'Premissas'!$B$6*365*'Premissas'!$B$9*'Premissas'!$B$12</x:f>
        <x:v>45507.11576923375</x:v>
      </x:c>
      <x:c r="R36" s="134" t="n">
        <x:f>O36*(1-'Premissas'!$B$13)-G36*12-H36</x:f>
        <x:v>9528.558197180417</x:v>
      </x:c>
      <x:c r="S36" s="134" t="n">
        <x:f>P36*(1-'Premissas'!$B$13)-G36*12-H36</x:f>
        <x:v>16896.918692148847</x:v>
      </x:c>
      <x:c r="T36" s="134" t="n">
        <x:f>Q36*(1-'Premissas'!$B$13)-G36*12-H36</x:f>
        <x:v>25789.76756538661</x:v>
      </x:c>
      <x:c r="U36" s="135" t="n">
        <x:f>IFERROR(R36/N36,0)</x:f>
        <x:v>0.012023417283508413</x:v>
      </x:c>
      <x:c r="V36" s="135" t="n">
        <x:f>IFERROR(S36/N36,0)</x:f>
        <x:v>0.02132103305003009</x:v>
      </x:c>
      <x:c r="W36" s="135" t="n">
        <x:f>IFERROR(T36/N36,0)</x:f>
        <x:v>0.032542293457901085</x:v>
      </x:c>
      <x:c r="X36" s="136" t="n">
        <x:f>IFERROR(N36/S36,0)</x:f>
        <x:v>46.90204258177765</x:v>
      </x:c>
      <x:c r="Y36" s="78" t="str">
        <x:v>https://www.vivareal.com.br/imovel/apartamento-2-quartos-tabuleiro-dos-oliveiras-bairros-itapema-com-garagem-67m2-venda-RS650000-id-2710639195/</x:v>
      </x:c>
      <x:c r="Z36" s="78" t="str">
        <x:v>APARTAMENTO EM ITAPEMA, COM 02 DORMS, PRONTO!!! TABULEIRO OLIVEIRAS</x:v>
      </x:c>
    </x:row>
    <x:row r="37">
      <x:c r="A37" s="78" t="n">
        <x:v>2736890576</x:v>
      </x:c>
      <x:c r="B37" s="78" t="str">
        <x:v>Tabuleiro dos Oliveiras</x:v>
      </x:c>
      <x:c r="C37" s="78" t="n">
        <x:v>2</x:v>
      </x:c>
      <x:c r="D37" s="78" t="n">
        <x:v>63</x:v>
      </x:c>
      <x:c r="E37" s="123" t="n">
        <x:v>650000</x:v>
      </x:c>
      <x:c r="F37" s="123" t="n">
        <x:v>10317.4603174603</x:v>
      </x:c>
      <x:c r="G37" s="123" t="n">
        <x:v>320</x:v>
      </x:c>
      <x:c r="H37" s="123" t="n">
        <x:v>900</x:v>
      </x:c>
      <x:c r="I37" s="78" t="n">
        <x:v>10</x:v>
      </x:c>
      <x:c r="J37" s="123" t="n">
        <x:v>447.5</x:v>
      </x:c>
      <x:c r="K37" s="84" t="n">
        <x:v>0.3444444444</x:v>
      </x:c>
      <x:c r="L37" s="123" t="n">
        <x:v>12467.702950475</x:v>
      </x:c>
      <x:c r="M37" s="134" t="n">
        <x:f>'Premissas'!$B$15+'Premissas'!$B$16*C37</x:f>
        <x:v>110000</x:v>
      </x:c>
      <x:c r="N37" s="134" t="n">
        <x:f>E37*(1+'Premissas'!$B$14)+M37</x:f>
        <x:v>792500</x:v>
      </x:c>
      <x:c r="O37" s="134" t="n">
        <x:f>L37/'Premissas'!$B$6*365*'Premissas'!$B$7*'Premissas'!$B$10</x:f>
        <x:v>21236.654025642416</x:v>
      </x:c>
      <x:c r="P37" s="134" t="n">
        <x:f>L37/'Premissas'!$B$6*365*'Premissas'!$B$8*'Premissas'!$B$11</x:f>
        <x:v>32234.20700320724</x:v>
      </x:c>
      <x:c r="Q37" s="134" t="n">
        <x:f>L37/'Premissas'!$B$6*365*'Premissas'!$B$9*'Premissas'!$B$12</x:f>
        <x:v>45507.11576923375</x:v>
      </x:c>
      <x:c r="R37" s="134" t="n">
        <x:f>O37*(1-'Premissas'!$B$13)-G37*12-H37</x:f>
        <x:v>9488.558197180417</x:v>
      </x:c>
      <x:c r="S37" s="134" t="n">
        <x:f>P37*(1-'Premissas'!$B$13)-G37*12-H37</x:f>
        <x:v>16856.918692148847</x:v>
      </x:c>
      <x:c r="T37" s="134" t="n">
        <x:f>Q37*(1-'Premissas'!$B$13)-G37*12-H37</x:f>
        <x:v>25749.76756538661</x:v>
      </x:c>
      <x:c r="U37" s="135" t="n">
        <x:f>IFERROR(R37/N37,0)</x:f>
        <x:v>0.01197294409738854</x:v>
      </x:c>
      <x:c r="V37" s="135" t="n">
        <x:f>IFERROR(S37/N37,0)</x:f>
        <x:v>0.021270559863910216</x:v>
      </x:c>
      <x:c r="W37" s="135" t="n">
        <x:f>IFERROR(T37/N37,0)</x:f>
        <x:v>0.03249182027178121</x:v>
      </x:c>
      <x:c r="X37" s="136" t="n">
        <x:f>IFERROR(N37/S37,0)</x:f>
        <x:v>47.01333704416032</x:v>
      </x:c>
      <x:c r="Y37" s="78" t="str">
        <x:v>https://www.vivareal.com.br/imovel/apartamento-2-quartos-tabuleiro-dos-oliveiras-bairros-itapema-63m2-venda-RS650000-id-2736890576/</x:v>
      </x:c>
      <x:c r="Z37" s="78" t="str">
        <x:v>Apartamento à venda, Tabuleiro dos Oliveiras, Itapema, SC</x:v>
      </x:c>
    </x:row>
    <x:row r="38">
      <x:c r="A38" s="78" t="n">
        <x:v>2656027791</x:v>
      </x:c>
      <x:c r="B38" s="78" t="str">
        <x:v>Meia Praia</x:v>
      </x:c>
      <x:c r="C38" s="78" t="n">
        <x:v>2</x:v>
      </x:c>
      <x:c r="D38" s="78" t="n">
        <x:v>65</x:v>
      </x:c>
      <x:c r="E38" s="123" t="n">
        <x:v>650000</x:v>
      </x:c>
      <x:c r="F38" s="123" t="n">
        <x:v>10000</x:v>
      </x:c>
      <x:c r="G38" s="123" t="n">
        <x:v>400</x:v>
      </x:c>
      <x:c r="H38" s="123" t="n">
        <x:v>1083</x:v>
      </x:c>
      <x:c r="I38" s="78" t="n">
        <x:v>90</x:v>
      </x:c>
      <x:c r="J38" s="123" t="n">
        <x:v>450</x:v>
      </x:c>
      <x:c r="K38" s="84" t="n">
        <x:v>0.3444444444</x:v>
      </x:c>
      <x:c r="L38" s="123" t="n">
        <x:v>13117.1212117233</x:v>
      </x:c>
      <x:c r="M38" s="134" t="n">
        <x:f>'Premissas'!$B$15+'Premissas'!$B$16*C38</x:f>
        <x:v>110000</x:v>
      </x:c>
      <x:c r="N38" s="134" t="n">
        <x:f>E38*(1+'Premissas'!$B$14)+M38</x:f>
        <x:v>792500</x:v>
      </x:c>
      <x:c r="O38" s="134" t="n">
        <x:f>L38/'Premissas'!$B$6*365*'Premissas'!$B$7*'Premissas'!$B$10</x:f>
        <x:v>22342.829797302016</x:v>
      </x:c>
      <x:c r="P38" s="134" t="n">
        <x:f>L38/'Premissas'!$B$6*365*'Premissas'!$B$8*'Premissas'!$B$11</x:f>
        <x:v>33913.22379947628</x:v>
      </x:c>
      <x:c r="Q38" s="134" t="n">
        <x:f>L38/'Premissas'!$B$6*365*'Premissas'!$B$9*'Premissas'!$B$12</x:f>
        <x:v>47877.49242279005</x:v>
      </x:c>
      <x:c r="R38" s="134" t="n">
        <x:f>O38*(1-'Premissas'!$B$13)-G38*12-H38</x:f>
        <x:v>9086.69596419235</x:v>
      </x:c>
      <x:c r="S38" s="134" t="n">
        <x:f>P38*(1-'Premissas'!$B$13)-G38*12-H38</x:f>
        <x:v>16838.859945649107</x:v>
      </x:c>
      <x:c r="T38" s="134" t="n">
        <x:f>Q38*(1-'Premissas'!$B$13)-G38*12-H38</x:f>
        <x:v>26194.919923269328</x:v>
      </x:c>
      <x:c r="U38" s="135" t="n">
        <x:f>IFERROR(R38/N38,0)</x:f>
        <x:v>0.011465862415384668</x:v>
      </x:c>
      <x:c r="V38" s="135" t="n">
        <x:f>IFERROR(S38/N38,0)</x:f>
        <x:v>0.021247772802080893</x:v>
      </x:c>
      <x:c r="W38" s="135" t="n">
        <x:f>IFERROR(T38/N38,0)</x:f>
        <x:v>0.03305352671705909</x:v>
      </x:c>
      <x:c r="X38" s="136" t="n">
        <x:f>IFERROR(N38/S38,0)</x:f>
        <x:v>47.063756249411014</x:v>
      </x:c>
      <x:c r="Y38" s="78" t="str">
        <x:v>https://www.vivareal.com.br/imovel/apartamento-2-quartos-meia-praia-bairros-itapema-com-garagem-65m2-venda-RS650000-id-2656027791/</x:v>
      </x:c>
      <x:c r="Z38" s="78" t="str">
        <x:v>EXCELENTE OPORTUNIDADE DE INVESTIMENTO EM MEIA PRA</x:v>
      </x:c>
    </x:row>
    <x:row r="39">
      <x:c r="A39" s="78" t="n">
        <x:v>2736815025</x:v>
      </x:c>
      <x:c r="B39" s="78" t="str">
        <x:v>Morretes</x:v>
      </x:c>
      <x:c r="C39" s="78" t="n">
        <x:v>2</x:v>
      </x:c>
      <x:c r="D39" s="78" t="n">
        <x:v>66</x:v>
      </x:c>
      <x:c r="E39" s="123" t="n">
        <x:v>568608</x:v>
      </x:c>
      <x:c r="F39" s="123" t="n">
        <x:v>8615.2727272727</x:v>
      </x:c>
      <x:c r="G39" s="123" t="n">
        <x:v>350</x:v>
      </x:c>
      <x:c r="H39" s="123" t="n">
        <x:v>850</x:v>
      </x:c>
      <x:c r="I39" s="78" t="n">
        <x:v>38</x:v>
      </x:c>
      <x:c r="J39" s="123" t="n">
        <x:v>449.25</x:v>
      </x:c>
      <x:c r="K39" s="84" t="n">
        <x:v>0.2722222222</x:v>
      </x:c>
      <x:c r="L39" s="123" t="n">
        <x:v>11578.1305718718</x:v>
      </x:c>
      <x:c r="M39" s="134" t="n">
        <x:f>'Premissas'!$B$15+'Premissas'!$B$16*C39</x:f>
        <x:v>110000</x:v>
      </x:c>
      <x:c r="N39" s="134" t="n">
        <x:f>E39*(1+'Premissas'!$B$14)+M39</x:f>
        <x:v>707038.4</x:v>
      </x:c>
      <x:c r="O39" s="134" t="n">
        <x:f>L39/'Premissas'!$B$6*365*'Premissas'!$B$7*'Premissas'!$B$10</x:f>
        <x:v>19721.41574075496</x:v>
      </x:c>
      <x:c r="P39" s="134" t="n">
        <x:f>L39/'Premissas'!$B$6*365*'Premissas'!$B$8*'Premissas'!$B$11</x:f>
        <x:v>29934.29174936021</x:v>
      </x:c>
      <x:c r="Q39" s="134" t="n">
        <x:f>L39/'Premissas'!$B$6*365*'Premissas'!$B$9*'Premissas'!$B$12</x:f>
        <x:v>42260.17658733207</x:v>
      </x:c>
      <x:c r="R39" s="134" t="n">
        <x:f>O39*(1-'Premissas'!$B$13)-G39*12-H39</x:f>
        <x:v>8163.348546305822</x:v>
      </x:c>
      <x:c r="S39" s="134" t="n">
        <x:f>P39*(1-'Premissas'!$B$13)-G39*12-H39</x:f>
        <x:v>15005.975472071339</x:v>
      </x:c>
      <x:c r="T39" s="134" t="n">
        <x:f>Q39*(1-'Premissas'!$B$13)-G39*12-H39</x:f>
        <x:v>23264.318313512482</x:v>
      </x:c>
      <x:c r="U39" s="135" t="n">
        <x:f>IFERROR(R39/N39,0)</x:f>
        <x:v>0.011545834775460317</x:v>
      </x:c>
      <x:c r="V39" s="135" t="n">
        <x:f>IFERROR(S39/N39,0)</x:f>
        <x:v>0.021223706480540998</x:v>
      </x:c>
      <x:c r="W39" s="135" t="n">
        <x:f>IFERROR(T39/N39,0)</x:f>
        <x:v>0.032903896469431475</x:v>
      </x:c>
      <x:c r="X39" s="136" t="n">
        <x:f>IFERROR(N39/S39,0)</x:f>
        <x:v>47.1171235296178</x:v>
      </x:c>
      <x:c r="Y39" s="78" t="str">
        <x:v>https://www.vivareal.com.br/imovel/apartamento-2-quartos-morretes-bairros-itapema-com-garagem-66m2-venda-RS568608-id-2736815025/</x:v>
      </x:c>
      <x:c r="Z39" s="78" t="str">
        <x:v>Apartamento com 2 dormitórios à venda, 66 m² por R$ 568.608,00 - Morretes - Itapema/SC</x:v>
      </x:c>
    </x:row>
    <x:row r="40">
      <x:c r="A40" s="78" t="n">
        <x:v>2720737135</x:v>
      </x:c>
      <x:c r="B40" s="78" t="str">
        <x:v>Morretes</x:v>
      </x:c>
      <x:c r="C40" s="78" t="n">
        <x:v>2</x:v>
      </x:c>
      <x:c r="D40" s="78" t="n">
        <x:v>64</x:v>
      </x:c>
      <x:c r="E40" s="123" t="n">
        <x:v>650000</x:v>
      </x:c>
      <x:c r="F40" s="123" t="n">
        <x:v>10156.25</x:v>
      </x:c>
      <x:c r="G40" s="123" t="n">
        <x:v>220</x:v>
      </x:c>
      <x:c r="H40" s="123" t="n">
        <x:v>620</x:v>
      </x:c>
      <x:c r="I40" s="78" t="n">
        <x:v>38</x:v>
      </x:c>
      <x:c r="J40" s="123" t="n">
        <x:v>449.25</x:v>
      </x:c>
      <x:c r="K40" s="84" t="n">
        <x:v>0.2722222222</x:v>
      </x:c>
      <x:c r="L40" s="123" t="n">
        <x:v>11578.1305718718</x:v>
      </x:c>
      <x:c r="M40" s="134" t="n">
        <x:f>'Premissas'!$B$15+'Premissas'!$B$16*C40</x:f>
        <x:v>110000</x:v>
      </x:c>
      <x:c r="N40" s="134" t="n">
        <x:f>E40*(1+'Premissas'!$B$14)+M40</x:f>
        <x:v>792500</x:v>
      </x:c>
      <x:c r="O40" s="134" t="n">
        <x:f>L40/'Premissas'!$B$6*365*'Premissas'!$B$7*'Premissas'!$B$10</x:f>
        <x:v>19721.41574075496</x:v>
      </x:c>
      <x:c r="P40" s="134" t="n">
        <x:f>L40/'Premissas'!$B$6*365*'Premissas'!$B$8*'Premissas'!$B$11</x:f>
        <x:v>29934.29174936021</x:v>
      </x:c>
      <x:c r="Q40" s="134" t="n">
        <x:f>L40/'Premissas'!$B$6*365*'Premissas'!$B$9*'Premissas'!$B$12</x:f>
        <x:v>42260.17658733207</x:v>
      </x:c>
      <x:c r="R40" s="134" t="n">
        <x:f>O40*(1-'Premissas'!$B$13)-G40*12-H40</x:f>
        <x:v>9953.348546305822</x:v>
      </x:c>
      <x:c r="S40" s="134" t="n">
        <x:f>P40*(1-'Premissas'!$B$13)-G40*12-H40</x:f>
        <x:v>16795.97547207134</x:v>
      </x:c>
      <x:c r="T40" s="134" t="n">
        <x:f>Q40*(1-'Premissas'!$B$13)-G40*12-H40</x:f>
        <x:v>25054.318313512482</x:v>
      </x:c>
      <x:c r="U40" s="135" t="n">
        <x:f>IFERROR(R40/N40,0)</x:f>
        <x:v>0.012559430342341731</x:v>
      </x:c>
      <x:c r="V40" s="135" t="n">
        <x:f>IFERROR(S40/N40,0)</x:f>
        <x:v>0.021193659901667303</x:v>
      </x:c>
      <x:c r="W40" s="135" t="n">
        <x:f>IFERROR(T40/N40,0)</x:f>
        <x:v>0.03161428178361196</x:v>
      </x:c>
      <x:c r="X40" s="136" t="n">
        <x:f>IFERROR(N40/S40,0)</x:f>
        <x:v>47.183922203136326</x:v>
      </x:c>
      <x:c r="Y40" s="78" t="str">
        <x:v>https://www.vivareal.com.br/imovel/apartamento-2-quartos-morretes-bairros-itapema-com-garagem-64m2-venda-RS650000-id-2720737135/</x:v>
      </x:c>
      <x:c r="Z40" s="78" t="str">
        <x:v>Apartamento venda, 64 m², 2 quartos sendo uma suíte, em Morretes - Itapema - SC</x:v>
      </x:c>
    </x:row>
    <x:row r="41">
      <x:c r="A41" s="78" t="n">
        <x:v>2618380272</x:v>
      </x:c>
      <x:c r="B41" s="78" t="str">
        <x:v>Morretes</x:v>
      </x:c>
      <x:c r="C41" s="78" t="n">
        <x:v>2</x:v>
      </x:c>
      <x:c r="D41" s="78" t="n">
        <x:v>70</x:v>
      </x:c>
      <x:c r="E41" s="123" t="n">
        <x:v>590000</x:v>
      </x:c>
      <x:c r="F41" s="123" t="n">
        <x:v>8428.5714285714</x:v>
      </x:c>
      <x:c r="G41" s="123" t="n">
        <x:v>300</x:v>
      </x:c>
      <x:c r="H41" s="123" t="n">
        <x:v>1000</x:v>
      </x:c>
      <x:c r="I41" s="78" t="n">
        <x:v>38</x:v>
      </x:c>
      <x:c r="J41" s="123" t="n">
        <x:v>449.25</x:v>
      </x:c>
      <x:c r="K41" s="84" t="n">
        <x:v>0.2722222222</x:v>
      </x:c>
      <x:c r="L41" s="123" t="n">
        <x:v>11578.1305718718</x:v>
      </x:c>
      <x:c r="M41" s="134" t="n">
        <x:f>'Premissas'!$B$15+'Premissas'!$B$16*C41</x:f>
        <x:v>110000</x:v>
      </x:c>
      <x:c r="N41" s="134" t="n">
        <x:f>E41*(1+'Premissas'!$B$14)+M41</x:f>
        <x:v>729500</x:v>
      </x:c>
      <x:c r="O41" s="134" t="n">
        <x:f>L41/'Premissas'!$B$6*365*'Premissas'!$B$7*'Premissas'!$B$10</x:f>
        <x:v>19721.41574075496</x:v>
      </x:c>
      <x:c r="P41" s="134" t="n">
        <x:f>L41/'Premissas'!$B$6*365*'Premissas'!$B$8*'Premissas'!$B$11</x:f>
        <x:v>29934.29174936021</x:v>
      </x:c>
      <x:c r="Q41" s="134" t="n">
        <x:f>L41/'Premissas'!$B$6*365*'Premissas'!$B$9*'Premissas'!$B$12</x:f>
        <x:v>42260.17658733207</x:v>
      </x:c>
      <x:c r="R41" s="134" t="n">
        <x:f>O41*(1-'Premissas'!$B$13)-G41*12-H41</x:f>
        <x:v>8613.348546305822</x:v>
      </x:c>
      <x:c r="S41" s="134" t="n">
        <x:f>P41*(1-'Premissas'!$B$13)-G41*12-H41</x:f>
        <x:v>15455.975472071339</x:v>
      </x:c>
      <x:c r="T41" s="134" t="n">
        <x:f>Q41*(1-'Premissas'!$B$13)-G41*12-H41</x:f>
        <x:v>23714.318313512482</x:v>
      </x:c>
      <x:c r="U41" s="135" t="n">
        <x:f>IFERROR(R41/N41,0)</x:f>
        <x:v>0.011807194717348625</x:v>
      </x:c>
      <x:c r="V41" s="135" t="n">
        <x:f>IFERROR(S41/N41,0)</x:f>
        <x:v>0.021187080839028566</x:v>
      </x:c>
      <x:c r="W41" s="135" t="n">
        <x:f>IFERROR(T41/N41,0)</x:f>
        <x:v>0.03250763305484919</x:v>
      </x:c>
      <x:c r="X41" s="136" t="n">
        <x:f>IFERROR(N41/S41,0)</x:f>
        <x:v>47.198573866670074</x:v>
      </x:c>
      <x:c r="Y41" s="78" t="str">
        <x:v>https://www.vivareal.com.br/imovel/apartamento-2-quartos-morretes-bairros-itapema-com-garagem-70m2-venda-RS590000-id-2618380272/</x:v>
      </x:c>
      <x:c r="Z41" s="78" t="str">
        <x:v>apartamento a venda de 2 quartos em itapema - santa catarina</x:v>
      </x:c>
    </x:row>
    <x:row r="42">
      <x:c r="A42" s="78" t="n">
        <x:v>2714533420</x:v>
      </x:c>
      <x:c r="B42" s="78" t="str">
        <x:v>Morretes</x:v>
      </x:c>
      <x:c r="C42" s="78" t="n">
        <x:v>2</x:v>
      </x:c>
      <x:c r="D42" s="78" t="n">
        <x:v>53</x:v>
      </x:c>
      <x:c r="E42" s="123" t="n">
        <x:v>571143</x:v>
      </x:c>
      <x:c r="F42" s="123" t="n">
        <x:v>10776.2830188679</x:v>
      </x:c>
      <x:c r="G42" s="123" t="n">
        <x:v>350</x:v>
      </x:c>
      <x:c r="H42" s="123" t="n">
        <x:v>850</x:v>
      </x:c>
      <x:c r="I42" s="78" t="n">
        <x:v>38</x:v>
      </x:c>
      <x:c r="J42" s="123" t="n">
        <x:v>449.25</x:v>
      </x:c>
      <x:c r="K42" s="84" t="n">
        <x:v>0.2722222222</x:v>
      </x:c>
      <x:c r="L42" s="123" t="n">
        <x:v>11578.1305718718</x:v>
      </x:c>
      <x:c r="M42" s="134" t="n">
        <x:f>'Premissas'!$B$15+'Premissas'!$B$16*C42</x:f>
        <x:v>110000</x:v>
      </x:c>
      <x:c r="N42" s="134" t="n">
        <x:f>E42*(1+'Premissas'!$B$14)+M42</x:f>
        <x:v>709700.15</x:v>
      </x:c>
      <x:c r="O42" s="134" t="n">
        <x:f>L42/'Premissas'!$B$6*365*'Premissas'!$B$7*'Premissas'!$B$10</x:f>
        <x:v>19721.41574075496</x:v>
      </x:c>
      <x:c r="P42" s="134" t="n">
        <x:f>L42/'Premissas'!$B$6*365*'Premissas'!$B$8*'Premissas'!$B$11</x:f>
        <x:v>29934.29174936021</x:v>
      </x:c>
      <x:c r="Q42" s="134" t="n">
        <x:f>L42/'Premissas'!$B$6*365*'Premissas'!$B$9*'Premissas'!$B$12</x:f>
        <x:v>42260.17658733207</x:v>
      </x:c>
      <x:c r="R42" s="134" t="n">
        <x:f>O42*(1-'Premissas'!$B$13)-G42*12-H42</x:f>
        <x:v>8163.348546305822</x:v>
      </x:c>
      <x:c r="S42" s="134" t="n">
        <x:f>P42*(1-'Premissas'!$B$13)-G42*12-H42</x:f>
        <x:v>15005.975472071339</x:v>
      </x:c>
      <x:c r="T42" s="134" t="n">
        <x:f>Q42*(1-'Premissas'!$B$13)-G42*12-H42</x:f>
        <x:v>23264.318313512482</x:v>
      </x:c>
      <x:c r="U42" s="135" t="n">
        <x:f>IFERROR(R42/N42,0)</x:f>
        <x:v>0.01150253180347478</x:v>
      </x:c>
      <x:c r="V42" s="135" t="n">
        <x:f>IFERROR(S42/N42,0)</x:f>
        <x:v>0.021144106383620378</x:v>
      </x:c>
      <x:c r="W42" s="135" t="n">
        <x:f>IFERROR(T42/N42,0)</x:f>
        <x:v>0.0327804894975892</x:v>
      </x:c>
      <x:c r="X42" s="136" t="n">
        <x:f>IFERROR(N42/S42,0)</x:f>
        <x:v>47.29450286793232</x:v>
      </x:c>
      <x:c r="Y42" s="78" t="str">
        <x:v>https://www.vivareal.com.br/imovel/apartamento-2-quartos-morretes-bairros-itapema-com-garagem-53m2-venda-RS571143-id-2714533420/</x:v>
      </x:c>
      <x:c r="Z42" s="78" t="str">
        <x:v>Apartamento de 2 Dormitórios | Morretes | Itapema</x:v>
      </x:c>
    </x:row>
    <x:row r="43">
      <x:c r="A43" s="78" t="n">
        <x:v>2763593920</x:v>
      </x:c>
      <x:c r="B43" s="78" t="str">
        <x:v>Morretes</x:v>
      </x:c>
      <x:c r="C43" s="78" t="n">
        <x:v>2</x:v>
      </x:c>
      <x:c r="D43" s="78" t="n">
        <x:v>53</x:v>
      </x:c>
      <x:c r="E43" s="123" t="n">
        <x:v>572070</x:v>
      </x:c>
      <x:c r="F43" s="123" t="n">
        <x:v>10793.7735849057</x:v>
      </x:c>
      <x:c r="G43" s="123" t="n">
        <x:v>350</x:v>
      </x:c>
      <x:c r="H43" s="123" t="n">
        <x:v>850</x:v>
      </x:c>
      <x:c r="I43" s="78" t="n">
        <x:v>38</x:v>
      </x:c>
      <x:c r="J43" s="123" t="n">
        <x:v>449.25</x:v>
      </x:c>
      <x:c r="K43" s="84" t="n">
        <x:v>0.2722222222</x:v>
      </x:c>
      <x:c r="L43" s="123" t="n">
        <x:v>11578.1305718718</x:v>
      </x:c>
      <x:c r="M43" s="134" t="n">
        <x:f>'Premissas'!$B$15+'Premissas'!$B$16*C43</x:f>
        <x:v>110000</x:v>
      </x:c>
      <x:c r="N43" s="134" t="n">
        <x:f>E43*(1+'Premissas'!$B$14)+M43</x:f>
        <x:v>710673.5</x:v>
      </x:c>
      <x:c r="O43" s="134" t="n">
        <x:f>L43/'Premissas'!$B$6*365*'Premissas'!$B$7*'Premissas'!$B$10</x:f>
        <x:v>19721.41574075496</x:v>
      </x:c>
      <x:c r="P43" s="134" t="n">
        <x:f>L43/'Premissas'!$B$6*365*'Premissas'!$B$8*'Premissas'!$B$11</x:f>
        <x:v>29934.29174936021</x:v>
      </x:c>
      <x:c r="Q43" s="134" t="n">
        <x:f>L43/'Premissas'!$B$6*365*'Premissas'!$B$9*'Premissas'!$B$12</x:f>
        <x:v>42260.17658733207</x:v>
      </x:c>
      <x:c r="R43" s="134" t="n">
        <x:f>O43*(1-'Premissas'!$B$13)-G43*12-H43</x:f>
        <x:v>8163.348546305822</x:v>
      </x:c>
      <x:c r="S43" s="134" t="n">
        <x:f>P43*(1-'Premissas'!$B$13)-G43*12-H43</x:f>
        <x:v>15005.975472071339</x:v>
      </x:c>
      <x:c r="T43" s="134" t="n">
        <x:f>Q43*(1-'Premissas'!$B$13)-G43*12-H43</x:f>
        <x:v>23264.318313512482</x:v>
      </x:c>
      <x:c r="U43" s="135" t="n">
        <x:f>IFERROR(R43/N43,0)</x:f>
        <x:v>0.011486777748580498</x:v>
      </x:c>
      <x:c r="V43" s="135" t="n">
        <x:f>IFERROR(S43/N43,0)</x:f>
        <x:v>0.021115147071153403</x:v>
      </x:c>
      <x:c r="W43" s="135" t="n">
        <x:f>IFERROR(T43/N43,0)</x:f>
        <x:v>0.032735592805293125</x:v>
      </x:c>
      <x:c r="X43" s="136" t="n">
        <x:f>IFERROR(N43/S43,0)</x:f>
        <x:v>47.35936702833373</x:v>
      </x:c>
      <x:c r="Y43" s="78" t="str">
        <x:v>https://www.vivareal.com.br/imovel/apartamento-2-quartos-morretes-bairros-itapema-com-garagem-53m2-venda-RS572070-id-2763593920/</x:v>
      </x:c>
      <x:c r="Z43" s="78" t="str">
        <x:v>Imóvel para venda possui 53 metros quadrados com 2 quartos em Morretes - Itapema - SC</x:v>
      </x:c>
    </x:row>
    <x:row r="44">
      <x:c r="A44" s="79" t="n">
        <x:v>2767583935</x:v>
      </x:c>
      <x:c r="B44" s="79" t="str">
        <x:v>Morretes</x:v>
      </x:c>
      <x:c r="C44" s="79" t="n">
        <x:v>2</x:v>
      </x:c>
      <x:c r="D44" s="79" t="n">
        <x:v>56</x:v>
      </x:c>
      <x:c r="E44" s="124" t="n">
        <x:v>600000</x:v>
      </x:c>
      <x:c r="F44" s="124" t="n">
        <x:v>10714.2857142857</x:v>
      </x:c>
      <x:c r="G44" s="124" t="n">
        <x:v>300</x:v>
      </x:c>
      <x:c r="H44" s="124" t="n">
        <x:v>850</x:v>
      </x:c>
      <x:c r="I44" s="79" t="n">
        <x:v>38</x:v>
      </x:c>
      <x:c r="J44" s="124" t="n">
        <x:v>449.25</x:v>
      </x:c>
      <x:c r="K44" s="85" t="n">
        <x:v>0.2722222222</x:v>
      </x:c>
      <x:c r="L44" s="124" t="n">
        <x:v>11578.1305718718</x:v>
      </x:c>
      <x:c r="M44" s="137" t="n">
        <x:f>'Premissas'!$B$15+'Premissas'!$B$16*C44</x:f>
        <x:v>110000</x:v>
      </x:c>
      <x:c r="N44" s="137" t="n">
        <x:f>E44*(1+'Premissas'!$B$14)+M44</x:f>
        <x:v>740000</x:v>
      </x:c>
      <x:c r="O44" s="137" t="n">
        <x:f>L44/'Premissas'!$B$6*365*'Premissas'!$B$7*'Premissas'!$B$10</x:f>
        <x:v>19721.41574075496</x:v>
      </x:c>
      <x:c r="P44" s="137" t="n">
        <x:f>L44/'Premissas'!$B$6*365*'Premissas'!$B$8*'Premissas'!$B$11</x:f>
        <x:v>29934.29174936021</x:v>
      </x:c>
      <x:c r="Q44" s="137" t="n">
        <x:f>L44/'Premissas'!$B$6*365*'Premissas'!$B$9*'Premissas'!$B$12</x:f>
        <x:v>42260.17658733207</x:v>
      </x:c>
      <x:c r="R44" s="137" t="n">
        <x:f>O44*(1-'Premissas'!$B$13)-G44*12-H44</x:f>
        <x:v>8763.348546305822</x:v>
      </x:c>
      <x:c r="S44" s="137" t="n">
        <x:f>P44*(1-'Premissas'!$B$13)-G44*12-H44</x:f>
        <x:v>15605.975472071339</x:v>
      </x:c>
      <x:c r="T44" s="137" t="n">
        <x:f>Q44*(1-'Premissas'!$B$13)-G44*12-H44</x:f>
        <x:v>23864.318313512482</x:v>
      </x:c>
      <x:c r="U44" s="138" t="n">
        <x:f>IFERROR(R44/N44,0)</x:f>
        <x:v>0.011842362900413274</x:v>
      </x:c>
      <x:c r="V44" s="138" t="n">
        <x:f>IFERROR(S44/N44,0)</x:f>
        <x:v>0.021089156043339646</x:v>
      </x:c>
      <x:c r="W44" s="138" t="n">
        <x:f>IFERROR(T44/N44,0)</x:f>
        <x:v>0.0322490788020439</x:v>
      </x:c>
      <x:c r="X44" s="139" t="n">
        <x:f>IFERROR(N44/S44,0)</x:f>
        <x:v>47.41773440079499</x:v>
      </x:c>
      <x:c r="Y44" s="79" t="str">
        <x:v>https://www.vivareal.com.br/imovel/apartamento-2-quartos-morretes-bairros-itapema-com-garagem-56m2-venda-RS600000-id-2767583935/</x:v>
      </x:c>
      <x:c r="Z44" s="79" t="str">
        <x:v>Apartamento de 02 quartos a venda, Morretes, Itapema-sc</x:v>
      </x:c>
    </x:row>
  </x:sheetData>
  <x:mergeCells>
    <x:mergeCell ref="A1:Z1"/>
    <x:mergeCell ref="A2:Z2"/>
    <x:mergeCell ref="A4:Q4"/>
    <x:mergeCell ref="A18:Z18"/>
  </x:mergeCells>
  <x:conditionalFormatting sqref="O6:O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0:V4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7" hidden="0" customWidth="1"/>
    <x:col min="5" max="5" width="18" hidden="0" customWidth="1"/>
    <x:col min="6" max="6" width="17" hidden="0" customWidth="1"/>
    <x:col min="7" max="7" width="14" hidden="0" customWidth="1"/>
    <x:col min="8" max="8" width="15" hidden="0" customWidth="1"/>
    <x:col min="9" max="9" width="15" hidden="0" customWidth="1"/>
  </x:cols>
  <x:sheetData>
    <x:row r="1" ht="34" customHeight="1">
      <x:c r="A1" s="4" t="str">
        <x:v>Tese preliminar — compactos no Centro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7" t="str">
        <x:v>Veredito separado para studios (sem amostra no Centro) e apartamentos de 1 quarto.</x:v>
      </x:c>
      <x:c r="B2" s="7"/>
      <x:c r="C2" s="7"/>
      <x:c r="D2" s="7"/>
      <x:c r="E2" s="7"/>
      <x:c r="F2" s="7"/>
      <x:c r="G2" s="7"/>
      <x:c r="H2" s="7"/>
      <x:c r="I2" s="7"/>
    </x:row>
    <x:row r="4" ht="22" customHeight="1">
      <x:c r="A4" s="10" t="str">
        <x:v>Veredito para o comitê de investimento</x:v>
      </x:c>
      <x:c r="B4" s="10"/>
      <x:c r="C4" s="10"/>
      <x:c r="D4" s="10"/>
      <x:c r="E4" s="10"/>
      <x:c r="F4" s="10"/>
      <x:c r="G4" s="10"/>
      <x:c r="H4" s="10"/>
      <x:c r="I4" s="10"/>
    </x:row>
    <x:row r="5">
      <x:c r="A5" s="159" t="str">
        <x:v>NÃO SUSTENTADA. A base não contém studios no Centro, portanto essa parcela da tese não foi validada. Para 1 quarto, a evidência é contrária: Morretes 2Q combina receita maior, investimento menor e yield superior. A recomendação de 2 quartos permanece.</x:v>
      </x:c>
      <x:c r="B5" s="160"/>
      <x:c r="C5" s="160"/>
      <x:c r="D5" s="160"/>
      <x:c r="E5" s="160"/>
      <x:c r="F5" s="160"/>
      <x:c r="G5" s="160"/>
      <x:c r="H5" s="160"/>
      <x:c r="I5" s="161"/>
    </x:row>
    <x:row r="6">
      <x:c r="A6" s="162"/>
      <x:c r="B6" s="163"/>
      <x:c r="C6" s="163"/>
      <x:c r="D6" s="163"/>
      <x:c r="E6" s="163"/>
      <x:c r="F6" s="163"/>
      <x:c r="G6" s="163"/>
      <x:c r="H6" s="163"/>
      <x:c r="I6" s="164"/>
    </x:row>
    <x:row r="7">
      <x:c r="A7" s="165"/>
      <x:c r="B7" s="166"/>
      <x:c r="C7" s="166"/>
      <x:c r="D7" s="166"/>
      <x:c r="E7" s="166"/>
      <x:c r="F7" s="166"/>
      <x:c r="G7" s="166"/>
      <x:c r="H7" s="166"/>
      <x:c r="I7" s="167"/>
    </x:row>
    <x:row r="9" ht="22" customHeight="1">
      <x:c r="A9" s="10" t="str">
        <x:v>Comparação dos segmentos — bootstrap de 5.000 réplicas</x:v>
      </x:c>
      <x:c r="B9" s="10"/>
      <x:c r="C9" s="10"/>
      <x:c r="D9" s="10"/>
      <x:c r="E9" s="10"/>
      <x:c r="F9" s="10"/>
      <x:c r="G9" s="10"/>
      <x:c r="H9" s="10"/>
      <x:c r="I9" s="10"/>
    </x:row>
    <x:row r="10" ht="30" customHeight="1">
      <x:c r="A10" s="22" t="str">
        <x:v>Segmento</x:v>
      </x:c>
      <x:c r="B10" s="23" t="str">
        <x:v>N Airbnb</x:v>
      </x:c>
      <x:c r="C10" s="23" t="str">
        <x:v>N vendas</x:v>
      </x:c>
      <x:c r="D10" s="23" t="str">
        <x:v>Receita 90d</x:v>
      </x:c>
      <x:c r="E10" s="23" t="str">
        <x:v>Investimento</x:v>
      </x:c>
      <x:c r="F10" s="23" t="str">
        <x:v>NOI anual</x:v>
      </x:c>
      <x:c r="G10" s="23" t="str">
        <x:v>Yield</x:v>
      </x:c>
      <x:c r="H10" s="23" t="str">
        <x:v>IC 95% baixo</x:v>
      </x:c>
      <x:c r="I10" s="24" t="str">
        <x:v>IC 95% alto</x:v>
      </x:c>
    </x:row>
    <x:row r="11">
      <x:c r="A11" s="77" t="str">
        <x:v>Centro, 1 quarto</x:v>
      </x:c>
      <x:c r="B11" s="77" t="n">
        <x:v>70</x:v>
      </x:c>
      <x:c r="C11" s="77" t="n">
        <x:v>19</x:v>
      </x:c>
      <x:c r="D11" s="80" t="n">
        <x:v>9993.9069801275</x:v>
      </x:c>
      <x:c r="E11" s="80" t="n">
        <x:v>1019500</x:v>
      </x:c>
      <x:c r="F11" s="80" t="n">
        <x:v>9511.7371599304</x:v>
      </x:c>
      <x:c r="G11" s="168" t="n">
        <x:v>0.009347358</x:v>
      </x:c>
      <x:c r="H11" s="168" t="n">
        <x:v>0.0069069895</x:v>
      </x:c>
      <x:c r="I11" s="168" t="n">
        <x:v>0.0126814456</x:v>
      </x:c>
    </x:row>
    <x:row r="12">
      <x:c r="A12" s="78" t="str">
        <x:v>Morretes, 2 quartos</x:v>
      </x:c>
      <x:c r="B12" s="78" t="n">
        <x:v>38</x:v>
      </x:c>
      <x:c r="C12" s="78" t="n">
        <x:v>1031</x:v>
      </x:c>
      <x:c r="D12" s="81" t="n">
        <x:v>11578.1305718718</x:v>
      </x:c>
      <x:c r="E12" s="81" t="n">
        <x:v>939500</x:v>
      </x:c>
      <x:c r="F12" s="81" t="n">
        <x:v>15005.9754720713</x:v>
      </x:c>
      <x:c r="G12" s="169" t="n">
        <x:v>0.0159991209</x:v>
      </x:c>
      <x:c r="H12" s="169" t="n">
        <x:v>0.0114624474</x:v>
      </x:c>
      <x:c r="I12" s="169" t="n">
        <x:v>0.0194521965</x:v>
      </x:c>
    </x:row>
    <x:row r="13">
      <x:c r="A13" s="78" t="str">
        <x:v>Meia Praia, 1 quarto</x:v>
      </x:c>
      <x:c r="B13" s="78" t="n">
        <x:v>15</x:v>
      </x:c>
      <x:c r="C13" s="78" t="n">
        <x:v>56</x:v>
      </x:c>
      <x:c r="D13" s="81" t="n">
        <x:v>13216.0841936284</x:v>
      </x:c>
      <x:c r="E13" s="81" t="n">
        <x:v>1006375</x:v>
      </x:c>
      <x:c r="F13" s="81" t="n">
        <x:v>13163.2865093255</x:v>
      </x:c>
      <x:c r="G13" s="169" t="n">
        <x:v>0.0131141086</x:v>
      </x:c>
      <x:c r="H13" s="169" t="n">
        <x:v>0.0078923144</x:v>
      </x:c>
      <x:c r="I13" s="169" t="n">
        <x:v>0.0212569259</x:v>
      </x:c>
    </x:row>
    <x:row r="14">
      <x:c r="A14" s="78" t="str">
        <x:v>Meia Praia, 2 quartos</x:v>
      </x:c>
      <x:c r="B14" s="78" t="n">
        <x:v>90</x:v>
      </x:c>
      <x:c r="C14" s="78" t="n">
        <x:v>241</x:v>
      </x:c>
      <x:c r="D14" s="81" t="n">
        <x:v>13117.1212117233</x:v>
      </x:c>
      <x:c r="E14" s="81" t="n">
        <x:v>1233500</x:v>
      </x:c>
      <x:c r="F14" s="81" t="n">
        <x:v>15638.8599456491</x:v>
      </x:c>
      <x:c r="G14" s="169" t="n">
        <x:v>0.012655962</x:v>
      </x:c>
      <x:c r="H14" s="169" t="n">
        <x:v>0.00998047</x:v>
      </x:c>
      <x:c r="I14" s="169" t="n">
        <x:v>0.0166013547</x:v>
      </x:c>
    </x:row>
    <x:row r="15">
      <x:c r="A15" s="79" t="str">
        <x:v>Centro, 2 quartos</x:v>
      </x:c>
      <x:c r="B15" s="79" t="n">
        <x:v>47</x:v>
      </x:c>
      <x:c r="C15" s="79" t="n">
        <x:v>84</x:v>
      </x:c>
      <x:c r="D15" s="82" t="n">
        <x:v>12608.7673501736</x:v>
      </x:c>
      <x:c r="E15" s="82" t="n">
        <x:v>1288625</x:v>
      </x:c>
      <x:c r="F15" s="82" t="n">
        <x:v>14841.2745596852</x:v>
      </x:c>
      <x:c r="G15" s="170" t="n">
        <x:v>0.0115010452</x:v>
      </x:c>
      <x:c r="H15" s="170" t="n">
        <x:v>0.0074798607</x:v>
      </x:c>
      <x:c r="I15" s="170" t="n">
        <x:v>0.0150671343</x:v>
      </x:c>
    </x:row>
    <x:row r="18" ht="22" customHeight="1">
      <x:c r="A18" s="10" t="str">
        <x:v>Evidência decisiva</x:v>
      </x:c>
      <x:c r="B18" s="10"/>
      <x:c r="C18" s="10"/>
      <x:c r="D18" s="10"/>
      <x:c r="E18" s="10"/>
      <x:c r="F18" s="10"/>
    </x:row>
    <x:row r="19" ht="30" customHeight="1">
      <x:c r="A19" s="22" t="str">
        <x:v>Teste</x:v>
      </x:c>
      <x:c r="B19" s="23" t="str">
        <x:v>Valor</x:v>
      </x:c>
      <x:c r="C19" s="23" t="str">
        <x:v>Comparação</x:v>
      </x:c>
      <x:c r="D19" s="24" t="str">
        <x:v>Leitura</x:v>
      </x:c>
    </x:row>
    <x:row r="20">
      <x:c r="A20" s="29" t="str">
        <x:v>Studios no Centro — amostra</x:v>
      </x:c>
      <x:c r="B20" s="29" t="n">
        <x:v>0</x:v>
      </x:c>
      <x:c r="C20" s="29" t="str">
        <x:v>Sem teste direto</x:v>
      </x:c>
      <x:c r="D20" s="29" t="str">
        <x:v>Não validar por extrapolação</x:v>
      </x:c>
    </x:row>
    <x:row r="21">
      <x:c r="A21" s="30" t="str">
        <x:v>Prêmio de receita — Morretes 2Q</x:v>
      </x:c>
      <x:c r="B21" s="36" t="n">
        <x:v>0.15851894508268205</x:v>
      </x:c>
      <x:c r="C21" s="30" t="str">
        <x:v>vs Centro 1Q</x:v>
      </x:c>
      <x:c r="D21" s="30" t="str">
        <x:v>+15,9%</x:v>
      </x:c>
    </x:row>
    <x:row r="22">
      <x:c r="A22" s="30" t="str">
        <x:v>Prêmio de NOI — Morretes 2Q</x:v>
      </x:c>
      <x:c r="B22" s="36" t="n">
        <x:v>0.5776272220058936</x:v>
      </x:c>
      <x:c r="C22" s="30" t="str">
        <x:v>vs Centro 1Q</x:v>
      </x:c>
      <x:c r="D22" s="30" t="str">
        <x:v>+57,8%</x:v>
      </x:c>
    </x:row>
    <x:row r="23">
      <x:c r="A23" s="30" t="str">
        <x:v>Prêmio de yield — Morretes 2Q</x:v>
      </x:c>
      <x:c r="B23" s="171" t="n">
        <x:v>0.7116195654326622</x:v>
      </x:c>
      <x:c r="C23" s="30" t="str">
        <x:v>vs Centro 1Q</x:v>
      </x:c>
      <x:c r="D23" s="30" t="str">
        <x:v>+71,2%</x:v>
      </x:c>
    </x:row>
    <x:row r="24">
      <x:c r="A24" s="31" t="str">
        <x:v>Probabilidade bootstrap</x:v>
      </x:c>
      <x:c r="B24" s="172" t="n">
        <x:v>0.9872</x:v>
      </x:c>
      <x:c r="C24" s="31" t="str">
        <x:v>Morretes 2Q &gt; Centro 1Q</x:v>
      </x:c>
      <x:c r="D24" s="31" t="str">
        <x:v>98,7%</x:v>
      </x:c>
    </x:row>
    <x:row r="27">
      <x:c r="A27" s="64" t="str">
        <x:v>Método: bootstrap não paramétrico com 5.000 réplicas. Cada réplica reamostra separadamente a receita proxy na amostra estrita Airbnb e os componentes de compra no VivaReal (preço, condomínio e IPTU). Os intervalos refletem incerteza amostral dentro das premissas do modelo; não corrigem o risco de indisponibilidade não ser reserva nem a defasagem temporal da base.</x:v>
      </x:c>
      <x:c r="B27" s="65"/>
      <x:c r="C27" s="65"/>
      <x:c r="D27" s="65"/>
      <x:c r="E27" s="65"/>
      <x:c r="F27" s="65"/>
      <x:c r="G27" s="65"/>
      <x:c r="H27" s="65"/>
      <x:c r="I27" s="66"/>
    </x:row>
    <x:row r="28">
      <x:c r="A28" s="67"/>
      <x:c r="B28" s="68"/>
      <x:c r="C28" s="68"/>
      <x:c r="D28" s="68"/>
      <x:c r="E28" s="68"/>
      <x:c r="F28" s="68"/>
      <x:c r="G28" s="68"/>
      <x:c r="H28" s="68"/>
      <x:c r="I28" s="69"/>
    </x:row>
    <x:row r="29">
      <x:c r="A29" s="67"/>
      <x:c r="B29" s="68"/>
      <x:c r="C29" s="68"/>
      <x:c r="D29" s="68"/>
      <x:c r="E29" s="68"/>
      <x:c r="F29" s="68"/>
      <x:c r="G29" s="68"/>
      <x:c r="H29" s="68"/>
      <x:c r="I29" s="69"/>
    </x:row>
    <x:row r="30">
      <x:c r="A30" s="70"/>
      <x:c r="B30" s="71"/>
      <x:c r="C30" s="71"/>
      <x:c r="D30" s="71"/>
      <x:c r="E30" s="71"/>
      <x:c r="F30" s="71"/>
      <x:c r="G30" s="71"/>
      <x:c r="H30" s="71"/>
      <x:c r="I30" s="72"/>
    </x:row>
  </x:sheetData>
  <x:mergeCells>
    <x:mergeCell ref="A1:I1"/>
    <x:mergeCell ref="A2:I2"/>
    <x:mergeCell ref="A4:I4"/>
    <x:mergeCell ref="A5:I7"/>
    <x:mergeCell ref="A9:I9"/>
    <x:mergeCell ref="A18:F18"/>
    <x:mergeCell ref="A27:I30"/>
  </x:mergeCells>
  <x:conditionalFormatting sqref="G11:I1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14" hidden="0" customWidth="1"/>
    <x:col min="5" max="5" width="13" hidden="0" customWidth="1"/>
    <x:col min="6" max="6" width="14" hidden="0" customWidth="1"/>
    <x:col min="7" max="7" width="38" hidden="0" customWidth="1"/>
  </x:cols>
  <x:sheetData>
    <x:row r="1" ht="34" customHeight="1">
      <x:c r="A1" s="4" t="str">
        <x:v>Qualidade, cobertura e checks</x:v>
      </x:c>
      <x:c r="B1" s="4"/>
      <x:c r="C1" s="4"/>
      <x:c r="D1" s="4"/>
      <x:c r="E1" s="4"/>
      <x:c r="F1" s="4"/>
      <x:c r="G1" s="4"/>
    </x:row>
    <x:row r="2" ht="28" customHeight="1">
      <x:c r="A2" s="7" t="str">
        <x:v>O principal risco é interpretar indisponibilidade como reserva.</x:v>
      </x:c>
      <x:c r="B2" s="7"/>
      <x:c r="C2" s="7"/>
      <x:c r="D2" s="7"/>
      <x:c r="E2" s="7"/>
      <x:c r="F2" s="7"/>
      <x:c r="G2" s="7"/>
    </x:row>
    <x:row r="4" ht="22" customHeight="1">
      <x:c r="A4" s="10" t="str">
        <x:v>Cobertura dos dados</x:v>
      </x:c>
      <x:c r="B4" s="10"/>
      <x:c r="C4" s="10"/>
      <x:c r="D4" s="10"/>
      <x:c r="E4" s="10"/>
      <x:c r="F4" s="10"/>
      <x:c r="G4" s="10"/>
    </x:row>
    <x:row r="5" ht="30" customHeight="1">
      <x:c r="A5" s="22" t="str">
        <x:v>Check</x:v>
      </x:c>
      <x:c r="B5" s="23" t="str">
        <x:v>Atual</x:v>
      </x:c>
      <x:c r="C5" s="23" t="str">
        <x:v>Esperado</x:v>
      </x:c>
      <x:c r="D5" s="23" t="str">
        <x:v>Diferença</x:v>
      </x:c>
      <x:c r="E5" s="23" t="str">
        <x:v>Tolerância</x:v>
      </x:c>
      <x:c r="F5" s="23" t="str">
        <x:v>Status</x:v>
      </x:c>
      <x:c r="G5" s="24" t="str">
        <x:v>Nota</x:v>
      </x:c>
    </x:row>
    <x:row r="6">
      <x:c r="A6" s="29" t="str">
        <x:v>Anúncios Airbnb — detalhes</x:v>
      </x:c>
      <x:c r="B6" s="173" t="n">
        <x:v>4441</x:v>
      </x:c>
      <x:c r="C6" s="173" t="n">
        <x:v>4441</x:v>
      </x:c>
      <x:c r="D6" s="173" t="n">
        <x:v>0</x:v>
      </x:c>
      <x:c r="E6" s="173" t="n">
        <x:v>0</x:v>
      </x:c>
      <x:c r="F6" s="29" t="str">
        <x:v>OK</x:v>
      </x:c>
      <x:c r="G6" s="29" t="str">
        <x:v>Snapshot 13/01/2025</x:v>
      </x:c>
    </x:row>
    <x:row r="7">
      <x:c r="A7" s="30" t="str">
        <x:v>Listings distintos em Price_AV</x:v>
      </x:c>
      <x:c r="B7" s="174" t="n">
        <x:v>1005</x:v>
      </x:c>
      <x:c r="C7" s="174" t="n">
        <x:v>4441</x:v>
      </x:c>
      <x:c r="D7" s="174" t="n">
        <x:v>-3436</x:v>
      </x:c>
      <x:c r="E7" s="174" t="n">
        <x:v>0</x:v>
      </x:c>
      <x:c r="F7" s="30" t="str">
        <x:v>ATENÇÃO</x:v>
      </x:c>
      <x:c r="G7" s="30" t="str">
        <x:v>22,6% do universo de detalhes</x:v>
      </x:c>
    </x:row>
    <x:row r="8">
      <x:c r="A8" s="30" t="str">
        <x:v>Listings na captura 20/01</x:v>
      </x:c>
      <x:c r="B8" s="174" t="n">
        <x:v>777</x:v>
      </x:c>
      <x:c r="C8" s="174" t="n">
        <x:v>1005</x:v>
      </x:c>
      <x:c r="D8" s="174" t="n">
        <x:v>-228</x:v>
      </x:c>
      <x:c r="E8" s="174" t="n">
        <x:v>0</x:v>
      </x:c>
      <x:c r="F8" s="30" t="str">
        <x:v>ATENÇÃO</x:v>
      </x:c>
      <x:c r="G8" s="30" t="str">
        <x:v>3 sem noites futuras foram excluídos</x:v>
      </x:c>
    </x:row>
    <x:row r="9">
      <x:c r="A9" s="30" t="str">
        <x:v>Amostra estrita</x:v>
      </x:c>
      <x:c r="B9" s="174" t="n">
        <x:v>588</x:v>
      </x:c>
      <x:c r="C9" s="174" t="n">
        <x:v>777</x:v>
      </x:c>
      <x:c r="D9" s="174" t="n">
        <x:v>-189</x:v>
      </x:c>
      <x:c r="E9" s="174" t="n">
        <x:v>0</x:v>
      </x:c>
      <x:c r="F9" s="30" t="str">
        <x:v>OK</x:v>
      </x:c>
      <x:c r="G9" s="30" t="str">
        <x:v>Presença nos três blocos de 30 dias</x:v>
      </x:c>
    </x:row>
    <x:row r="10">
      <x:c r="A10" s="30" t="str">
        <x:v>VivaReal — linhas</x:v>
      </x:c>
      <x:c r="B10" s="174" t="n">
        <x:v>8329</x:v>
      </x:c>
      <x:c r="C10" s="174" t="n">
        <x:v>8329</x:v>
      </x:c>
      <x:c r="D10" s="174" t="n">
        <x:v>0</x:v>
      </x:c>
      <x:c r="E10" s="174" t="n">
        <x:v>0</x:v>
      </x:c>
      <x:c r="F10" s="30" t="str">
        <x:v>OK</x:v>
      </x:c>
      <x:c r="G10" s="30" t="str">
        <x:v>36 IDs duplicados removidos</x:v>
      </x:c>
    </x:row>
    <x:row r="11">
      <x:c r="A11" s="31" t="str">
        <x:v>Datas de captura de preços</x:v>
      </x:c>
      <x:c r="B11" s="175" t="n">
        <x:v>3</x:v>
      </x:c>
      <x:c r="C11" s="175" t="n">
        <x:v>3</x:v>
      </x:c>
      <x:c r="D11" s="175" t="n">
        <x:v>0</x:v>
      </x:c>
      <x:c r="E11" s="175" t="n">
        <x:v>0</x:v>
      </x:c>
      <x:c r="F11" s="31" t="str">
        <x:v>ATENÇÃO</x:v>
      </x:c>
      <x:c r="G11" s="31" t="str">
        <x:v>6, 7 e 20/01/2025</x:v>
      </x:c>
    </x:row>
    <x:row r="14" ht="22" customHeight="1">
      <x:c r="A14" s="10" t="str">
        <x:v>Limitações que mudam a decisão</x:v>
      </x:c>
      <x:c r="B14" s="10"/>
      <x:c r="C14" s="10"/>
      <x:c r="D14" s="10"/>
      <x:c r="E14" s="10"/>
      <x:c r="F14" s="10"/>
      <x:c r="G14" s="10"/>
    </x:row>
    <x:row r="15" ht="30" customHeight="1">
      <x:c r="A15" s="22" t="str">
        <x:v>Tema</x:v>
      </x:c>
      <x:c r="B15" s="23" t="str">
        <x:v>Limitação</x:v>
      </x:c>
      <x:c r="C15" s="23" t="str">
        <x:v>Tratamento</x:v>
      </x:c>
      <x:c r="D15" s="24" t="str">
        <x:v>Materialidade</x:v>
      </x:c>
    </x:row>
    <x:row r="16">
      <x:c r="A16" s="29" t="str">
        <x:v>Receita</x:v>
      </x:c>
      <x:c r="B16" s="29" t="str">
        <x:v>Não há reservas/faturamento realizados</x:v>
      </x:c>
      <x:c r="C16" s="29" t="str">
        <x:v>Usar proxy e cenários</x:v>
      </x:c>
      <x:c r="D16" s="29" t="str">
        <x:v>Alta</x:v>
      </x:c>
    </x:row>
    <x:row r="17">
      <x:c r="A17" s="30" t="str">
        <x:v>Calendário</x:v>
      </x:c>
      <x:c r="B17" s="30" t="str">
        <x:v>Noite ausente pode ser bloqueio</x:v>
      </x:c>
      <x:c r="C17" s="30" t="str">
        <x:v>Aplicar fator de 70%–100%</x:v>
      </x:c>
      <x:c r="D17" s="30" t="str">
        <x:v>Alta</x:v>
      </x:c>
    </x:row>
    <x:row r="18">
      <x:c r="A18" s="30" t="str">
        <x:v>Sazonalidade</x:v>
      </x:c>
      <x:c r="B18" s="30" t="str">
        <x:v>Jan–abr não representa o ano</x:v>
      </x:c>
      <x:c r="C18" s="30" t="str">
        <x:v>Haircut 60%–90%</x:v>
      </x:c>
      <x:c r="D18" s="30" t="str">
        <x:v>Alta</x:v>
      </x:c>
    </x:row>
    <x:row r="19">
      <x:c r="A19" s="30" t="str">
        <x:v>Compra</x:v>
      </x:c>
      <x:c r="B19" s="30" t="str">
        <x:v>VivaReal contém preço pedido, não transação</x:v>
      </x:c>
      <x:c r="C19" s="30" t="str">
        <x:v>Exigir negociação e laudo</x:v>
      </x:c>
      <x:c r="D19" s="30" t="str">
        <x:v>Alta</x:v>
      </x:c>
    </x:row>
    <x:row r="20">
      <x:c r="A20" s="30" t="str">
        <x:v>Atualidade</x:v>
      </x:c>
      <x:c r="B20" s="30" t="str">
        <x:v>Bases são de janeiro de 2025</x:v>
      </x:c>
      <x:c r="C20" s="30" t="str">
        <x:v>Atualizar preço e calendário antes do IC</x:v>
      </x:c>
      <x:c r="D20" s="30" t="str">
        <x:v>Alta</x:v>
      </x:c>
    </x:row>
    <x:row r="21">
      <x:c r="A21" s="31" t="str">
        <x:v>Modelo</x:v>
      </x:c>
      <x:c r="B21" s="31" t="str">
        <x:v>R² fora da amostra ≈ 18%</x:v>
      </x:c>
      <x:c r="C21" s="31" t="str">
        <x:v>Não usar como causal</x:v>
      </x:c>
      <x:c r="D21" s="31" t="str">
        <x:v>Média</x:v>
      </x:c>
    </x:row>
  </x:sheetData>
  <x:mergeCells>
    <x:mergeCell ref="A1:G1"/>
    <x:mergeCell ref="A2:G2"/>
    <x:mergeCell ref="A4:G4"/>
    <x:mergeCell ref="A14:G14"/>
  </x:mergeCells>
  <x:conditionalFormatting sqref="F6:F11">
    <x:cfRule type="containsText" dxfId="0" priority="1" operator="containsText" text="OK"/>
    <x:cfRule type="containsText" dxfId="1" priority="2" operator="containsText" text="ATENÇÃO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2" hidden="0" customWidth="1"/>
    <x:col min="4" max="4" width="16" hidden="0" customWidth="1"/>
    <x:col min="5" max="5" width="66" hidden="0" customWidth="1"/>
    <x:col min="6" max="6" width="40" hidden="0" customWidth="1"/>
  </x:cols>
  <x:sheetData>
    <x:row r="1" ht="34" customHeight="1">
      <x:c r="A1" s="4" t="str">
        <x:v>Fontes e trilha de auditoria</x:v>
      </x:c>
      <x:c r="B1" s="4"/>
      <x:c r="C1" s="4"/>
      <x:c r="D1" s="4"/>
      <x:c r="E1" s="4"/>
      <x:c r="F1" s="4"/>
    </x:row>
    <x:row r="2" ht="28" customHeight="1">
      <x:c r="A2" s="7" t="str">
        <x:v>Links em texto para facilitar revisão e atualização.</x:v>
      </x:c>
      <x:c r="B2" s="7"/>
      <x:c r="C2" s="7"/>
      <x:c r="D2" s="7"/>
      <x:c r="E2" s="7"/>
      <x:c r="F2" s="7"/>
    </x:row>
    <x:row r="4" ht="22" customHeight="1">
      <x:c r="A4" s="10" t="str">
        <x:v>Bases e fontes externas</x:v>
      </x:c>
      <x:c r="B4" s="10"/>
      <x:c r="C4" s="10"/>
      <x:c r="D4" s="10"/>
      <x:c r="E4" s="10"/>
      <x:c r="F4" s="10"/>
    </x:row>
    <x:row r="5" ht="30" customHeight="1">
      <x:c r="A5" s="22" t="str">
        <x:v>ID</x:v>
      </x:c>
      <x:c r="B5" s="23" t="str">
        <x:v>Fonte</x:v>
      </x:c>
      <x:c r="C5" s="23" t="str">
        <x:v>Uso</x:v>
      </x:c>
      <x:c r="D5" s="23" t="str">
        <x:v>Data-base</x:v>
      </x:c>
      <x:c r="E5" s="23" t="str">
        <x:v>Caminho/URL</x:v>
      </x:c>
      <x:c r="F5" s="24" t="str">
        <x:v>Nota</x:v>
      </x:c>
    </x:row>
    <x:row r="6">
      <x:c r="A6" s="29" t="str">
        <x:v>D1</x:v>
      </x:c>
      <x:c r="B6" s="29" t="str">
        <x:v>Details_Itapema.csv</x:v>
      </x:c>
      <x:c r="C6" s="29" t="str">
        <x:v>Airbnb — detalhes</x:v>
      </x:c>
      <x:c r="D6" s="29" t="str">
        <x:v>13/01/2025</x:v>
      </x:c>
      <x:c r="E6" s="176" t="str">
        <x:v>Arquivo fornecido</x:v>
      </x:c>
      <x:c r="F6" s="29" t="str">
        <x:v>4.441 anúncios</x:v>
      </x:c>
    </x:row>
    <x:row r="7">
      <x:c r="A7" s="30" t="str">
        <x:v>D2</x:v>
      </x:c>
      <x:c r="B7" s="30" t="str">
        <x:v>Hosts_ids_Itapema.csv</x:v>
      </x:c>
      <x:c r="C7" s="30" t="str">
        <x:v>Airbnb — hosts</x:v>
      </x:c>
      <x:c r="D7" s="30" t="str">
        <x:v>13/01/2025</x:v>
      </x:c>
      <x:c r="E7" s="177" t="str">
        <x:v>Arquivo fornecido</x:v>
      </x:c>
      <x:c r="F7" s="30" t="str">
        <x:v>Deduplicado por owner_id</x:v>
      </x:c>
    </x:row>
    <x:row r="8">
      <x:c r="A8" s="30" t="str">
        <x:v>D3</x:v>
      </x:c>
      <x:c r="B8" s="30" t="str">
        <x:v>Mesh_Ids_Data_Itapema.csv</x:v>
      </x:c>
      <x:c r="C8" s="30" t="str">
        <x:v>Geolocalização/bairro</x:v>
      </x:c>
      <x:c r="D8" s="30" t="str">
        <x:v>2021–2026</x:v>
      </x:c>
      <x:c r="E8" s="177" t="str">
        <x:v>Arquivo fornecido</x:v>
      </x:c>
      <x:c r="F8" s="30" t="str">
        <x:v>1 linha por listing</x:v>
      </x:c>
    </x:row>
    <x:row r="9">
      <x:c r="A9" s="30" t="str">
        <x:v>D4</x:v>
      </x:c>
      <x:c r="B9" s="30" t="str">
        <x:v>Price_AV_Itapema.csv</x:v>
      </x:c>
      <x:c r="C9" s="30" t="str">
        <x:v>Preço e disponibilidade</x:v>
      </x:c>
      <x:c r="D9" s="30" t="str">
        <x:v>06–20/01/2025</x:v>
      </x:c>
      <x:c r="E9" s="177" t="str">
        <x:v>Arquivo fornecido</x:v>
      </x:c>
      <x:c r="F9" s="30" t="str">
        <x:v>3 capturas; horizonte 90d</x:v>
      </x:c>
    </x:row>
    <x:row r="10">
      <x:c r="A10" s="30" t="str">
        <x:v>D5</x:v>
      </x:c>
      <x:c r="B10" s="30" t="str">
        <x:v>VivaReal_Itapema.csv</x:v>
      </x:c>
      <x:c r="C10" s="30" t="str">
        <x:v>Preço pedido de venda</x:v>
      </x:c>
      <x:c r="D10" s="30" t="str">
        <x:v>11/01/2025</x:v>
      </x:c>
      <x:c r="E10" s="177" t="str">
        <x:v>Arquivo fornecido</x:v>
      </x:c>
      <x:c r="F10" s="30" t="str">
        <x:v>8.329 linhas</x:v>
      </x:c>
    </x:row>
    <x:row r="11">
      <x:c r="A11" s="30" t="str">
        <x:v>W1</x:v>
      </x:c>
      <x:c r="B11" s="30" t="str">
        <x:v>Seazone — Quem somos</x:v>
      </x:c>
      <x:c r="C11" s="30" t="str">
        <x:v>Modelo de negócio e escala</x:v>
      </x:c>
      <x:c r="D11" s="30" t="str">
        <x:v>2026</x:v>
      </x:c>
      <x:c r="E11" s="177" t="str">
        <x:v>https://seazone.com.br/institucional/quem-somos</x:v>
      </x:c>
      <x:c r="F11" s="30" t="str">
        <x:v>+2.700 imóveis no site consultado</x:v>
      </x:c>
    </x:row>
    <x:row r="12">
      <x:c r="A12" s="30" t="str">
        <x:v>W2</x:v>
      </x:c>
      <x:c r="B12" s="30" t="str">
        <x:v>Seazone — Grandes Operações</x:v>
      </x:c>
      <x:c r="C12" s="30" t="str">
        <x:v>Método de projeção e caso Itapema</x:v>
      </x:c>
      <x:c r="D12" s="30" t="str">
        <x:v>2026</x:v>
      </x:c>
      <x:c r="E12" s="177" t="str">
        <x:v>https://seazone.com.br/lps/grandes-operacoes/</x:v>
      </x:c>
      <x:c r="F12" s="30" t="str">
        <x:v>Manhattan Flats</x:v>
      </x:c>
    </x:row>
    <x:row r="13">
      <x:c r="A13" s="30" t="str">
        <x:v>W3</x:v>
      </x:c>
      <x:c r="B13" s="30" t="str">
        <x:v>IBGE — Itapema</x:v>
      </x:c>
      <x:c r="C13" s="30" t="str">
        <x:v>Contexto municipal</x:v>
      </x:c>
      <x:c r="D13" s="30" t="str">
        <x:v>2025</x:v>
      </x:c>
      <x:c r="E13" s="177" t="str">
        <x:v>https://www.ibge.gov.br/cidades-e-estados/sc/itapema.html</x:v>
      </x:c>
      <x:c r="F13" s="30" t="str">
        <x:v>População estimada 86.116</x:v>
      </x:c>
    </x:row>
    <x:row r="14">
      <x:c r="A14" s="30" t="str">
        <x:v>W4</x:v>
      </x:c>
      <x:c r="B14" s="30" t="str">
        <x:v>FipeZAP venda residencial</x:v>
      </x:c>
      <x:c r="C14" s="30" t="str">
        <x:v>Preço médio Itapema</x:v>
      </x:c>
      <x:c r="D14" s="30" t="str">
        <x:v>abr/2026</x:v>
      </x:c>
      <x:c r="E14" s="177" t="str">
        <x:v>https://downloads.fipe.org.br/indices/fipezap/fipezap-202604-residencial-venda.pdf</x:v>
      </x:c>
      <x:c r="F14" s="30" t="str">
        <x:v>R$15.179/m²</x:v>
      </x:c>
    </x:row>
    <x:row r="15">
      <x:c r="A15" s="31" t="str">
        <x:v>W5</x:v>
      </x:c>
      <x:c r="B15" s="31" t="str">
        <x:v>Banco Central — Selic</x:v>
      </x:c>
      <x:c r="C15" s="31" t="str">
        <x:v>Custo de oportunidade</x:v>
      </x:c>
      <x:c r="D15" s="31" t="str">
        <x:v>05/08/2026</x:v>
      </x:c>
      <x:c r="E15" s="178" t="str">
        <x:v>https://www.bcb.gov.br/controleinflacao/historicotaxasjuros</x:v>
      </x:c>
      <x:c r="F15" s="31" t="str">
        <x:v>Meta Selic 14,00% a.a.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4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4" hidden="0" customWidth="1"/>
    <x:col min="23" max="23" width="14" hidden="0" customWidth="1"/>
    <x:col min="24" max="24" width="16" hidden="0" customWidth="1"/>
    <x:col min="25" max="25" width="16" hidden="0" customWidth="1"/>
    <x:col min="26" max="26" width="14" hidden="0" customWidth="1"/>
  </x:cols>
  <x:sheetData>
    <x:row r="1" ht="34" customHeight="1">
      <x:c r="A1" s="4" t="str">
        <x:v>Base analítica Airbnb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8" customHeight="1">
      <x:c r="A2" s="7" t="str">
        <x:v>Uma linha por anúncio na captura de 20/01/2025; dados derivados em verde.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0" customHeight="1">
      <x:c r="A4" s="196" t="str">
        <x:v>airbnb listing id</x:v>
      </x:c>
      <x:c r="B4" s="197" t="str">
        <x:v>url</x:v>
      </x:c>
      <x:c r="C4" s="197" t="str">
        <x:v>ad name</x:v>
      </x:c>
      <x:c r="D4" s="197" t="str">
        <x:v>suburb clean</x:v>
      </x:c>
      <x:c r="E4" s="197" t="str">
        <x:v>mesh latitude</x:v>
      </x:c>
      <x:c r="F4" s="197" t="str">
        <x:v>mesh longitude</x:v>
      </x:c>
      <x:c r="G4" s="197" t="str">
        <x:v>listing type</x:v>
      </x:c>
      <x:c r="H4" s="197" t="str">
        <x:v>number of bedrooms</x:v>
      </x:c>
      <x:c r="I4" s="197" t="str">
        <x:v>number of bathrooms</x:v>
      </x:c>
      <x:c r="J4" s="197" t="str">
        <x:v>number of beds</x:v>
      </x:c>
      <x:c r="K4" s="197" t="str">
        <x:v>number of guests</x:v>
      </x:c>
      <x:c r="L4" s="197" t="str">
        <x:v>number of reviews</x:v>
      </x:c>
      <x:c r="M4" s="197" t="str">
        <x:v>star rating clean</x:v>
      </x:c>
      <x:c r="N4" s="197" t="str">
        <x:v>cleaning fee</x:v>
      </x:c>
      <x:c r="O4" s="197" t="str">
        <x:v>picture count</x:v>
      </x:c>
      <x:c r="P4" s="197" t="str">
        <x:v>can instant book</x:v>
      </x:c>
      <x:c r="Q4" s="197" t="str">
        <x:v>is professional</x:v>
      </x:c>
      <x:c r="R4" s="197" t="str">
        <x:v>is guest favorite</x:v>
      </x:c>
      <x:c r="S4" s="197" t="str">
        <x:v>is superhost</x:v>
      </x:c>
      <x:c r="T4" s="197" t="str">
        <x:v>available nights 90</x:v>
      </x:c>
      <x:c r="U4" s="197" t="str">
        <x:v>unavailable nights 90</x:v>
      </x:c>
      <x:c r="V4" s="197" t="str">
        <x:v>occupancy proxy 90</x:v>
      </x:c>
      <x:c r="W4" s="197" t="str">
        <x:v>adr available median</x:v>
      </x:c>
      <x:c r="X4" s="197" t="str">
        <x:v>gross revenue proxy 90</x:v>
      </x:c>
      <x:c r="Y4" s="197" t="str">
        <x:v>annual gross base</x:v>
      </x:c>
      <x:c r="Z4" s="197" t="str">
        <x:v>strict calendar sample</x:v>
      </x:c>
      <x:c r="AA4" s="197" t="str">
        <x:v>amenity pool</x:v>
      </x:c>
      <x:c r="AB4" s="197" t="str">
        <x:v>amenity ac</x:v>
      </x:c>
      <x:c r="AC4" s="197" t="str">
        <x:v>amenity parking</x:v>
      </x:c>
      <x:c r="AD4" s="197" t="str">
        <x:v>amenity elevator</x:v>
      </x:c>
      <x:c r="AE4" s="197" t="str">
        <x:v>amenity beach</x:v>
      </x:c>
      <x:c r="AF4" s="197" t="str">
        <x:v>amenity bbq</x:v>
      </x:c>
      <x:c r="AG4" s="197" t="str">
        <x:v>amenity washer</x:v>
      </x:c>
      <x:c r="AH4" s="197" t="str">
        <x:v>amenity wifi</x:v>
      </x:c>
      <x:c r="AI4" s="197" t="str">
        <x:v>amenity kitchen</x:v>
      </x:c>
      <x:c r="AJ4" s="198" t="str">
        <x:v>amenity balcony</x:v>
      </x:c>
    </x:row>
    <x:row r="5">
      <x:c r="A5" s="190" t="n">
        <x:v>991407580891691600</x:v>
      </x:c>
      <x:c r="B5" s="190" t="str">
        <x:v>https://www.airbnb.com.br/rooms/991407580891691701</x:v>
      </x:c>
      <x:c r="C5" s="190" t="str">
        <x:v>Apto em otima localização em Meia Praia EIO6031</x:v>
      </x:c>
      <x:c r="D5" s="190" t="str">
        <x:v>Meia Praia</x:v>
      </x:c>
      <x:c r="E5" s="190" t="n">
        <x:v>-27.1319999695</x:v>
      </x:c>
      <x:c r="F5" s="190" t="n">
        <x:v>-48.5999984741</x:v>
      </x:c>
      <x:c r="G5" s="190" t="str">
        <x:v>apartamento</x:v>
      </x:c>
      <x:c r="H5" s="190" t="n">
        <x:v>3</x:v>
      </x:c>
      <x:c r="I5" s="190" t="n">
        <x:v>2</x:v>
      </x:c>
      <x:c r="J5" s="190" t="n">
        <x:v>3</x:v>
      </x:c>
      <x:c r="K5" s="190" t="n">
        <x:v>6</x:v>
      </x:c>
      <x:c r="L5" s="190" t="n">
        <x:v>11</x:v>
      </x:c>
      <x:c r="M5" s="190" t="n">
        <x:v>4.5500001907</x:v>
      </x:c>
      <x:c r="N5" s="190" t="n">
        <x:v>439</x:v>
      </x:c>
      <x:c r="O5" s="190" t="n">
        <x:v>29</x:v>
      </x:c>
      <x:c r="P5" s="191" t="b">
        <x:v>1</x:v>
      </x:c>
      <x:c r="Q5" s="191" t="b">
        <x:v>1</x:v>
      </x:c>
      <x:c r="R5" s="191" t="b">
        <x:v>0</x:v>
      </x:c>
      <x:c r="S5" s="191" t="b">
        <x:v>0</x:v>
      </x:c>
      <x:c r="T5" s="190" t="n">
        <x:v>55</x:v>
      </x:c>
      <x:c r="U5" s="190" t="n">
        <x:v>35</x:v>
      </x:c>
      <x:c r="V5" s="199" t="n">
        <x:v>0.3888888889</x:v>
      </x:c>
      <x:c r="W5" s="202" t="n">
        <x:v>545</x:v>
      </x:c>
      <x:c r="X5" s="202" t="n">
        <x:v>19123.8438197653</x:v>
      </x:c>
      <x:c r="Y5" s="202" t="n">
        <x:v>49443.1045423514</x:v>
      </x:c>
      <x:c r="Z5" s="191" t="b">
        <x:v>0</x:v>
      </x:c>
      <x:c r="AA5" s="191" t="b">
        <x:v>0</x:v>
      </x:c>
      <x:c r="AB5" s="191" t="b">
        <x:v>1</x:v>
      </x:c>
      <x:c r="AC5" s="191" t="b">
        <x:v>1</x:v>
      </x:c>
      <x:c r="AD5" s="191" t="b">
        <x:v>1</x:v>
      </x:c>
      <x:c r="AE5" s="191" t="b">
        <x:v>1</x:v>
      </x:c>
      <x:c r="AF5" s="191" t="b">
        <x:v>1</x:v>
      </x:c>
      <x:c r="AG5" s="191" t="b">
        <x:v>1</x:v>
      </x:c>
      <x:c r="AH5" s="191" t="b">
        <x:v>1</x:v>
      </x:c>
      <x:c r="AI5" s="191" t="b">
        <x:v>1</x:v>
      </x:c>
      <x:c r="AJ5" s="191" t="b">
        <x:v>1</x:v>
      </x:c>
    </x:row>
    <x:row r="6">
      <x:c r="A6" s="192" t="n">
        <x:v>41193865</x:v>
      </x:c>
      <x:c r="B6" s="192" t="str">
        <x:v>https://www.airbnb.com.br/rooms/41193865</x:v>
      </x:c>
      <x:c r="C6" s="192" t="str">
        <x:v>Apê 150m do mar. Com ar-condicionado.</x:v>
      </x:c>
      <x:c r="D6" s="192" t="str">
        <x:v>Meia Praia</x:v>
      </x:c>
      <x:c r="E6" s="192" t="n">
        <x:v>-27.13144</x:v>
      </x:c>
      <x:c r="F6" s="192" t="n">
        <x:v>-48.60254</x:v>
      </x:c>
      <x:c r="G6" s="192" t="str">
        <x:v>apartamento</x:v>
      </x:c>
      <x:c r="H6" s="192" t="n">
        <x:v>3</x:v>
      </x:c>
      <x:c r="I6" s="192" t="n">
        <x:v>2</x:v>
      </x:c>
      <x:c r="J6" s="192" t="n">
        <x:v>4</x:v>
      </x:c>
      <x:c r="K6" s="192" t="n">
        <x:v>7</x:v>
      </x:c>
      <x:c r="L6" s="192" t="n">
        <x:v>46</x:v>
      </x:c>
      <x:c r="M6" s="192" t="n">
        <x:v>4.7199997902</x:v>
      </x:c>
      <x:c r="N6" s="192" t="n">
        <x:v>250</x:v>
      </x:c>
      <x:c r="O6" s="192" t="n">
        <x:v>29</x:v>
      </x:c>
      <x:c r="P6" s="193" t="b">
        <x:v>0</x:v>
      </x:c>
      <x:c r="Q6" s="193" t="b">
        <x:v>0</x:v>
      </x:c>
      <x:c r="R6" s="193" t="b">
        <x:v>0</x:v>
      </x:c>
      <x:c r="S6" s="193" t="b">
        <x:v>0</x:v>
      </x:c>
      <x:c r="T6" s="192" t="n">
        <x:v>50</x:v>
      </x:c>
      <x:c r="U6" s="192" t="n">
        <x:v>40</x:v>
      </x:c>
      <x:c r="V6" s="200" t="n">
        <x:v>0.4444444444</x:v>
      </x:c>
      <x:c r="W6" s="203" t="n">
        <x:v>400</x:v>
      </x:c>
      <x:c r="X6" s="203" t="n">
        <x:v>16716.8871082036</x:v>
      </x:c>
      <x:c r="Y6" s="203" t="n">
        <x:v>43220.1185443347</x:v>
      </x:c>
      <x:c r="Z6" s="193" t="b">
        <x:v>1</x:v>
      </x:c>
      <x:c r="AA6" s="193" t="b">
        <x:v>0</x:v>
      </x:c>
      <x:c r="AB6" s="193" t="b">
        <x:v>1</x:v>
      </x:c>
      <x:c r="AC6" s="193" t="b">
        <x:v>1</x:v>
      </x:c>
      <x:c r="AD6" s="193" t="b">
        <x:v>1</x:v>
      </x:c>
      <x:c r="AE6" s="193" t="b">
        <x:v>1</x:v>
      </x:c>
      <x:c r="AF6" s="193" t="b">
        <x:v>1</x:v>
      </x:c>
      <x:c r="AG6" s="193" t="b">
        <x:v>1</x:v>
      </x:c>
      <x:c r="AH6" s="193" t="b">
        <x:v>1</x:v>
      </x:c>
      <x:c r="AI6" s="193" t="b">
        <x:v>1</x:v>
      </x:c>
      <x:c r="AJ6" s="193" t="b">
        <x:v>1</x:v>
      </x:c>
    </x:row>
    <x:row r="7">
      <x:c r="A7" s="192" t="n">
        <x:v>45973790</x:v>
      </x:c>
      <x:c r="B7" s="192" t="str">
        <x:v>https://www.airbnb.com.br/rooms/45973790</x:v>
      </x:c>
      <x:c r="C7" s="192" t="str">
        <x:v>50 metros da praia, em Meia praia</x:v>
      </x:c>
      <x:c r="D7" s="192" t="str">
        <x:v>Meia Praia</x:v>
      </x:c>
      <x:c r="E7" s="192" t="n">
        <x:v>-27.14006</x:v>
      </x:c>
      <x:c r="F7" s="192" t="n">
        <x:v>-48.5906</x:v>
      </x:c>
      <x:c r="G7" s="192" t="str">
        <x:v>apartamento</x:v>
      </x:c>
      <x:c r="H7" s="192" t="n">
        <x:v>2</x:v>
      </x:c>
      <x:c r="I7" s="192" t="n">
        <x:v>2</x:v>
      </x:c>
      <x:c r="J7" s="192" t="n">
        <x:v>3</x:v>
      </x:c>
      <x:c r="K7" s="192" t="n">
        <x:v>4</x:v>
      </x:c>
      <x:c r="L7" s="192" t="n">
        <x:v>12</x:v>
      </x:c>
      <x:c r="M7" s="192" t="n">
        <x:v>4.8299999237</x:v>
      </x:c>
      <x:c r="N7" s="192" t="n">
        <x:v>380</x:v>
      </x:c>
      <x:c r="O7" s="192" t="n">
        <x:v>27</x:v>
      </x:c>
      <x:c r="P7" s="193" t="b">
        <x:v>0</x:v>
      </x:c>
      <x:c r="Q7" s="193" t="b">
        <x:v>0</x:v>
      </x:c>
      <x:c r="R7" s="193" t="b">
        <x:v>0</x:v>
      </x:c>
      <x:c r="S7" s="193" t="b">
        <x:v>1</x:v>
      </x:c>
      <x:c r="T7" s="192" t="n">
        <x:v>87</x:v>
      </x:c>
      <x:c r="U7" s="192" t="n">
        <x:v>3</x:v>
      </x:c>
      <x:c r="V7" s="200" t="n">
        <x:v>0.0333333333</x:v>
      </x:c>
      <x:c r="W7" s="203" t="n">
        <x:v>635.6667</x:v>
      </x:c>
      <x:c r="X7" s="203" t="n">
        <x:v>1968.9663898131</x:v>
      </x:c>
      <x:c r="Y7" s="203" t="n">
        <x:v>5090.5985203292</x:v>
      </x:c>
      <x:c r="Z7" s="193" t="b">
        <x:v>1</x:v>
      </x:c>
      <x:c r="AA7" s="193" t="b">
        <x:v>0</x:v>
      </x:c>
      <x:c r="AB7" s="193" t="b">
        <x:v>1</x:v>
      </x:c>
      <x:c r="AC7" s="193" t="b">
        <x:v>1</x:v>
      </x:c>
      <x:c r="AD7" s="193" t="b">
        <x:v>0</x:v>
      </x:c>
      <x:c r="AE7" s="193" t="b">
        <x:v>1</x:v>
      </x:c>
      <x:c r="AF7" s="193" t="b">
        <x:v>1</x:v>
      </x:c>
      <x:c r="AG7" s="193" t="b">
        <x:v>1</x:v>
      </x:c>
      <x:c r="AH7" s="193" t="b">
        <x:v>1</x:v>
      </x:c>
      <x:c r="AI7" s="193" t="b">
        <x:v>1</x:v>
      </x:c>
      <x:c r="AJ7" s="193" t="b">
        <x:v>1</x:v>
      </x:c>
    </x:row>
    <x:row r="8">
      <x:c r="A8" s="192" t="n">
        <x:v>1023885231203292800</x:v>
      </x:c>
      <x:c r="B8" s="192" t="str">
        <x:v>https://www.airbnb.com.br/rooms/1023885231203292759</x:v>
      </x:c>
      <x:c r="C8" s="192" t="str">
        <x:v>Flat Meia Praia - Itapema - 706</x:v>
      </x:c>
      <x:c r="D8" s="192" t="str">
        <x:v>Meia Praia</x:v>
      </x:c>
      <x:c r="E8" s="192" t="n">
        <x:v>-27.1270008087</x:v>
      </x:c>
      <x:c r="F8" s="192" t="n">
        <x:v>-48.6049995422</x:v>
      </x:c>
      <x:c r="G8" s="192" t="str">
        <x:v>apartamento</x:v>
      </x:c>
      <x:c r="H8" s="192" t="n">
        <x:v>1</x:v>
      </x:c>
      <x:c r="I8" s="192" t="n">
        <x:v>1</x:v>
      </x:c>
      <x:c r="J8" s="192" t="n">
        <x:v>1</x:v>
      </x:c>
      <x:c r="K8" s="192" t="n">
        <x:v>4</x:v>
      </x:c>
      <x:c r="L8" s="192" t="n">
        <x:v>11</x:v>
      </x:c>
      <x:c r="M8" s="192" t="n">
        <x:v>5</x:v>
      </x:c>
      <x:c r="N8" s="192" t="n">
        <x:v>200</x:v>
      </x:c>
      <x:c r="O8" s="192" t="n">
        <x:v>22</x:v>
      </x:c>
      <x:c r="P8" s="193" t="b">
        <x:v>0</x:v>
      </x:c>
      <x:c r="Q8" s="193" t="b">
        <x:v>0</x:v>
      </x:c>
      <x:c r="R8" s="193" t="b">
        <x:v>1</x:v>
      </x:c>
      <x:c r="S8" s="193" t="b">
        <x:v>1</x:v>
      </x:c>
      <x:c r="T8" s="192" t="n">
        <x:v>70</x:v>
      </x:c>
      <x:c r="U8" s="192" t="n">
        <x:v>20</x:v>
      </x:c>
      <x:c r="V8" s="200" t="n">
        <x:v>0.2222222222</x:v>
      </x:c>
      <x:c r="W8" s="203" t="n">
        <x:v>490</x:v>
      </x:c>
      <x:c r="X8" s="203" t="n">
        <x:v>10675.4544425678</x:v>
      </x:c>
      <x:c r="Y8" s="203" t="n">
        <x:v>27600.4978400556</x:v>
      </x:c>
      <x:c r="Z8" s="193" t="b">
        <x:v>1</x:v>
      </x:c>
      <x:c r="AA8" s="193" t="b">
        <x:v>1</x:v>
      </x:c>
      <x:c r="AB8" s="193" t="b">
        <x:v>1</x:v>
      </x:c>
      <x:c r="AC8" s="193" t="b">
        <x:v>1</x:v>
      </x:c>
      <x:c r="AD8" s="193" t="b">
        <x:v>0</x:v>
      </x:c>
      <x:c r="AE8" s="193" t="b">
        <x:v>1</x:v>
      </x:c>
      <x:c r="AF8" s="193" t="b">
        <x:v>0</x:v>
      </x:c>
      <x:c r="AG8" s="193" t="b">
        <x:v>1</x:v>
      </x:c>
      <x:c r="AH8" s="193" t="b">
        <x:v>1</x:v>
      </x:c>
      <x:c r="AI8" s="193" t="b">
        <x:v>1</x:v>
      </x:c>
      <x:c r="AJ8" s="193" t="b">
        <x:v>0</x:v>
      </x:c>
    </x:row>
    <x:row r="9">
      <x:c r="A9" s="192" t="n">
        <x:v>787847078680683500</x:v>
      </x:c>
      <x:c r="B9" s="192" t="str">
        <x:v>https://www.airbnb.com.br/rooms/787847078680683474</x:v>
      </x:c>
      <x:c r="C9" s="192" t="str">
        <x:v>“ Sua Casa Longe de Casa: Seu Refúgio Perfeito.</x:v>
      </x:c>
      <x:c r="D9" s="192" t="str">
        <x:v>Tabuleiro dos Oliveiras</x:v>
      </x:c>
      <x:c r="E9" s="192" t="n">
        <x:v>-27.1060009003</x:v>
      </x:c>
      <x:c r="F9" s="192" t="n">
        <x:v>-48.6160011292</x:v>
      </x:c>
      <x:c r="G9" s="192" t="str">
        <x:v>apartamento</x:v>
      </x:c>
      <x:c r="H9" s="192" t="n">
        <x:v>2</x:v>
      </x:c>
      <x:c r="I9" s="192" t="n">
        <x:v>2</x:v>
      </x:c>
      <x:c r="J9" s="192" t="n">
        <x:v>2</x:v>
      </x:c>
      <x:c r="K9" s="192" t="n">
        <x:v>6</x:v>
      </x:c>
      <x:c r="L9" s="192" t="n">
        <x:v>6</x:v>
      </x:c>
      <x:c r="M9" s="192" t="n">
        <x:v>5</x:v>
      </x:c>
      <x:c r="N9" s="192" t="n">
        <x:v>300</x:v>
      </x:c>
      <x:c r="O9" s="192" t="n">
        <x:v>26</x:v>
      </x:c>
      <x:c r="P9" s="193" t="b">
        <x:v>0</x:v>
      </x:c>
      <x:c r="Q9" s="193" t="b">
        <x:v>0</x:v>
      </x:c>
      <x:c r="R9" s="193" t="b">
        <x:v>1</x:v>
      </x:c>
      <x:c r="S9" s="193" t="b">
        <x:v>0</x:v>
      </x:c>
      <x:c r="T9" s="192" t="n">
        <x:v>52</x:v>
      </x:c>
      <x:c r="U9" s="192" t="n">
        <x:v>38</x:v>
      </x:c>
      <x:c r="V9" s="200" t="n">
        <x:v>0.4222222222</x:v>
      </x:c>
      <x:c r="W9" s="203" t="n">
        <x:v>330</x:v>
      </x:c>
      <x:c r="X9" s="203" t="n">
        <x:v>13121.8149938725</x:v>
      </x:c>
      <x:c r="Y9" s="203" t="n">
        <x:v>33925.3591820746</x:v>
      </x:c>
      <x:c r="Z9" s="193" t="b">
        <x:v>1</x:v>
      </x:c>
      <x:c r="AA9" s="193" t="b">
        <x:v>0</x:v>
      </x:c>
      <x:c r="AB9" s="193" t="b">
        <x:v>1</x:v>
      </x:c>
      <x:c r="AC9" s="193" t="b">
        <x:v>1</x:v>
      </x:c>
      <x:c r="AD9" s="193" t="b">
        <x:v>1</x:v>
      </x:c>
      <x:c r="AE9" s="193" t="b">
        <x:v>1</x:v>
      </x:c>
      <x:c r="AF9" s="193" t="b">
        <x:v>1</x:v>
      </x:c>
      <x:c r="AG9" s="193" t="b">
        <x:v>1</x:v>
      </x:c>
      <x:c r="AH9" s="193" t="b">
        <x:v>1</x:v>
      </x:c>
      <x:c r="AI9" s="193" t="b">
        <x:v>1</x:v>
      </x:c>
      <x:c r="AJ9" s="193" t="b">
        <x:v>1</x:v>
      </x:c>
    </x:row>
    <x:row r="10">
      <x:c r="A10" s="192" t="n">
        <x:v>1184152596221501400</x:v>
      </x:c>
      <x:c r="B10" s="192" t="str">
        <x:v>https://www.airbnb.com.br/rooms/1184152596221501552</x:v>
      </x:c>
      <x:c r="C10" s="192" t="str">
        <x:v>Apto Charmoso apenas 280m da Praia - MHF0601</x:v>
      </x:c>
      <x:c r="D10" s="192" t="str">
        <x:v>Centro</x:v>
      </x:c>
      <x:c r="E10" s="192" t="n">
        <x:v>-27.0936893</x:v>
      </x:c>
      <x:c r="F10" s="192" t="n">
        <x:v>-48.6131638</x:v>
      </x:c>
      <x:c r="G10" s="192" t="str">
        <x:v>apartamento</x:v>
      </x:c>
      <x:c r="H10" s="192" t="n">
        <x:v>1</x:v>
      </x:c>
      <x:c r="I10" s="192" t="n">
        <x:v>1</x:v>
      </x:c>
      <x:c r="J10" s="192" t="n">
        <x:v>2</x:v>
      </x:c>
      <x:c r="K10" s="192" t="n">
        <x:v>4</x:v>
      </x:c>
      <x:c r="L10" s="192" t="n">
        <x:v>11</x:v>
      </x:c>
      <x:c r="M10" s="192" t="n">
        <x:v>4.8200001717</x:v>
      </x:c>
      <x:c r="N10" s="192" t="n">
        <x:v>190</x:v>
      </x:c>
      <x:c r="O10" s="192" t="n">
        <x:v>0</x:v>
      </x:c>
      <x:c r="P10" s="193" t="b">
        <x:v>1</x:v>
      </x:c>
      <x:c r="Q10" s="193" t="b">
        <x:v>1</x:v>
      </x:c>
      <x:c r="R10" s="193" t="b">
        <x:v>0</x:v>
      </x:c>
      <x:c r="S10" s="193" t="b">
        <x:v>0</x:v>
      </x:c>
      <x:c r="T10" s="192" t="n">
        <x:v>74</x:v>
      </x:c>
      <x:c r="U10" s="192" t="n">
        <x:v>16</x:v>
      </x:c>
      <x:c r="V10" s="200" t="n">
        <x:v>0.1777777778</x:v>
      </x:c>
      <x:c r="W10" s="203" t="n">
        <x:v>475.75</x:v>
      </x:c>
      <x:c r="X10" s="203" t="n">
        <x:v>7662.5699640462</x:v>
      </x:c>
      <x:c r="Y10" s="203" t="n">
        <x:v>19810.9360945445</x:v>
      </x:c>
      <x:c r="Z10" s="193" t="b">
        <x:v>1</x:v>
      </x:c>
      <x:c r="AA10" s="193" t="b">
        <x:v>1</x:v>
      </x:c>
      <x:c r="AB10" s="193" t="b">
        <x:v>1</x:v>
      </x:c>
      <x:c r="AC10" s="193" t="b">
        <x:v>1</x:v>
      </x:c>
      <x:c r="AD10" s="193" t="b">
        <x:v>1</x:v>
      </x:c>
      <x:c r="AE10" s="193" t="b">
        <x:v>0</x:v>
      </x:c>
      <x:c r="AF10" s="193" t="b">
        <x:v>1</x:v>
      </x:c>
      <x:c r="AG10" s="193" t="b">
        <x:v>1</x:v>
      </x:c>
      <x:c r="AH10" s="193" t="b">
        <x:v>1</x:v>
      </x:c>
      <x:c r="AI10" s="193" t="b">
        <x:v>1</x:v>
      </x:c>
      <x:c r="AJ10" s="193" t="b">
        <x:v>0</x:v>
      </x:c>
    </x:row>
    <x:row r="11">
      <x:c r="A11" s="192" t="n">
        <x:v>24171739</x:v>
      </x:c>
      <x:c r="B11" s="192" t="str">
        <x:v>https://www.airbnb.com.br/rooms/24171739</x:v>
      </x:c>
      <x:c r="C11" s="192" t="str">
        <x:v>Pé na areia apartamento 3 quartos Meia Praia AL029</x:v>
      </x:c>
      <x:c r="D11" s="192" t="str">
        <x:v>Meia Praia</x:v>
      </x:c>
      <x:c r="E11" s="192" t="n">
        <x:v>-27.1299991608</x:v>
      </x:c>
      <x:c r="F11" s="192" t="n">
        <x:v>-48.5989990234</x:v>
      </x:c>
      <x:c r="G11" s="192" t="str">
        <x:v>apartamento</x:v>
      </x:c>
      <x:c r="H11" s="192" t="n">
        <x:v>3</x:v>
      </x:c>
      <x:c r="I11" s="192" t="n">
        <x:v>2</x:v>
      </x:c>
      <x:c r="J11" s="192" t="n">
        <x:v>3</x:v>
      </x:c>
      <x:c r="K11" s="192" t="n">
        <x:v>8</x:v>
      </x:c>
      <x:c r="L11" s="192" t="n">
        <x:v>23</x:v>
      </x:c>
      <x:c r="M11" s="192" t="n">
        <x:v>4.8299999237</x:v>
      </x:c>
      <x:c r="N11" s="192" t="n">
        <x:v>250</x:v>
      </x:c>
      <x:c r="O11" s="192" t="n">
        <x:v>30</x:v>
      </x:c>
      <x:c r="P11" s="193" t="b">
        <x:v>0</x:v>
      </x:c>
      <x:c r="Q11" s="193" t="b">
        <x:v>0</x:v>
      </x:c>
      <x:c r="R11" s="193" t="b">
        <x:v>1</x:v>
      </x:c>
      <x:c r="S11" s="193" t="b">
        <x:v>1</x:v>
      </x:c>
      <x:c r="T11" s="192" t="n">
        <x:v>25</x:v>
      </x:c>
      <x:c r="U11" s="192" t="n">
        <x:v>65</x:v>
      </x:c>
      <x:c r="V11" s="200" t="n">
        <x:v>0.7222222222</x:v>
      </x:c>
      <x:c r="W11" s="203" t="n">
        <x:v>400</x:v>
      </x:c>
      <x:c r="X11" s="203" t="n">
        <x:v>25812.3400488749</x:v>
      </x:c>
      <x:c r="Y11" s="203" t="n">
        <x:v>66735.6541680286</x:v>
      </x:c>
      <x:c r="Z11" s="193" t="b">
        <x:v>0</x:v>
      </x:c>
      <x:c r="AA11" s="193" t="b">
        <x:v>0</x:v>
      </x:c>
      <x:c r="AB11" s="193" t="b">
        <x:v>1</x:v>
      </x:c>
      <x:c r="AC11" s="193" t="b">
        <x:v>1</x:v>
      </x:c>
      <x:c r="AD11" s="193" t="b">
        <x:v>1</x:v>
      </x:c>
      <x:c r="AE11" s="193" t="b">
        <x:v>1</x:v>
      </x:c>
      <x:c r="AF11" s="193" t="b">
        <x:v>1</x:v>
      </x:c>
      <x:c r="AG11" s="193" t="b">
        <x:v>1</x:v>
      </x:c>
      <x:c r="AH11" s="193" t="b">
        <x:v>1</x:v>
      </x:c>
      <x:c r="AI11" s="193" t="b">
        <x:v>1</x:v>
      </x:c>
      <x:c r="AJ11" s="193" t="b">
        <x:v>1</x:v>
      </x:c>
    </x:row>
    <x:row r="12">
      <x:c r="A12" s="192" t="n">
        <x:v>822365439954007200</x:v>
      </x:c>
      <x:c r="B12" s="192" t="str">
        <x:v>https://www.airbnb.com.br/rooms/822365439954007216</x:v>
      </x:c>
      <x:c r="C12" s="192" t="str">
        <x:v>3 suítes próximo ao mar!</x:v>
      </x:c>
      <x:c r="D12" s="192" t="str">
        <x:v>Meia Praia</x:v>
      </x:c>
      <x:c r="E12" s="192" t="n">
        <x:v>-27.1359996796</x:v>
      </x:c>
      <x:c r="F12" s="192" t="n">
        <x:v>-48.5989990234</x:v>
      </x:c>
      <x:c r="G12" s="192" t="str">
        <x:v>apartamento</x:v>
      </x:c>
      <x:c r="H12" s="192" t="n">
        <x:v>3</x:v>
      </x:c>
      <x:c r="I12" s="192" t="n">
        <x:v>3</x:v>
      </x:c>
      <x:c r="J12" s="192" t="n">
        <x:v>3</x:v>
      </x:c>
      <x:c r="K12" s="192" t="n">
        <x:v>8</x:v>
      </x:c>
      <x:c r="L12" s="192" t="n">
        <x:v>15</x:v>
      </x:c>
      <x:c r="M12" s="192" t="n">
        <x:v>4.8699998856</x:v>
      </x:c>
      <x:c r="N12" s="192" t="n">
        <x:v>350</x:v>
      </x:c>
      <x:c r="O12" s="192" t="n">
        <x:v>20</x:v>
      </x:c>
      <x:c r="P12" s="193" t="b">
        <x:v>1</x:v>
      </x:c>
      <x:c r="Q12" s="193" t="b">
        <x:v>0</x:v>
      </x:c>
      <x:c r="R12" s="193" t="b">
        <x:v>1</x:v>
      </x:c>
      <x:c r="S12" s="193" t="b">
        <x:v>1</x:v>
      </x:c>
      <x:c r="T12" s="192" t="n">
        <x:v>57</x:v>
      </x:c>
      <x:c r="U12" s="192" t="n">
        <x:v>33</x:v>
      </x:c>
      <x:c r="V12" s="200" t="n">
        <x:v>0.3666666667</x:v>
      </x:c>
      <x:c r="W12" s="203" t="n">
        <x:v>800</x:v>
      </x:c>
      <x:c r="X12" s="203" t="n">
        <x:v>27243.4036155354</x:v>
      </x:c>
      <x:c r="Y12" s="203" t="n">
        <x:v>70435.5497643321</x:v>
      </x:c>
      <x:c r="Z12" s="193" t="b">
        <x:v>1</x:v>
      </x:c>
      <x:c r="AA12" s="193" t="b">
        <x:v>0</x:v>
      </x:c>
      <x:c r="AB12" s="193" t="b">
        <x:v>1</x:v>
      </x:c>
      <x:c r="AC12" s="193" t="b">
        <x:v>1</x:v>
      </x:c>
      <x:c r="AD12" s="193" t="b">
        <x:v>0</x:v>
      </x:c>
      <x:c r="AE12" s="193" t="b">
        <x:v>0</x:v>
      </x:c>
      <x:c r="AF12" s="193" t="b">
        <x:v>1</x:v>
      </x:c>
      <x:c r="AG12" s="193" t="b">
        <x:v>1</x:v>
      </x:c>
      <x:c r="AH12" s="193" t="b">
        <x:v>1</x:v>
      </x:c>
      <x:c r="AI12" s="193" t="b">
        <x:v>1</x:v>
      </x:c>
      <x:c r="AJ12" s="193" t="b">
        <x:v>1</x:v>
      </x:c>
    </x:row>
    <x:row r="13">
      <x:c r="A13" s="192" t="n">
        <x:v>45780750</x:v>
      </x:c>
      <x:c r="B13" s="192" t="str">
        <x:v>https://www.airbnb.com.br/rooms/45780750</x:v>
      </x:c>
      <x:c r="C13" s="192" t="str">
        <x:v>Apto 3 quartos com ar / Wifi - 2 vaga/ HOME OFFICE</x:v>
      </x:c>
      <x:c r="D13" s="192" t="str">
        <x:v>Meia Praia</x:v>
      </x:c>
      <x:c r="E13" s="192" t="n">
        <x:v>-27.12946</x:v>
      </x:c>
      <x:c r="F13" s="192" t="n">
        <x:v>-48.60173</x:v>
      </x:c>
      <x:c r="G13" s="192" t="str">
        <x:v>apartamento</x:v>
      </x:c>
      <x:c r="H13" s="192" t="n">
        <x:v>3</x:v>
      </x:c>
      <x:c r="I13" s="192" t="n">
        <x:v>2</x:v>
      </x:c>
      <x:c r="J13" s="192" t="n">
        <x:v>6</x:v>
      </x:c>
      <x:c r="K13" s="192" t="n">
        <x:v>6</x:v>
      </x:c>
      <x:c r="L13" s="192" t="n">
        <x:v>26</x:v>
      </x:c>
      <x:c r="M13" s="192" t="n">
        <x:v>4.9600000381</x:v>
      </x:c>
      <x:c r="N13" s="192" t="n">
        <x:v>0</x:v>
      </x:c>
      <x:c r="O13" s="192" t="n">
        <x:v>56</x:v>
      </x:c>
      <x:c r="P13" s="192"/>
      <x:c r="Q13" s="192"/>
      <x:c r="R13" s="193" t="b">
        <x:v>0</x:v>
      </x:c>
      <x:c r="S13" s="193" t="b">
        <x:v>0</x:v>
      </x:c>
      <x:c r="T13" s="192" t="n">
        <x:v>12</x:v>
      </x:c>
      <x:c r="U13" s="192" t="n">
        <x:v>78</x:v>
      </x:c>
      <x:c r="V13" s="200" t="n">
        <x:v>0.8666666667</x:v>
      </x:c>
      <x:c r="W13" s="203" t="n">
        <x:v>850</x:v>
      </x:c>
      <x:c r="X13" s="203" t="n">
        <x:v>66891.632739932</x:v>
      </x:c>
      <x:c r="Y13" s="203" t="n">
        <x:v>172942.7421463658</x:v>
      </x:c>
      <x:c r="Z13" s="193" t="b">
        <x:v>0</x:v>
      </x:c>
      <x:c r="AA13" s="193" t="b">
        <x:v>0</x:v>
      </x:c>
      <x:c r="AB13" s="193" t="b">
        <x:v>1</x:v>
      </x:c>
      <x:c r="AC13" s="193" t="b">
        <x:v>1</x:v>
      </x:c>
      <x:c r="AD13" s="193" t="b">
        <x:v>1</x:v>
      </x:c>
      <x:c r="AE13" s="193" t="b">
        <x:v>0</x:v>
      </x:c>
      <x:c r="AF13" s="193" t="b">
        <x:v>1</x:v>
      </x:c>
      <x:c r="AG13" s="193" t="b">
        <x:v>1</x:v>
      </x:c>
      <x:c r="AH13" s="193" t="b">
        <x:v>1</x:v>
      </x:c>
      <x:c r="AI13" s="193" t="b">
        <x:v>1</x:v>
      </x:c>
      <x:c r="AJ13" s="193" t="b">
        <x:v>1</x:v>
      </x:c>
    </x:row>
    <x:row r="14">
      <x:c r="A14" s="192" t="n">
        <x:v>21280090</x:v>
      </x:c>
      <x:c r="B14" s="192" t="str">
        <x:v>https://www.airbnb.com.br/rooms/21280090</x:v>
      </x:c>
      <x:c r="C14" s="192" t="str">
        <x:v>@aptropical completo na quadra do mar, suíte +2</x:v>
      </x:c>
      <x:c r="D14" s="192" t="str">
        <x:v>Meia Praia</x:v>
      </x:c>
      <x:c r="E14" s="192" t="n">
        <x:v>-27.13978</x:v>
      </x:c>
      <x:c r="F14" s="192" t="n">
        <x:v>-48.59218</x:v>
      </x:c>
      <x:c r="G14" s="192" t="str">
        <x:v>apartamento</x:v>
      </x:c>
      <x:c r="H14" s="192" t="n">
        <x:v>3</x:v>
      </x:c>
      <x:c r="I14" s="192" t="n">
        <x:v>2</x:v>
      </x:c>
      <x:c r="J14" s="192" t="n">
        <x:v>5</x:v>
      </x:c>
      <x:c r="K14" s="192" t="n">
        <x:v>8</x:v>
      </x:c>
      <x:c r="L14" s="192" t="n">
        <x:v>36</x:v>
      </x:c>
      <x:c r="M14" s="192" t="n">
        <x:v>5</x:v>
      </x:c>
      <x:c r="N14" s="192" t="n">
        <x:v>150</x:v>
      </x:c>
      <x:c r="O14" s="192" t="n">
        <x:v>37</x:v>
      </x:c>
      <x:c r="P14" s="193" t="b">
        <x:v>0</x:v>
      </x:c>
      <x:c r="Q14" s="193" t="b">
        <x:v>0</x:v>
      </x:c>
      <x:c r="R14" s="193" t="b">
        <x:v>1</x:v>
      </x:c>
      <x:c r="S14" s="193" t="b">
        <x:v>1</x:v>
      </x:c>
      <x:c r="T14" s="192" t="n">
        <x:v>57</x:v>
      </x:c>
      <x:c r="U14" s="192" t="n">
        <x:v>33</x:v>
      </x:c>
      <x:c r="V14" s="200" t="n">
        <x:v>0.3666666667</x:v>
      </x:c>
      <x:c r="W14" s="203" t="n">
        <x:v>850</x:v>
      </x:c>
      <x:c r="X14" s="203" t="n">
        <x:v>29418.0950111818</x:v>
      </x:c>
      <x:c r="Y14" s="203" t="n">
        <x:v>76058.033143493</x:v>
      </x:c>
      <x:c r="Z14" s="193" t="b">
        <x:v>1</x:v>
      </x:c>
      <x:c r="AA14" s="193" t="b">
        <x:v>0</x:v>
      </x:c>
      <x:c r="AB14" s="193" t="b">
        <x:v>1</x:v>
      </x:c>
      <x:c r="AC14" s="193" t="b">
        <x:v>1</x:v>
      </x:c>
      <x:c r="AD14" s="193" t="b">
        <x:v>1</x:v>
      </x:c>
      <x:c r="AE14" s="193" t="b">
        <x:v>1</x:v>
      </x:c>
      <x:c r="AF14" s="193" t="b">
        <x:v>1</x:v>
      </x:c>
      <x:c r="AG14" s="193" t="b">
        <x:v>1</x:v>
      </x:c>
      <x:c r="AH14" s="193" t="b">
        <x:v>1</x:v>
      </x:c>
      <x:c r="AI14" s="193" t="b">
        <x:v>1</x:v>
      </x:c>
      <x:c r="AJ14" s="193" t="b">
        <x:v>1</x:v>
      </x:c>
    </x:row>
    <x:row r="15">
      <x:c r="A15" s="192" t="n">
        <x:v>673825002694927200</x:v>
      </x:c>
      <x:c r="B15" s="192" t="str">
        <x:v>https://www.airbnb.com.br/rooms/673825002694927178</x:v>
      </x:c>
      <x:c r="C15" s="192" t="str">
        <x:v>Quadra mar 3 suítes temporada Meia Praia (AL138)</x:v>
      </x:c>
      <x:c r="D15" s="192" t="str">
        <x:v>Meia Praia</x:v>
      </x:c>
      <x:c r="E15" s="192" t="n">
        <x:v>-27.12955</x:v>
      </x:c>
      <x:c r="F15" s="192" t="n">
        <x:v>-48.60092</x:v>
      </x:c>
      <x:c r="G15" s="192" t="str">
        <x:v>apartamento</x:v>
      </x:c>
      <x:c r="H15" s="192" t="n">
        <x:v>3</x:v>
      </x:c>
      <x:c r="I15" s="192" t="n">
        <x:v>4</x:v>
      </x:c>
      <x:c r="J15" s="192" t="n">
        <x:v>3</x:v>
      </x:c>
      <x:c r="K15" s="192" t="n">
        <x:v>8</x:v>
      </x:c>
      <x:c r="L15" s="192" t="n">
        <x:v>9</x:v>
      </x:c>
      <x:c r="M15" s="192" t="n">
        <x:v>5</x:v>
      </x:c>
      <x:c r="N15" s="192" t="n">
        <x:v>300</x:v>
      </x:c>
      <x:c r="O15" s="192" t="n">
        <x:v>24</x:v>
      </x:c>
      <x:c r="P15" s="193" t="b">
        <x:v>0</x:v>
      </x:c>
      <x:c r="Q15" s="193" t="b">
        <x:v>0</x:v>
      </x:c>
      <x:c r="R15" s="193" t="b">
        <x:v>1</x:v>
      </x:c>
      <x:c r="S15" s="193" t="b">
        <x:v>1</x:v>
      </x:c>
      <x:c r="T15" s="192" t="n">
        <x:v>31</x:v>
      </x:c>
      <x:c r="U15" s="192" t="n">
        <x:v>59</x:v>
      </x:c>
      <x:c r="V15" s="200" t="n">
        <x:v>0.6555555556</x:v>
      </x:c>
      <x:c r="W15" s="203" t="n">
        <x:v>920</x:v>
      </x:c>
      <x:c r="X15" s="203" t="n">
        <x:v>52870.6102978854</x:v>
      </x:c>
      <x:c r="Y15" s="203" t="n">
        <x:v>136692.5570409913</x:v>
      </x:c>
      <x:c r="Z15" s="193" t="b">
        <x:v>1</x:v>
      </x:c>
      <x:c r="AA15" s="193" t="b">
        <x:v>0</x:v>
      </x:c>
      <x:c r="AB15" s="193" t="b">
        <x:v>1</x:v>
      </x:c>
      <x:c r="AC15" s="193" t="b">
        <x:v>1</x:v>
      </x:c>
      <x:c r="AD15" s="193" t="b">
        <x:v>1</x:v>
      </x:c>
      <x:c r="AE15" s="193" t="b">
        <x:v>1</x:v>
      </x:c>
      <x:c r="AF15" s="193" t="b">
        <x:v>1</x:v>
      </x:c>
      <x:c r="AG15" s="193" t="b">
        <x:v>1</x:v>
      </x:c>
      <x:c r="AH15" s="193" t="b">
        <x:v>1</x:v>
      </x:c>
      <x:c r="AI15" s="193" t="b">
        <x:v>1</x:v>
      </x:c>
      <x:c r="AJ15" s="193" t="b">
        <x:v>1</x:v>
      </x:c>
    </x:row>
    <x:row r="16">
      <x:c r="A16" s="192" t="n">
        <x:v>44890294</x:v>
      </x:c>
      <x:c r="B16" s="192" t="str">
        <x:v>https://www.airbnb.com.br/rooms/44890294</x:v>
      </x:c>
      <x:c r="C16" s="192" t="str">
        <x:v>Frente mar! Ótimo Apartamento</x:v>
      </x:c>
      <x:c r="D16" s="192" t="str">
        <x:v>Meia Praia</x:v>
      </x:c>
      <x:c r="E16" s="192" t="n">
        <x:v>-27.1294174194</x:v>
      </x:c>
      <x:c r="F16" s="192" t="n">
        <x:v>-48.5995941162</x:v>
      </x:c>
      <x:c r="G16" s="192" t="str">
        <x:v>apartamento</x:v>
      </x:c>
      <x:c r="H16" s="192" t="n">
        <x:v>3</x:v>
      </x:c>
      <x:c r="I16" s="192" t="n">
        <x:v>2</x:v>
      </x:c>
      <x:c r="J16" s="192" t="n">
        <x:v>4</x:v>
      </x:c>
      <x:c r="K16" s="192" t="n">
        <x:v>7</x:v>
      </x:c>
      <x:c r="L16" s="192" t="n">
        <x:v>80</x:v>
      </x:c>
      <x:c r="M16" s="192" t="n">
        <x:v>4.9499998093</x:v>
      </x:c>
      <x:c r="N16" s="192" t="n">
        <x:v>0</x:v>
      </x:c>
      <x:c r="O16" s="192" t="n">
        <x:v>24</x:v>
      </x:c>
      <x:c r="P16" s="192"/>
      <x:c r="Q16" s="192"/>
      <x:c r="R16" s="193" t="b">
        <x:v>1</x:v>
      </x:c>
      <x:c r="S16" s="193" t="b">
        <x:v>1</x:v>
      </x:c>
      <x:c r="T16" s="192" t="n">
        <x:v>2</x:v>
      </x:c>
      <x:c r="U16" s="192" t="n">
        <x:v>88</x:v>
      </x:c>
      <x:c r="V16" s="200" t="n">
        <x:v>0.9777777778</x:v>
      </x:c>
      <x:c r="W16" s="203" t="n">
        <x:v>1000</x:v>
      </x:c>
      <x:c r="X16" s="203" t="n">
        <x:v>88068.0421182753</x:v>
      </x:c>
      <x:c r="Y16" s="203" t="n">
        <x:v>227692.583893291</x:v>
      </x:c>
      <x:c r="Z16" s="193" t="b">
        <x:v>0</x:v>
      </x:c>
      <x:c r="AA16" s="193" t="b">
        <x:v>0</x:v>
      </x:c>
      <x:c r="AB16" s="193" t="b">
        <x:v>1</x:v>
      </x:c>
      <x:c r="AC16" s="193" t="b">
        <x:v>1</x:v>
      </x:c>
      <x:c r="AD16" s="193" t="b">
        <x:v>1</x:v>
      </x:c>
      <x:c r="AE16" s="193" t="b">
        <x:v>1</x:v>
      </x:c>
      <x:c r="AF16" s="193" t="b">
        <x:v>0</x:v>
      </x:c>
      <x:c r="AG16" s="193" t="b">
        <x:v>1</x:v>
      </x:c>
      <x:c r="AH16" s="193" t="b">
        <x:v>1</x:v>
      </x:c>
      <x:c r="AI16" s="193" t="b">
        <x:v>1</x:v>
      </x:c>
      <x:c r="AJ16" s="193" t="b">
        <x:v>0</x:v>
      </x:c>
    </x:row>
    <x:row r="17">
      <x:c r="A17" s="192" t="n">
        <x:v>15732070</x:v>
      </x:c>
      <x:c r="B17" s="192" t="str">
        <x:v>https://www.airbnb.com.br/rooms/15732070</x:v>
      </x:c>
      <x:c r="C17" s="192" t="str">
        <x:v>Apto de Luxo a 20 metros da praia.</x:v>
      </x:c>
      <x:c r="D17" s="192" t="str">
        <x:v>Meia Praia</x:v>
      </x:c>
      <x:c r="E17" s="192" t="n">
        <x:v>-27.144</x:v>
      </x:c>
      <x:c r="F17" s="192" t="n">
        <x:v>-48.587</x:v>
      </x:c>
      <x:c r="G17" s="192" t="str">
        <x:v>apartamento</x:v>
      </x:c>
      <x:c r="H17" s="192" t="n">
        <x:v>3</x:v>
      </x:c>
      <x:c r="I17" s="192" t="n">
        <x:v>3</x:v>
      </x:c>
      <x:c r="J17" s="192" t="n">
        <x:v>4</x:v>
      </x:c>
      <x:c r="K17" s="192" t="n">
        <x:v>6</x:v>
      </x:c>
      <x:c r="L17" s="192" t="n">
        <x:v>40</x:v>
      </x:c>
      <x:c r="M17" s="192" t="n">
        <x:v>4.9499998093</x:v>
      </x:c>
      <x:c r="N17" s="192" t="n">
        <x:v>240</x:v>
      </x:c>
      <x:c r="O17" s="192" t="n">
        <x:v>17</x:v>
      </x:c>
      <x:c r="P17" s="193" t="b">
        <x:v>0</x:v>
      </x:c>
      <x:c r="Q17" s="193" t="b">
        <x:v>0</x:v>
      </x:c>
      <x:c r="R17" s="193" t="b">
        <x:v>0</x:v>
      </x:c>
      <x:c r="S17" s="193" t="b">
        <x:v>1</x:v>
      </x:c>
      <x:c r="T17" s="192" t="n">
        <x:v>37</x:v>
      </x:c>
      <x:c r="U17" s="192" t="n">
        <x:v>53</x:v>
      </x:c>
      <x:c r="V17" s="200" t="n">
        <x:v>0.5888888889</x:v>
      </x:c>
      <x:c r="W17" s="203" t="n">
        <x:v>750</x:v>
      </x:c>
      <x:c r="X17" s="203" t="n">
        <x:v>40262.3163386758</x:v>
      </x:c>
      <x:c r="Y17" s="203" t="n">
        <x:v>104094.8637006181</x:v>
      </x:c>
      <x:c r="Z17" s="193" t="b">
        <x:v>1</x:v>
      </x:c>
      <x:c r="AA17" s="193" t="b">
        <x:v>0</x:v>
      </x:c>
      <x:c r="AB17" s="193" t="b">
        <x:v>1</x:v>
      </x:c>
      <x:c r="AC17" s="193" t="b">
        <x:v>1</x:v>
      </x:c>
      <x:c r="AD17" s="193" t="b">
        <x:v>0</x:v>
      </x:c>
      <x:c r="AE17" s="193" t="b">
        <x:v>1</x:v>
      </x:c>
      <x:c r="AF17" s="193" t="b">
        <x:v>1</x:v>
      </x:c>
      <x:c r="AG17" s="193" t="b">
        <x:v>1</x:v>
      </x:c>
      <x:c r="AH17" s="193" t="b">
        <x:v>1</x:v>
      </x:c>
      <x:c r="AI17" s="193" t="b">
        <x:v>1</x:v>
      </x:c>
      <x:c r="AJ17" s="193" t="b">
        <x:v>0</x:v>
      </x:c>
    </x:row>
    <x:row r="18">
      <x:c r="A18" s="192" t="n">
        <x:v>984846668146065000</x:v>
      </x:c>
      <x:c r="B18" s="192" t="str">
        <x:v>https://www.airbnb.com.br/rooms/984846668146064982</x:v>
      </x:c>
      <x:c r="C18" s="192" t="str">
        <x:v>Casa do lago perto da praia.</x:v>
      </x:c>
      <x:c r="D18" s="192" t="str">
        <x:v>Ilhota</x:v>
      </x:c>
      <x:c r="E18" s="192" t="n">
        <x:v>-27.061000824</x:v>
      </x:c>
      <x:c r="F18" s="192" t="n">
        <x:v>-48.5999984741</x:v>
      </x:c>
      <x:c r="G18" s="192" t="str">
        <x:v>casa</x:v>
      </x:c>
      <x:c r="H18" s="192" t="n">
        <x:v>4</x:v>
      </x:c>
      <x:c r="I18" s="192" t="n">
        <x:v>5</x:v>
      </x:c>
      <x:c r="J18" s="192" t="n">
        <x:v>4</x:v>
      </x:c>
      <x:c r="K18" s="192" t="n">
        <x:v>10</x:v>
      </x:c>
      <x:c r="L18" s="192" t="n">
        <x:v>4</x:v>
      </x:c>
      <x:c r="M18" s="192" t="n">
        <x:v>5</x:v>
      </x:c>
      <x:c r="N18" s="192" t="n">
        <x:v>300</x:v>
      </x:c>
      <x:c r="O18" s="192" t="n">
        <x:v>56</x:v>
      </x:c>
      <x:c r="P18" s="193" t="b">
        <x:v>0</x:v>
      </x:c>
      <x:c r="Q18" s="193" t="b">
        <x:v>0</x:v>
      </x:c>
      <x:c r="R18" s="193" t="b">
        <x:v>0</x:v>
      </x:c>
      <x:c r="S18" s="193" t="b">
        <x:v>0</x:v>
      </x:c>
      <x:c r="T18" s="192" t="n">
        <x:v>47</x:v>
      </x:c>
      <x:c r="U18" s="192" t="n">
        <x:v>43</x:v>
      </x:c>
      <x:c r="V18" s="200" t="n">
        <x:v>0.4777777778</x:v>
      </x:c>
      <x:c r="W18" s="203" t="n">
        <x:v>946</x:v>
      </x:c>
      <x:c r="X18" s="203" t="n">
        <x:v>38549.1155360582</x:v>
      </x:c>
      <x:c r="Y18" s="203" t="n">
        <x:v>99665.5257921839</x:v>
      </x:c>
      <x:c r="Z18" s="193" t="b">
        <x:v>0</x:v>
      </x:c>
      <x:c r="AA18" s="193" t="b">
        <x:v>0</x:v>
      </x:c>
      <x:c r="AB18" s="193" t="b">
        <x:v>1</x:v>
      </x:c>
      <x:c r="AC18" s="193" t="b">
        <x:v>1</x:v>
      </x:c>
      <x:c r="AD18" s="193" t="b">
        <x:v>0</x:v>
      </x:c>
      <x:c r="AE18" s="193" t="b">
        <x:v>0</x:v>
      </x:c>
      <x:c r="AF18" s="193" t="b">
        <x:v>1</x:v>
      </x:c>
      <x:c r="AG18" s="193" t="b">
        <x:v>1</x:v>
      </x:c>
      <x:c r="AH18" s="193" t="b">
        <x:v>1</x:v>
      </x:c>
      <x:c r="AI18" s="193" t="b">
        <x:v>1</x:v>
      </x:c>
      <x:c r="AJ18" s="193" t="b">
        <x:v>1</x:v>
      </x:c>
    </x:row>
    <x:row r="19">
      <x:c r="A19" s="192" t="n">
        <x:v>29114516</x:v>
      </x:c>
      <x:c r="B19" s="192" t="str">
        <x:v>https://www.airbnb.com.br/rooms/29114516</x:v>
      </x:c>
      <x:c r="C19" s="192" t="str">
        <x:v>Prédio em FRENTE AO MAR Itapema - Meia Praia</x:v>
      </x:c>
      <x:c r="D19" s="192" t="str">
        <x:v>Meia Praia</x:v>
      </x:c>
      <x:c r="E19" s="192" t="n">
        <x:v>-27.13934</x:v>
      </x:c>
      <x:c r="F19" s="192" t="n">
        <x:v>-48.59179</x:v>
      </x:c>
      <x:c r="G19" s="192" t="str">
        <x:v>apartamento</x:v>
      </x:c>
      <x:c r="H19" s="192" t="n">
        <x:v>3</x:v>
      </x:c>
      <x:c r="I19" s="192" t="n">
        <x:v>2</x:v>
      </x:c>
      <x:c r="J19" s="192" t="n">
        <x:v>4</x:v>
      </x:c>
      <x:c r="K19" s="192" t="n">
        <x:v>5</x:v>
      </x:c>
      <x:c r="L19" s="192" t="n">
        <x:v>33</x:v>
      </x:c>
      <x:c r="M19" s="192" t="n">
        <x:v>4.9099998474</x:v>
      </x:c>
      <x:c r="N19" s="192" t="n">
        <x:v>200</x:v>
      </x:c>
      <x:c r="O19" s="192" t="n">
        <x:v>21</x:v>
      </x:c>
      <x:c r="P19" s="193" t="b">
        <x:v>0</x:v>
      </x:c>
      <x:c r="Q19" s="193" t="b">
        <x:v>0</x:v>
      </x:c>
      <x:c r="R19" s="193" t="b">
        <x:v>1</x:v>
      </x:c>
      <x:c r="S19" s="193" t="b">
        <x:v>0</x:v>
      </x:c>
      <x:c r="T19" s="192" t="n">
        <x:v>36</x:v>
      </x:c>
      <x:c r="U19" s="192" t="n">
        <x:v>54</x:v>
      </x:c>
      <x:c r="V19" s="200" t="n">
        <x:v>0.6</x:v>
      </x:c>
      <x:c r="W19" s="203" t="n">
        <x:v>400</x:v>
      </x:c>
      <x:c r="X19" s="203" t="n">
        <x:v>22298.4019081023</x:v>
      </x:c>
      <x:c r="Y19" s="203" t="n">
        <x:v>57650.6599332394</x:v>
      </x:c>
      <x:c r="Z19" s="193" t="b">
        <x:v>1</x:v>
      </x:c>
      <x:c r="AA19" s="193" t="b">
        <x:v>0</x:v>
      </x:c>
      <x:c r="AB19" s="193" t="b">
        <x:v>1</x:v>
      </x:c>
      <x:c r="AC19" s="193" t="b">
        <x:v>1</x:v>
      </x:c>
      <x:c r="AD19" s="193" t="b">
        <x:v>1</x:v>
      </x:c>
      <x:c r="AE19" s="193" t="b">
        <x:v>1</x:v>
      </x:c>
      <x:c r="AF19" s="193" t="b">
        <x:v>0</x:v>
      </x:c>
      <x:c r="AG19" s="193" t="b">
        <x:v>1</x:v>
      </x:c>
      <x:c r="AH19" s="193" t="b">
        <x:v>1</x:v>
      </x:c>
      <x:c r="AI19" s="193" t="b">
        <x:v>1</x:v>
      </x:c>
      <x:c r="AJ19" s="193" t="b">
        <x:v>1</x:v>
      </x:c>
    </x:row>
    <x:row r="20">
      <x:c r="A20" s="192" t="n">
        <x:v>1111626053814730000</x:v>
      </x:c>
      <x:c r="B20" s="192" t="str">
        <x:v>https://www.airbnb.com.br/rooms/1111626053814730010</x:v>
      </x:c>
      <x:c r="C20" s="192" t="str">
        <x:v>Apto c churrasqueira, 50m da praia Itapema EPO001</x:v>
      </x:c>
      <x:c r="D20" s="192" t="str">
        <x:v>Centro</x:v>
      </x:c>
      <x:c r="E20" s="192" t="n">
        <x:v>-27.0979995728</x:v>
      </x:c>
      <x:c r="F20" s="192" t="n">
        <x:v>-48.6150016785</x:v>
      </x:c>
      <x:c r="G20" s="192" t="str">
        <x:v>apartamento</x:v>
      </x:c>
      <x:c r="H20" s="192" t="n">
        <x:v>3</x:v>
      </x:c>
      <x:c r="I20" s="192" t="n">
        <x:v>2</x:v>
      </x:c>
      <x:c r="J20" s="192" t="n">
        <x:v>4</x:v>
      </x:c>
      <x:c r="K20" s="192" t="n">
        <x:v>6</x:v>
      </x:c>
      <x:c r="L20" s="192" t="n">
        <x:v>8</x:v>
      </x:c>
      <x:c r="M20" s="192" t="n">
        <x:v>4.75</x:v>
      </x:c>
      <x:c r="N20" s="192" t="n">
        <x:v>500</x:v>
      </x:c>
      <x:c r="O20" s="192" t="n">
        <x:v>28</x:v>
      </x:c>
      <x:c r="P20" s="193" t="b">
        <x:v>1</x:v>
      </x:c>
      <x:c r="Q20" s="193" t="b">
        <x:v>1</x:v>
      </x:c>
      <x:c r="R20" s="193" t="b">
        <x:v>0</x:v>
      </x:c>
      <x:c r="S20" s="193" t="b">
        <x:v>0</x:v>
      </x:c>
      <x:c r="T20" s="192" t="n">
        <x:v>63</x:v>
      </x:c>
      <x:c r="U20" s="192" t="n">
        <x:v>27</x:v>
      </x:c>
      <x:c r="V20" s="200" t="n">
        <x:v>0.3</x:v>
      </x:c>
      <x:c r="W20" s="203" t="n">
        <x:v>629</x:v>
      </x:c>
      <x:c r="X20" s="203" t="n">
        <x:v>17083.399890101</x:v>
      </x:c>
      <x:c r="Y20" s="203" t="n">
        <x:v>44167.7067991985</x:v>
      </x:c>
      <x:c r="Z20" s="193" t="b">
        <x:v>1</x:v>
      </x:c>
      <x:c r="AA20" s="193" t="b">
        <x:v>0</x:v>
      </x:c>
      <x:c r="AB20" s="193" t="b">
        <x:v>1</x:v>
      </x:c>
      <x:c r="AC20" s="193" t="b">
        <x:v>1</x:v>
      </x:c>
      <x:c r="AD20" s="193" t="b">
        <x:v>1</x:v>
      </x:c>
      <x:c r="AE20" s="193" t="b">
        <x:v>0</x:v>
      </x:c>
      <x:c r="AF20" s="193" t="b">
        <x:v>1</x:v>
      </x:c>
      <x:c r="AG20" s="193" t="b">
        <x:v>1</x:v>
      </x:c>
      <x:c r="AH20" s="193" t="b">
        <x:v>1</x:v>
      </x:c>
      <x:c r="AI20" s="193" t="b">
        <x:v>1</x:v>
      </x:c>
      <x:c r="AJ20" s="193" t="b">
        <x:v>1</x:v>
      </x:c>
    </x:row>
    <x:row r="21">
      <x:c r="A21" s="192" t="n">
        <x:v>12067632</x:v>
      </x:c>
      <x:c r="B21" s="192" t="str">
        <x:v>https://www.airbnb.com.br/rooms/12067632</x:v>
      </x:c>
      <x:c r="C21" s="192" t="str">
        <x:v>Apto grande! 3 suites, 2vagas, até 8 pessoas</x:v>
      </x:c>
      <x:c r="D21" s="192" t="str">
        <x:v>Meia Praia</x:v>
      </x:c>
      <x:c r="E21" s="192" t="n">
        <x:v>-27.13567</x:v>
      </x:c>
      <x:c r="F21" s="192" t="n">
        <x:v>-48.60029</x:v>
      </x:c>
      <x:c r="G21" s="192" t="str">
        <x:v>apartamento</x:v>
      </x:c>
      <x:c r="H21" s="192" t="n">
        <x:v>3</x:v>
      </x:c>
      <x:c r="I21" s="192" t="n">
        <x:v>3</x:v>
      </x:c>
      <x:c r="J21" s="192" t="n">
        <x:v>3</x:v>
      </x:c>
      <x:c r="K21" s="192" t="n">
        <x:v>8</x:v>
      </x:c>
      <x:c r="L21" s="192" t="n">
        <x:v>21</x:v>
      </x:c>
      <x:c r="M21" s="192" t="n">
        <x:v>5</x:v>
      </x:c>
      <x:c r="N21" s="192" t="n">
        <x:v>350</x:v>
      </x:c>
      <x:c r="O21" s="192" t="n">
        <x:v>35</x:v>
      </x:c>
      <x:c r="P21" s="193" t="b">
        <x:v>0</x:v>
      </x:c>
      <x:c r="Q21" s="193" t="b">
        <x:v>0</x:v>
      </x:c>
      <x:c r="R21" s="193" t="b">
        <x:v>1</x:v>
      </x:c>
      <x:c r="S21" s="193" t="b">
        <x:v>0</x:v>
      </x:c>
      <x:c r="T21" s="192" t="n">
        <x:v>14</x:v>
      </x:c>
      <x:c r="U21" s="192" t="n">
        <x:v>76</x:v>
      </x:c>
      <x:c r="V21" s="200" t="n">
        <x:v>0.8444444444</x:v>
      </x:c>
      <x:c r="W21" s="203" t="n">
        <x:v>720</x:v>
      </x:c>
      <x:c r="X21" s="203" t="n">
        <x:v>54908.6315722358</x:v>
      </x:c>
      <x:c r="Y21" s="203" t="n">
        <x:v>141961.6912107181</x:v>
      </x:c>
      <x:c r="Z21" s="193" t="b">
        <x:v>0</x:v>
      </x:c>
      <x:c r="AA21" s="193" t="b">
        <x:v>0</x:v>
      </x:c>
      <x:c r="AB21" s="193" t="b">
        <x:v>1</x:v>
      </x:c>
      <x:c r="AC21" s="193" t="b">
        <x:v>1</x:v>
      </x:c>
      <x:c r="AD21" s="193" t="b">
        <x:v>1</x:v>
      </x:c>
      <x:c r="AE21" s="193" t="b">
        <x:v>0</x:v>
      </x:c>
      <x:c r="AF21" s="193" t="b">
        <x:v>1</x:v>
      </x:c>
      <x:c r="AG21" s="193" t="b">
        <x:v>1</x:v>
      </x:c>
      <x:c r="AH21" s="193" t="b">
        <x:v>1</x:v>
      </x:c>
      <x:c r="AI21" s="193" t="b">
        <x:v>1</x:v>
      </x:c>
      <x:c r="AJ21" s="193" t="b">
        <x:v>1</x:v>
      </x:c>
    </x:row>
    <x:row r="22">
      <x:c r="A22" s="192" t="n">
        <x:v>23078040</x:v>
      </x:c>
      <x:c r="B22" s="192" t="str">
        <x:v>https://www.airbnb.com.br/rooms/23078040</x:v>
      </x:c>
      <x:c r="C22" s="192" t="str">
        <x:v>APARTAMENTO PRÓXIMO AO MAR  ITAPEMA-SC</x:v>
      </x:c>
      <x:c r="D22" s="192" t="str">
        <x:v>Meia Praia</x:v>
      </x:c>
      <x:c r="E22" s="192" t="n">
        <x:v>-27.12434</x:v>
      </x:c>
      <x:c r="F22" s="192" t="n">
        <x:v>-48.60313</x:v>
      </x:c>
      <x:c r="G22" s="192" t="str">
        <x:v>apartamento</x:v>
      </x:c>
      <x:c r="H22" s="192" t="n">
        <x:v>3</x:v>
      </x:c>
      <x:c r="I22" s="192" t="n">
        <x:v>2</x:v>
      </x:c>
      <x:c r="J22" s="192" t="n">
        <x:v>3</x:v>
      </x:c>
      <x:c r="K22" s="192" t="n">
        <x:v>7</x:v>
      </x:c>
      <x:c r="L22" s="192" t="n">
        <x:v>213</x:v>
      </x:c>
      <x:c r="M22" s="192" t="n">
        <x:v>4.5900001526</x:v>
      </x:c>
      <x:c r="N22" s="192" t="n">
        <x:v>190</x:v>
      </x:c>
      <x:c r="O22" s="192" t="n">
        <x:v>23</x:v>
      </x:c>
      <x:c r="P22" s="193" t="b">
        <x:v>1</x:v>
      </x:c>
      <x:c r="Q22" s="193" t="b">
        <x:v>0</x:v>
      </x:c>
      <x:c r="R22" s="193" t="b">
        <x:v>0</x:v>
      </x:c>
      <x:c r="S22" s="193" t="b">
        <x:v>1</x:v>
      </x:c>
      <x:c r="T22" s="192" t="n">
        <x:v>54</x:v>
      </x:c>
      <x:c r="U22" s="192" t="n">
        <x:v>36</x:v>
      </x:c>
      <x:c r="V22" s="200" t="n">
        <x:v>0.4</x:v>
      </x:c>
      <x:c r="W22" s="203" t="n">
        <x:v>800</x:v>
      </x:c>
      <x:c r="X22" s="203" t="n">
        <x:v>29902.5032490828</x:v>
      </x:c>
      <x:c r="Y22" s="203" t="n">
        <x:v>77310.4302752327</x:v>
      </x:c>
      <x:c r="Z22" s="193" t="b">
        <x:v>1</x:v>
      </x:c>
      <x:c r="AA22" s="193" t="b">
        <x:v>0</x:v>
      </x:c>
      <x:c r="AB22" s="193" t="b">
        <x:v>1</x:v>
      </x:c>
      <x:c r="AC22" s="193" t="b">
        <x:v>1</x:v>
      </x:c>
      <x:c r="AD22" s="193" t="b">
        <x:v>0</x:v>
      </x:c>
      <x:c r="AE22" s="193" t="b">
        <x:v>0</x:v>
      </x:c>
      <x:c r="AF22" s="193" t="b">
        <x:v>1</x:v>
      </x:c>
      <x:c r="AG22" s="193" t="b">
        <x:v>1</x:v>
      </x:c>
      <x:c r="AH22" s="193" t="b">
        <x:v>1</x:v>
      </x:c>
      <x:c r="AI22" s="193" t="b">
        <x:v>1</x:v>
      </x:c>
      <x:c r="AJ22" s="193" t="b">
        <x:v>1</x:v>
      </x:c>
    </x:row>
    <x:row r="23">
      <x:c r="A23" s="192" t="n">
        <x:v>42735835</x:v>
      </x:c>
      <x:c r="B23" s="192" t="str">
        <x:v>https://www.airbnb.com.br/rooms/42735835</x:v>
      </x:c>
      <x:c r="C23" s="192" t="str">
        <x:v>MEIA PRAIA Centro lindo  2 Qtos  Vista p MAR</x:v>
      </x:c>
      <x:c r="D23" s="192" t="str">
        <x:v>Meia Praia</x:v>
      </x:c>
      <x:c r="E23" s="192" t="n">
        <x:v>-27.12217</x:v>
      </x:c>
      <x:c r="F23" s="192" t="n">
        <x:v>-48.60558</x:v>
      </x:c>
      <x:c r="G23" s="192" t="str">
        <x:v>apartamento</x:v>
      </x:c>
      <x:c r="H23" s="192" t="n">
        <x:v>2</x:v>
      </x:c>
      <x:c r="I23" s="192" t="n">
        <x:v>2</x:v>
      </x:c>
      <x:c r="J23" s="192" t="n">
        <x:v>7</x:v>
      </x:c>
      <x:c r="K23" s="192" t="n">
        <x:v>5</x:v>
      </x:c>
      <x:c r="L23" s="192" t="n">
        <x:v>87</x:v>
      </x:c>
      <x:c r="M23" s="192" t="n">
        <x:v>4.8499999046</x:v>
      </x:c>
      <x:c r="N23" s="192" t="n">
        <x:v>250</x:v>
      </x:c>
      <x:c r="O23" s="192" t="n">
        <x:v>40</x:v>
      </x:c>
      <x:c r="P23" s="193" t="b">
        <x:v>0</x:v>
      </x:c>
      <x:c r="Q23" s="193" t="b">
        <x:v>0</x:v>
      </x:c>
      <x:c r="R23" s="193" t="b">
        <x:v>1</x:v>
      </x:c>
      <x:c r="S23" s="193" t="b">
        <x:v>1</x:v>
      </x:c>
      <x:c r="T23" s="192" t="n">
        <x:v>11</x:v>
      </x:c>
      <x:c r="U23" s="192" t="n">
        <x:v>79</x:v>
      </x:c>
      <x:c r="V23" s="200" t="n">
        <x:v>0.8777777778</x:v>
      </x:c>
      <x:c r="W23" s="203" t="n">
        <x:v>200</x:v>
      </x:c>
      <x:c r="X23" s="203" t="n">
        <x:v>15895.5217719179</x:v>
      </x:c>
      <x:c r="Y23" s="203" t="n">
        <x:v>41096.5469144795</x:v>
      </x:c>
      <x:c r="Z23" s="193" t="b">
        <x:v>0</x:v>
      </x:c>
      <x:c r="AA23" s="193" t="b">
        <x:v>0</x:v>
      </x:c>
      <x:c r="AB23" s="193" t="b">
        <x:v>1</x:v>
      </x:c>
      <x:c r="AC23" s="193" t="b">
        <x:v>1</x:v>
      </x:c>
      <x:c r="AD23" s="193" t="b">
        <x:v>1</x:v>
      </x:c>
      <x:c r="AE23" s="193" t="b">
        <x:v>1</x:v>
      </x:c>
      <x:c r="AF23" s="193" t="b">
        <x:v>1</x:v>
      </x:c>
      <x:c r="AG23" s="193" t="b">
        <x:v>1</x:v>
      </x:c>
      <x:c r="AH23" s="193" t="b">
        <x:v>1</x:v>
      </x:c>
      <x:c r="AI23" s="193" t="b">
        <x:v>1</x:v>
      </x:c>
      <x:c r="AJ23" s="193" t="b">
        <x:v>1</x:v>
      </x:c>
    </x:row>
    <x:row r="24">
      <x:c r="A24" s="192" t="n">
        <x:v>30785010</x:v>
      </x:c>
      <x:c r="B24" s="192" t="str">
        <x:v>https://www.airbnb.com.br/rooms/30785010</x:v>
      </x:c>
      <x:c r="C24" s="192" t="str">
        <x:v>Apto 2 dormitórios completo, pé na areia. Apto 7</x:v>
      </x:c>
      <x:c r="D24" s="192" t="str">
        <x:v>Meia Praia</x:v>
      </x:c>
      <x:c r="E24" s="192" t="n">
        <x:v>-27.13524</x:v>
      </x:c>
      <x:c r="F24" s="192" t="n">
        <x:v>-48.59563</x:v>
      </x:c>
      <x:c r="G24" s="192" t="str">
        <x:v>apartamento</x:v>
      </x:c>
      <x:c r="H24" s="192" t="n">
        <x:v>2</x:v>
      </x:c>
      <x:c r="I24" s="192" t="n">
        <x:v>2</x:v>
      </x:c>
      <x:c r="J24" s="192" t="n">
        <x:v>2</x:v>
      </x:c>
      <x:c r="K24" s="192" t="n">
        <x:v>6</x:v>
      </x:c>
      <x:c r="L24" s="192" t="n">
        <x:v>46</x:v>
      </x:c>
      <x:c r="M24" s="192" t="n">
        <x:v>4.8299999237</x:v>
      </x:c>
      <x:c r="N24" s="192" t="n">
        <x:v>280</x:v>
      </x:c>
      <x:c r="O24" s="192" t="n">
        <x:v>23</x:v>
      </x:c>
      <x:c r="P24" s="193" t="b">
        <x:v>0</x:v>
      </x:c>
      <x:c r="Q24" s="193" t="b">
        <x:v>0</x:v>
      </x:c>
      <x:c r="R24" s="193" t="b">
        <x:v>0</x:v>
      </x:c>
      <x:c r="S24" s="193" t="b">
        <x:v>0</x:v>
      </x:c>
      <x:c r="T24" s="192" t="n">
        <x:v>50</x:v>
      </x:c>
      <x:c r="U24" s="192" t="n">
        <x:v>40</x:v>
      </x:c>
      <x:c r="V24" s="200" t="n">
        <x:v>0.4444444444</x:v>
      </x:c>
      <x:c r="W24" s="203" t="n">
        <x:v>430</x:v>
      </x:c>
      <x:c r="X24" s="203" t="n">
        <x:v>17257.703328752</x:v>
      </x:c>
      <x:c r="Y24" s="203" t="n">
        <x:v>44618.3538145443</x:v>
      </x:c>
      <x:c r="Z24" s="193" t="b">
        <x:v>1</x:v>
      </x:c>
      <x:c r="AA24" s="193" t="b">
        <x:v>0</x:v>
      </x:c>
      <x:c r="AB24" s="193" t="b">
        <x:v>1</x:v>
      </x:c>
      <x:c r="AC24" s="193" t="b">
        <x:v>1</x:v>
      </x:c>
      <x:c r="AD24" s="193" t="b">
        <x:v>1</x:v>
      </x:c>
      <x:c r="AE24" s="193" t="b">
        <x:v>1</x:v>
      </x:c>
      <x:c r="AF24" s="193" t="b">
        <x:v>1</x:v>
      </x:c>
      <x:c r="AG24" s="193" t="b">
        <x:v>1</x:v>
      </x:c>
      <x:c r="AH24" s="193" t="b">
        <x:v>1</x:v>
      </x:c>
      <x:c r="AI24" s="193" t="b">
        <x:v>1</x:v>
      </x:c>
      <x:c r="AJ24" s="193" t="b">
        <x:v>1</x:v>
      </x:c>
    </x:row>
    <x:row r="25">
      <x:c r="A25" s="192" t="n">
        <x:v>805726391815686100</x:v>
      </x:c>
      <x:c r="B25" s="192" t="str">
        <x:v>https://www.airbnb.com.br/rooms/805726391815686158</x:v>
      </x:c>
      <x:c r="C25" s="192" t="str">
        <x:v>Apartamento em Itapema | Vista mar e ar</x:v>
      </x:c>
      <x:c r="D25" s="192" t="str">
        <x:v>Tabuleiro dos Oliveiras</x:v>
      </x:c>
      <x:c r="E25" s="192" t="n">
        <x:v>-27.1047</x:v>
      </x:c>
      <x:c r="F25" s="192" t="n">
        <x:v>-48.61687</x:v>
      </x:c>
      <x:c r="G25" s="192" t="str">
        <x:v>apartamento</x:v>
      </x:c>
      <x:c r="H25" s="192" t="n">
        <x:v>2</x:v>
      </x:c>
      <x:c r="I25" s="192" t="n">
        <x:v>2</x:v>
      </x:c>
      <x:c r="J25" s="192" t="n">
        <x:v>5</x:v>
      </x:c>
      <x:c r="K25" s="192" t="n">
        <x:v>5</x:v>
      </x:c>
      <x:c r="L25" s="192" t="n">
        <x:v>6</x:v>
      </x:c>
      <x:c r="M25" s="192" t="n">
        <x:v>5</x:v>
      </x:c>
      <x:c r="N25" s="192" t="n">
        <x:v>200</x:v>
      </x:c>
      <x:c r="O25" s="192" t="n">
        <x:v>9</x:v>
      </x:c>
      <x:c r="P25" s="193" t="b">
        <x:v>0</x:v>
      </x:c>
      <x:c r="Q25" s="193" t="b">
        <x:v>0</x:v>
      </x:c>
      <x:c r="R25" s="193" t="b">
        <x:v>1</x:v>
      </x:c>
      <x:c r="S25" s="193" t="b">
        <x:v>0</x:v>
      </x:c>
      <x:c r="T25" s="192" t="n">
        <x:v>47</x:v>
      </x:c>
      <x:c r="U25" s="192" t="n">
        <x:v>43</x:v>
      </x:c>
      <x:c r="V25" s="200" t="n">
        <x:v>0.4777777778</x:v>
      </x:c>
      <x:c r="W25" s="203" t="n">
        <x:v>399</x:v>
      </x:c>
      <x:c r="X25" s="203" t="n">
        <x:v>17994.034985247</x:v>
      </x:c>
      <x:c r="Y25" s="203" t="n">
        <x:v>46522.0779514406</x:v>
      </x:c>
      <x:c r="Z25" s="193" t="b">
        <x:v>1</x:v>
      </x:c>
      <x:c r="AA25" s="193" t="b">
        <x:v>0</x:v>
      </x:c>
      <x:c r="AB25" s="193" t="b">
        <x:v>1</x:v>
      </x:c>
      <x:c r="AC25" s="193" t="b">
        <x:v>1</x:v>
      </x:c>
      <x:c r="AD25" s="193" t="b">
        <x:v>1</x:v>
      </x:c>
      <x:c r="AE25" s="193" t="b">
        <x:v>1</x:v>
      </x:c>
      <x:c r="AF25" s="193" t="b">
        <x:v>1</x:v>
      </x:c>
      <x:c r="AG25" s="193" t="b">
        <x:v>1</x:v>
      </x:c>
      <x:c r="AH25" s="193" t="b">
        <x:v>1</x:v>
      </x:c>
      <x:c r="AI25" s="193" t="b">
        <x:v>1</x:v>
      </x:c>
      <x:c r="AJ25" s="193" t="b">
        <x:v>1</x:v>
      </x:c>
    </x:row>
    <x:row r="26">
      <x:c r="A26" s="192" t="n">
        <x:v>1320995339425720300</x:v>
      </x:c>
      <x:c r="B26" s="192" t="str">
        <x:v>https://www.airbnb.com.br/rooms/1320995339425720277</x:v>
      </x:c>
      <x:c r="C26" s="192" t="str">
        <x:v>Apto Vista Mar c/ Churrasqueira MHF1908</x:v>
      </x:c>
      <x:c r="D26" s="192" t="str">
        <x:v>Centro</x:v>
      </x:c>
      <x:c r="E26" s="192" t="n">
        <x:v>-27.09364</x:v>
      </x:c>
      <x:c r="F26" s="192" t="n">
        <x:v>-48.6131</x:v>
      </x:c>
      <x:c r="G26" s="192" t="str">
        <x:v>apartamento</x:v>
      </x:c>
      <x:c r="H26" s="192" t="n">
        <x:v>2</x:v>
      </x:c>
      <x:c r="I26" s="192" t="n">
        <x:v>1</x:v>
      </x:c>
      <x:c r="J26" s="192" t="n">
        <x:v>3</x:v>
      </x:c>
      <x:c r="K26" s="192" t="n">
        <x:v>4</x:v>
      </x:c>
      <x:c r="L26" s="192" t="n">
        <x:v>1</x:v>
      </x:c>
      <x:c r="M26" s="192" t="n">
        <x:v>5</x:v>
      </x:c>
      <x:c r="N26" s="192" t="n">
        <x:v>200</x:v>
      </x:c>
      <x:c r="O26" s="192" t="n">
        <x:v>0</x:v>
      </x:c>
      <x:c r="P26" s="193" t="b">
        <x:v>1</x:v>
      </x:c>
      <x:c r="Q26" s="193" t="b">
        <x:v>1</x:v>
      </x:c>
      <x:c r="R26" s="193" t="b">
        <x:v>0</x:v>
      </x:c>
      <x:c r="S26" s="193" t="b">
        <x:v>0</x:v>
      </x:c>
      <x:c r="T26" s="192" t="n">
        <x:v>55</x:v>
      </x:c>
      <x:c r="U26" s="192" t="n">
        <x:v>35</x:v>
      </x:c>
      <x:c r="V26" s="200" t="n">
        <x:v>0.3888888889</x:v>
      </x:c>
      <x:c r="W26" s="203" t="n">
        <x:v>627</x:v>
      </x:c>
      <x:c r="X26" s="203" t="n">
        <x:v>22072.3921565941</x:v>
      </x:c>
      <x:c r="Y26" s="203" t="n">
        <x:v>57066.3305548611</x:v>
      </x:c>
      <x:c r="Z26" s="193" t="b">
        <x:v>1</x:v>
      </x:c>
      <x:c r="AA26" s="193" t="b">
        <x:v>1</x:v>
      </x:c>
      <x:c r="AB26" s="193" t="b">
        <x:v>1</x:v>
      </x:c>
      <x:c r="AC26" s="193" t="b">
        <x:v>1</x:v>
      </x:c>
      <x:c r="AD26" s="193" t="b">
        <x:v>1</x:v>
      </x:c>
      <x:c r="AE26" s="193" t="b">
        <x:v>1</x:v>
      </x:c>
      <x:c r="AF26" s="193" t="b">
        <x:v>1</x:v>
      </x:c>
      <x:c r="AG26" s="193" t="b">
        <x:v>1</x:v>
      </x:c>
      <x:c r="AH26" s="193" t="b">
        <x:v>1</x:v>
      </x:c>
      <x:c r="AI26" s="193" t="b">
        <x:v>1</x:v>
      </x:c>
      <x:c r="AJ26" s="193" t="b">
        <x:v>1</x:v>
      </x:c>
    </x:row>
    <x:row r="27">
      <x:c r="A27" s="192" t="n">
        <x:v>1188476386889166300</x:v>
      </x:c>
      <x:c r="B27" s="192" t="str">
        <x:v>https://www.airbnb.com.br/rooms/1188476386889166335</x:v>
      </x:c>
      <x:c r="C27" s="192" t="str">
        <x:v>Apartamento estiloso com vista mar Itapema MHF1704</x:v>
      </x:c>
      <x:c r="D27" s="192" t="str">
        <x:v>Centro</x:v>
      </x:c>
      <x:c r="E27" s="192" t="n">
        <x:v>-27.09306</x:v>
      </x:c>
      <x:c r="F27" s="192" t="n">
        <x:v>-48.61326</x:v>
      </x:c>
      <x:c r="G27" s="192" t="str">
        <x:v>apartamento</x:v>
      </x:c>
      <x:c r="H27" s="192" t="n">
        <x:v>1</x:v>
      </x:c>
      <x:c r="I27" s="192" t="n">
        <x:v>2</x:v>
      </x:c>
      <x:c r="J27" s="192" t="n">
        <x:v>2</x:v>
      </x:c>
      <x:c r="K27" s="192" t="n">
        <x:v>4</x:v>
      </x:c>
      <x:c r="L27" s="192" t="n">
        <x:v>12</x:v>
      </x:c>
      <x:c r="M27" s="192" t="n">
        <x:v>4.75</x:v>
      </x:c>
      <x:c r="N27" s="192" t="n">
        <x:v>190</x:v>
      </x:c>
      <x:c r="O27" s="192" t="n">
        <x:v>0</x:v>
      </x:c>
      <x:c r="P27" s="193" t="b">
        <x:v>1</x:v>
      </x:c>
      <x:c r="Q27" s="193" t="b">
        <x:v>1</x:v>
      </x:c>
      <x:c r="R27" s="193" t="b">
        <x:v>1</x:v>
      </x:c>
      <x:c r="S27" s="193" t="b">
        <x:v>0</x:v>
      </x:c>
      <x:c r="T27" s="192" t="n">
        <x:v>64</x:v>
      </x:c>
      <x:c r="U27" s="192" t="n">
        <x:v>26</x:v>
      </x:c>
      <x:c r="V27" s="200" t="n">
        <x:v>0.2888888889</x:v>
      </x:c>
      <x:c r="W27" s="203" t="n">
        <x:v>484</x:v>
      </x:c>
      <x:c r="X27" s="203" t="n">
        <x:v>12622.581324224</x:v>
      </x:c>
      <x:c r="Y27" s="203" t="n">
        <x:v>32634.6321320041</x:v>
      </x:c>
      <x:c r="Z27" s="193" t="b">
        <x:v>1</x:v>
      </x:c>
      <x:c r="AA27" s="193" t="b">
        <x:v>1</x:v>
      </x:c>
      <x:c r="AB27" s="193" t="b">
        <x:v>1</x:v>
      </x:c>
      <x:c r="AC27" s="193" t="b">
        <x:v>1</x:v>
      </x:c>
      <x:c r="AD27" s="193" t="b">
        <x:v>1</x:v>
      </x:c>
      <x:c r="AE27" s="193" t="b">
        <x:v>1</x:v>
      </x:c>
      <x:c r="AF27" s="193" t="b">
        <x:v>1</x:v>
      </x:c>
      <x:c r="AG27" s="193" t="b">
        <x:v>1</x:v>
      </x:c>
      <x:c r="AH27" s="193" t="b">
        <x:v>1</x:v>
      </x:c>
      <x:c r="AI27" s="193" t="b">
        <x:v>1</x:v>
      </x:c>
      <x:c r="AJ27" s="193" t="b">
        <x:v>0</x:v>
      </x:c>
    </x:row>
    <x:row r="28">
      <x:c r="A28" s="192" t="n">
        <x:v>21545686</x:v>
      </x:c>
      <x:c r="B28" s="192" t="str">
        <x:v>https://www.airbnb.com.br/rooms/21545686</x:v>
      </x:c>
      <x:c r="C28" s="192" t="str">
        <x:v>Apartamento em Itapema SC, perto do mar, wifi e tv</x:v>
      </x:c>
      <x:c r="D28" s="192" t="str">
        <x:v>Centro</x:v>
      </x:c>
      <x:c r="E28" s="192" t="n">
        <x:v>-27.09595</x:v>
      </x:c>
      <x:c r="F28" s="192" t="n">
        <x:v>-48.61447</x:v>
      </x:c>
      <x:c r="G28" s="192" t="str">
        <x:v>apartamento</x:v>
      </x:c>
      <x:c r="H28" s="192" t="n">
        <x:v>2</x:v>
      </x:c>
      <x:c r="I28" s="192" t="n">
        <x:v>1</x:v>
      </x:c>
      <x:c r="J28" s="192" t="n">
        <x:v>3</x:v>
      </x:c>
      <x:c r="K28" s="192" t="n">
        <x:v>5</x:v>
      </x:c>
      <x:c r="L28" s="192" t="n">
        <x:v>92</x:v>
      </x:c>
      <x:c r="M28" s="192" t="n">
        <x:v>4.7600002289</x:v>
      </x:c>
      <x:c r="N28" s="192" t="n">
        <x:v>120</x:v>
      </x:c>
      <x:c r="O28" s="192" t="n">
        <x:v>11</x:v>
      </x:c>
      <x:c r="P28" s="193" t="b">
        <x:v>1</x:v>
      </x:c>
      <x:c r="Q28" s="193" t="b">
        <x:v>0</x:v>
      </x:c>
      <x:c r="R28" s="193" t="b">
        <x:v>0</x:v>
      </x:c>
      <x:c r="S28" s="193" t="b">
        <x:v>1</x:v>
      </x:c>
      <x:c r="T28" s="192" t="n">
        <x:v>63</x:v>
      </x:c>
      <x:c r="U28" s="192" t="n">
        <x:v>27</x:v>
      </x:c>
      <x:c r="V28" s="200" t="n">
        <x:v>0.3</x:v>
      </x:c>
      <x:c r="W28" s="203" t="n">
        <x:v>269</x:v>
      </x:c>
      <x:c r="X28" s="203" t="n">
        <x:v>7231.4007715792</x:v>
      </x:c>
      <x:c r="Y28" s="203" t="n">
        <x:v>18696.184078187</x:v>
      </x:c>
      <x:c r="Z28" s="193" t="b">
        <x:v>1</x:v>
      </x:c>
      <x:c r="AA28" s="193" t="b">
        <x:v>0</x:v>
      </x:c>
      <x:c r="AB28" s="193" t="b">
        <x:v>1</x:v>
      </x:c>
      <x:c r="AC28" s="193" t="b">
        <x:v>1</x:v>
      </x:c>
      <x:c r="AD28" s="193" t="b">
        <x:v>0</x:v>
      </x:c>
      <x:c r="AE28" s="193" t="b">
        <x:v>1</x:v>
      </x:c>
      <x:c r="AF28" s="193" t="b">
        <x:v>1</x:v>
      </x:c>
      <x:c r="AG28" s="193" t="b">
        <x:v>0</x:v>
      </x:c>
      <x:c r="AH28" s="193" t="b">
        <x:v>1</x:v>
      </x:c>
      <x:c r="AI28" s="193" t="b">
        <x:v>1</x:v>
      </x:c>
      <x:c r="AJ28" s="193" t="b">
        <x:v>1</x:v>
      </x:c>
    </x:row>
    <x:row r="29">
      <x:c r="A29" s="192" t="n">
        <x:v>30494198</x:v>
      </x:c>
      <x:c r="B29" s="192" t="str">
        <x:v>https://www.airbnb.com.br/rooms/30494198</x:v>
      </x:c>
      <x:c r="C29" s="192" t="str">
        <x:v>3 minutos do mar, Ar nos 3 quartos, Churrasqueira</x:v>
      </x:c>
      <x:c r="D29" s="192" t="str">
        <x:v>Meia Praia</x:v>
      </x:c>
      <x:c r="E29" s="192" t="n">
        <x:v>-27.134</x:v>
      </x:c>
      <x:c r="F29" s="192" t="n">
        <x:v>-48.599</x:v>
      </x:c>
      <x:c r="G29" s="192" t="str">
        <x:v>apartamento</x:v>
      </x:c>
      <x:c r="H29" s="192" t="n">
        <x:v>3</x:v>
      </x:c>
      <x:c r="I29" s="192" t="n">
        <x:v>2</x:v>
      </x:c>
      <x:c r="J29" s="192" t="n">
        <x:v>4</x:v>
      </x:c>
      <x:c r="K29" s="192" t="n">
        <x:v>7</x:v>
      </x:c>
      <x:c r="L29" s="192" t="n">
        <x:v>29</x:v>
      </x:c>
      <x:c r="M29" s="192" t="n">
        <x:v>4.7899999619</x:v>
      </x:c>
      <x:c r="N29" s="192" t="n">
        <x:v>280</x:v>
      </x:c>
      <x:c r="O29" s="192" t="n">
        <x:v>12</x:v>
      </x:c>
      <x:c r="P29" s="193" t="b">
        <x:v>0</x:v>
      </x:c>
      <x:c r="Q29" s="193" t="b">
        <x:v>0</x:v>
      </x:c>
      <x:c r="R29" s="193" t="b">
        <x:v>0</x:v>
      </x:c>
      <x:c r="S29" s="193" t="b">
        <x:v>0</x:v>
      </x:c>
      <x:c r="T29" s="192" t="n">
        <x:v>59</x:v>
      </x:c>
      <x:c r="U29" s="192" t="n">
        <x:v>31</x:v>
      </x:c>
      <x:c r="V29" s="200" t="n">
        <x:v>0.3444444444</x:v>
      </x:c>
      <x:c r="W29" s="203" t="n">
        <x:v>376</x:v>
      </x:c>
      <x:c r="X29" s="203" t="n">
        <x:v>11559.8490072638</x:v>
      </x:c>
      <x:c r="Y29" s="203" t="n">
        <x:v>29887.0262875301</x:v>
      </x:c>
      <x:c r="Z29" s="193" t="b">
        <x:v>1</x:v>
      </x:c>
      <x:c r="AA29" s="193" t="b">
        <x:v>0</x:v>
      </x:c>
      <x:c r="AB29" s="193" t="b">
        <x:v>1</x:v>
      </x:c>
      <x:c r="AC29" s="193" t="b">
        <x:v>1</x:v>
      </x:c>
      <x:c r="AD29" s="193" t="b">
        <x:v>1</x:v>
      </x:c>
      <x:c r="AE29" s="193" t="b">
        <x:v>1</x:v>
      </x:c>
      <x:c r="AF29" s="193" t="b">
        <x:v>1</x:v>
      </x:c>
      <x:c r="AG29" s="193" t="b">
        <x:v>1</x:v>
      </x:c>
      <x:c r="AH29" s="193" t="b">
        <x:v>1</x:v>
      </x:c>
      <x:c r="AI29" s="193" t="b">
        <x:v>1</x:v>
      </x:c>
      <x:c r="AJ29" s="193" t="b">
        <x:v>1</x:v>
      </x:c>
    </x:row>
    <x:row r="30">
      <x:c r="A30" s="192" t="n">
        <x:v>999226382307972200</x:v>
      </x:c>
      <x:c r="B30" s="192" t="str">
        <x:v>https://www.airbnb.com.br/rooms/999226382307972271</x:v>
      </x:c>
      <x:c r="C30" s="192" t="str">
        <x:v>Residencial Piazza Mayor Ap 1604</x:v>
      </x:c>
      <x:c r="D30" s="192" t="str">
        <x:v>Morretes</x:v>
      </x:c>
      <x:c r="E30" s="192" t="n">
        <x:v>-27.1159992218</x:v>
      </x:c>
      <x:c r="F30" s="192" t="n">
        <x:v>-48.6119995117</x:v>
      </x:c>
      <x:c r="G30" s="192" t="str">
        <x:v>apartamento</x:v>
      </x:c>
      <x:c r="H30" s="192" t="n">
        <x:v>2</x:v>
      </x:c>
      <x:c r="I30" s="192" t="n">
        <x:v>2</x:v>
      </x:c>
      <x:c r="J30" s="192" t="n">
        <x:v>2</x:v>
      </x:c>
      <x:c r="K30" s="192" t="n">
        <x:v>5</x:v>
      </x:c>
      <x:c r="L30" s="192" t="n">
        <x:v>16</x:v>
      </x:c>
      <x:c r="M30" s="192" t="n">
        <x:v>4.8099999428</x:v>
      </x:c>
      <x:c r="N30" s="192" t="n">
        <x:v>200</x:v>
      </x:c>
      <x:c r="O30" s="192" t="n">
        <x:v>15</x:v>
      </x:c>
      <x:c r="P30" s="193" t="b">
        <x:v>0</x:v>
      </x:c>
      <x:c r="Q30" s="193" t="b">
        <x:v>0</x:v>
      </x:c>
      <x:c r="R30" s="193" t="b">
        <x:v>0</x:v>
      </x:c>
      <x:c r="S30" s="193" t="b">
        <x:v>1</x:v>
      </x:c>
      <x:c r="T30" s="192" t="n">
        <x:v>84</x:v>
      </x:c>
      <x:c r="U30" s="192" t="n">
        <x:v>6</x:v>
      </x:c>
      <x:c r="V30" s="200" t="n">
        <x:v>0.0666666667</x:v>
      </x:c>
      <x:c r="W30" s="203" t="n">
        <x:v>448.5</x:v>
      </x:c>
      <x:c r="X30" s="203" t="n">
        <x:v>2758.1797470416</x:v>
      </x:c>
      <x:c r="Y30" s="203" t="n">
        <x:v>7131.0438876637</x:v>
      </x:c>
      <x:c r="Z30" s="193" t="b">
        <x:v>1</x:v>
      </x:c>
      <x:c r="AA30" s="193" t="b">
        <x:v>0</x:v>
      </x:c>
      <x:c r="AB30" s="193" t="b">
        <x:v>1</x:v>
      </x:c>
      <x:c r="AC30" s="193" t="b">
        <x:v>1</x:v>
      </x:c>
      <x:c r="AD30" s="193" t="b">
        <x:v>0</x:v>
      </x:c>
      <x:c r="AE30" s="193" t="b">
        <x:v>0</x:v>
      </x:c>
      <x:c r="AF30" s="193" t="b">
        <x:v>1</x:v>
      </x:c>
      <x:c r="AG30" s="193" t="b">
        <x:v>1</x:v>
      </x:c>
      <x:c r="AH30" s="193" t="b">
        <x:v>1</x:v>
      </x:c>
      <x:c r="AI30" s="193" t="b">
        <x:v>1</x:v>
      </x:c>
      <x:c r="AJ30" s="193" t="b">
        <x:v>1</x:v>
      </x:c>
    </x:row>
    <x:row r="31">
      <x:c r="A31" s="192" t="n">
        <x:v>809946874989632300</x:v>
      </x:c>
      <x:c r="B31" s="192" t="str">
        <x:v>https://www.airbnb.com.br/rooms/809946874989632205</x:v>
      </x:c>
      <x:c r="C31" s="192" t="str">
        <x:v>Reserva Embauva
Cabana Águas Claras</x:v>
      </x:c>
      <x:c r="D31" s="192" t="str">
        <x:v>Sertao do Trombudo</x:v>
      </x:c>
      <x:c r="E31" s="192" t="n">
        <x:v>-27.12912</x:v>
      </x:c>
      <x:c r="F31" s="192" t="n">
        <x:v>-48.64156</x:v>
      </x:c>
      <x:c r="G31" s="192" t="str">
        <x:v>casa</x:v>
      </x:c>
      <x:c r="H31" s="192" t="n">
        <x:v>1</x:v>
      </x:c>
      <x:c r="I31" s="192" t="n">
        <x:v>1</x:v>
      </x:c>
      <x:c r="J31" s="192" t="n">
        <x:v>1</x:v>
      </x:c>
      <x:c r="K31" s="192" t="n">
        <x:v>2</x:v>
      </x:c>
      <x:c r="L31" s="192" t="n">
        <x:v>24</x:v>
      </x:c>
      <x:c r="M31" s="192" t="n">
        <x:v>5</x:v>
      </x:c>
      <x:c r="N31" s="192" t="n">
        <x:v>150</x:v>
      </x:c>
      <x:c r="O31" s="192" t="n">
        <x:v>25</x:v>
      </x:c>
      <x:c r="P31" s="193" t="b">
        <x:v>1</x:v>
      </x:c>
      <x:c r="Q31" s="193" t="b">
        <x:v>0</x:v>
      </x:c>
      <x:c r="R31" s="193" t="b">
        <x:v>1</x:v>
      </x:c>
      <x:c r="S31" s="193" t="b">
        <x:v>1</x:v>
      </x:c>
      <x:c r="T31" s="192" t="n">
        <x:v>74</x:v>
      </x:c>
      <x:c r="U31" s="192" t="n">
        <x:v>16</x:v>
      </x:c>
      <x:c r="V31" s="200" t="n">
        <x:v>0.1777777778</x:v>
      </x:c>
      <x:c r="W31" s="203" t="n">
        <x:v>370</x:v>
      </x:c>
      <x:c r="X31" s="203" t="n">
        <x:v>6269.4196088029</x:v>
      </x:c>
      <x:c r="Y31" s="203" t="n">
        <x:v>16209.0619469258</x:v>
      </x:c>
      <x:c r="Z31" s="193" t="b">
        <x:v>1</x:v>
      </x:c>
      <x:c r="AA31" s="193" t="b">
        <x:v>0</x:v>
      </x:c>
      <x:c r="AB31" s="193" t="b">
        <x:v>1</x:v>
      </x:c>
      <x:c r="AC31" s="193" t="b">
        <x:v>1</x:v>
      </x:c>
      <x:c r="AD31" s="193" t="b">
        <x:v>0</x:v>
      </x:c>
      <x:c r="AE31" s="193" t="b">
        <x:v>0</x:v>
      </x:c>
      <x:c r="AF31" s="193" t="b">
        <x:v>0</x:v>
      </x:c>
      <x:c r="AG31" s="193" t="b">
        <x:v>0</x:v>
      </x:c>
      <x:c r="AH31" s="193" t="b">
        <x:v>1</x:v>
      </x:c>
      <x:c r="AI31" s="193" t="b">
        <x:v>1</x:v>
      </x:c>
      <x:c r="AJ31" s="193" t="b">
        <x:v>1</x:v>
      </x:c>
    </x:row>
    <x:row r="32">
      <x:c r="A32" s="192" t="n">
        <x:v>1304433283397417000</x:v>
      </x:c>
      <x:c r="B32" s="192" t="str">
        <x:v>https://www.airbnb.com.br/rooms/1304433283397417052</x:v>
      </x:c>
      <x:c r="C32" s="192" t="str">
        <x:v>Apartamento Vista Mar c/ Churrasqueira DNL0602</x:v>
      </x:c>
      <x:c r="D32" s="192" t="str">
        <x:v>Morretes</x:v>
      </x:c>
      <x:c r="E32" s="192" t="n">
        <x:v>-27.113736804</x:v>
      </x:c>
      <x:c r="F32" s="192" t="n">
        <x:v>-48.6097962586</x:v>
      </x:c>
      <x:c r="G32" s="192" t="str">
        <x:v>apartamento</x:v>
      </x:c>
      <x:c r="H32" s="192" t="n">
        <x:v>2</x:v>
      </x:c>
      <x:c r="I32" s="192" t="n">
        <x:v>2</x:v>
      </x:c>
      <x:c r="J32" s="192" t="n">
        <x:v>2</x:v>
      </x:c>
      <x:c r="K32" s="192" t="n">
        <x:v>6</x:v>
      </x:c>
      <x:c r="L32" s="192" t="n">
        <x:v>2</x:v>
      </x:c>
      <x:c r="M32" s="192" t="n">
        <x:v>5</x:v>
      </x:c>
      <x:c r="N32" s="192" t="n">
        <x:v>270</x:v>
      </x:c>
      <x:c r="O32" s="192" t="n">
        <x:v>0</x:v>
      </x:c>
      <x:c r="P32" s="193" t="b">
        <x:v>1</x:v>
      </x:c>
      <x:c r="Q32" s="193" t="b">
        <x:v>1</x:v>
      </x:c>
      <x:c r="R32" s="193" t="b">
        <x:v>0</x:v>
      </x:c>
      <x:c r="S32" s="193" t="b">
        <x:v>0</x:v>
      </x:c>
      <x:c r="T32" s="192" t="n">
        <x:v>65</x:v>
      </x:c>
      <x:c r="U32" s="192" t="n">
        <x:v>25</x:v>
      </x:c>
      <x:c r="V32" s="200" t="n">
        <x:v>0.2777777778</x:v>
      </x:c>
      <x:c r="W32" s="203" t="n">
        <x:v>941</x:v>
      </x:c>
      <x:c r="X32" s="203" t="n">
        <x:v>23452.0233027223</x:v>
      </x:c>
      <x:c r="Y32" s="203" t="n">
        <x:v>60633.2519139132</x:v>
      </x:c>
      <x:c r="Z32" s="193" t="b">
        <x:v>1</x:v>
      </x:c>
      <x:c r="AA32" s="193" t="b">
        <x:v>0</x:v>
      </x:c>
      <x:c r="AB32" s="193" t="b">
        <x:v>1</x:v>
      </x:c>
      <x:c r="AC32" s="193" t="b">
        <x:v>1</x:v>
      </x:c>
      <x:c r="AD32" s="193" t="b">
        <x:v>1</x:v>
      </x:c>
      <x:c r="AE32" s="193" t="b">
        <x:v>1</x:v>
      </x:c>
      <x:c r="AF32" s="193" t="b">
        <x:v>1</x:v>
      </x:c>
      <x:c r="AG32" s="193" t="b">
        <x:v>1</x:v>
      </x:c>
      <x:c r="AH32" s="193" t="b">
        <x:v>1</x:v>
      </x:c>
      <x:c r="AI32" s="193" t="b">
        <x:v>1</x:v>
      </x:c>
      <x:c r="AJ32" s="193" t="b">
        <x:v>1</x:v>
      </x:c>
    </x:row>
    <x:row r="33">
      <x:c r="A33" s="192" t="n">
        <x:v>802047490248102000</x:v>
      </x:c>
      <x:c r="B33" s="192" t="str">
        <x:v>https://www.airbnb.com.br/rooms/802047490248101970</x:v>
      </x:c>
      <x:c r="C33" s="192" t="str">
        <x:v>Cheirinho de novo! Conforto e Limpeza garantidos.2</x:v>
      </x:c>
      <x:c r="D33" s="192" t="str">
        <x:v>Meia Praia</x:v>
      </x:c>
      <x:c r="E33" s="192" t="n">
        <x:v>-27.14005</x:v>
      </x:c>
      <x:c r="F33" s="192" t="n">
        <x:v>-48.59588</x:v>
      </x:c>
      <x:c r="G33" s="192" t="str">
        <x:v>apartamento</x:v>
      </x:c>
      <x:c r="H33" s="192" t="n">
        <x:v>2</x:v>
      </x:c>
      <x:c r="I33" s="192" t="n">
        <x:v>2</x:v>
      </x:c>
      <x:c r="J33" s="192" t="n">
        <x:v>3</x:v>
      </x:c>
      <x:c r="K33" s="192" t="n">
        <x:v>6</x:v>
      </x:c>
      <x:c r="L33" s="192" t="n">
        <x:v>22</x:v>
      </x:c>
      <x:c r="M33" s="192" t="n">
        <x:v>5</x:v>
      </x:c>
      <x:c r="N33" s="192" t="n">
        <x:v>300</x:v>
      </x:c>
      <x:c r="O33" s="192" t="n">
        <x:v>19</x:v>
      </x:c>
      <x:c r="P33" s="193" t="b">
        <x:v>0</x:v>
      </x:c>
      <x:c r="Q33" s="193" t="b">
        <x:v>0</x:v>
      </x:c>
      <x:c r="R33" s="193" t="b">
        <x:v>1</x:v>
      </x:c>
      <x:c r="S33" s="193" t="b">
        <x:v>1</x:v>
      </x:c>
      <x:c r="T33" s="192" t="n">
        <x:v>35</x:v>
      </x:c>
      <x:c r="U33" s="192" t="n">
        <x:v>55</x:v>
      </x:c>
      <x:c r="V33" s="200" t="n">
        <x:v>0.6111111111</x:v>
      </x:c>
      <x:c r="W33" s="203" t="n">
        <x:v>250</x:v>
      </x:c>
      <x:c r="X33" s="203" t="n">
        <x:v>14222.3892648241</x:v>
      </x:c>
      <x:c r="Y33" s="203" t="n">
        <x:v>36770.8022450972</x:v>
      </x:c>
      <x:c r="Z33" s="193" t="b">
        <x:v>0</x:v>
      </x:c>
      <x:c r="AA33" s="193" t="b">
        <x:v>0</x:v>
      </x:c>
      <x:c r="AB33" s="193" t="b">
        <x:v>1</x:v>
      </x:c>
      <x:c r="AC33" s="193" t="b">
        <x:v>1</x:v>
      </x:c>
      <x:c r="AD33" s="193" t="b">
        <x:v>1</x:v>
      </x:c>
      <x:c r="AE33" s="193" t="b">
        <x:v>1</x:v>
      </x:c>
      <x:c r="AF33" s="193" t="b">
        <x:v>1</x:v>
      </x:c>
      <x:c r="AG33" s="193" t="b">
        <x:v>1</x:v>
      </x:c>
      <x:c r="AH33" s="193" t="b">
        <x:v>1</x:v>
      </x:c>
      <x:c r="AI33" s="193" t="b">
        <x:v>1</x:v>
      </x:c>
      <x:c r="AJ33" s="193" t="b">
        <x:v>1</x:v>
      </x:c>
    </x:row>
    <x:row r="34">
      <x:c r="A34" s="192" t="n">
        <x:v>1242713378625026800</x:v>
      </x:c>
      <x:c r="B34" s="192" t="str">
        <x:v>https://www.airbnb.com.br/rooms/1242713378625026725</x:v>
      </x:c>
      <x:c r="C34" s="192" t="str">
        <x:v>Apto moderno a 280m da Praia em Itapema MHF0805</x:v>
      </x:c>
      <x:c r="D34" s="192" t="str">
        <x:v>Centro</x:v>
      </x:c>
      <x:c r="E34" s="192" t="n">
        <x:v>-27.09231</x:v>
      </x:c>
      <x:c r="F34" s="192" t="n">
        <x:v>-48.61455</x:v>
      </x:c>
      <x:c r="G34" s="192" t="str">
        <x:v>apartamento</x:v>
      </x:c>
      <x:c r="H34" s="192" t="n">
        <x:v>1</x:v>
      </x:c>
      <x:c r="I34" s="192" t="n">
        <x:v>1</x:v>
      </x:c>
      <x:c r="J34" s="192" t="n">
        <x:v>2</x:v>
      </x:c>
      <x:c r="K34" s="192" t="n">
        <x:v>4</x:v>
      </x:c>
      <x:c r="L34" s="192" t="n">
        <x:v>8</x:v>
      </x:c>
      <x:c r="M34" s="192" t="n">
        <x:v>4.75</x:v>
      </x:c>
      <x:c r="N34" s="192" t="n">
        <x:v>190</x:v>
      </x:c>
      <x:c r="O34" s="192" t="n">
        <x:v>0</x:v>
      </x:c>
      <x:c r="P34" s="193" t="b">
        <x:v>1</x:v>
      </x:c>
      <x:c r="Q34" s="193" t="b">
        <x:v>1</x:v>
      </x:c>
      <x:c r="R34" s="193" t="b">
        <x:v>0</x:v>
      </x:c>
      <x:c r="S34" s="193" t="b">
        <x:v>0</x:v>
      </x:c>
      <x:c r="T34" s="192" t="n">
        <x:v>69</x:v>
      </x:c>
      <x:c r="U34" s="192" t="n">
        <x:v>21</x:v>
      </x:c>
      <x:c r="V34" s="200" t="n">
        <x:v>0.2333333333</x:v>
      </x:c>
      <x:c r="W34" s="203" t="n">
        <x:v>546</x:v>
      </x:c>
      <x:c r="X34" s="203" t="n">
        <x:v>11369.6353951524</x:v>
      </x:c>
      <x:c r="Y34" s="203" t="n">
        <x:v>29395.2448445504</x:v>
      </x:c>
      <x:c r="Z34" s="193" t="b">
        <x:v>1</x:v>
      </x:c>
      <x:c r="AA34" s="193" t="b">
        <x:v>1</x:v>
      </x:c>
      <x:c r="AB34" s="193" t="b">
        <x:v>1</x:v>
      </x:c>
      <x:c r="AC34" s="193" t="b">
        <x:v>1</x:v>
      </x:c>
      <x:c r="AD34" s="193" t="b">
        <x:v>1</x:v>
      </x:c>
      <x:c r="AE34" s="193" t="b">
        <x:v>1</x:v>
      </x:c>
      <x:c r="AF34" s="193" t="b">
        <x:v>1</x:v>
      </x:c>
      <x:c r="AG34" s="193" t="b">
        <x:v>1</x:v>
      </x:c>
      <x:c r="AH34" s="193" t="b">
        <x:v>1</x:v>
      </x:c>
      <x:c r="AI34" s="193" t="b">
        <x:v>1</x:v>
      </x:c>
      <x:c r="AJ34" s="193" t="b">
        <x:v>0</x:v>
      </x:c>
    </x:row>
    <x:row r="35">
      <x:c r="A35" s="192" t="n">
        <x:v>1056827534457537500</x:v>
      </x:c>
      <x:c r="B35" s="192" t="str">
        <x:v>https://www.airbnb.com.br/rooms/1056827534457537585</x:v>
      </x:c>
      <x:c r="C35" s="192" t="str">
        <x:v>Casa para aluguel  Itapema SC.</x:v>
      </x:c>
      <x:c r="D35" s="192" t="str">
        <x:v>Morretes</x:v>
      </x:c>
      <x:c r="E35" s="192" t="n">
        <x:v>-27.125</x:v>
      </x:c>
      <x:c r="F35" s="192" t="n">
        <x:v>-48.6150016785</x:v>
      </x:c>
      <x:c r="G35" s="192" t="str">
        <x:v>casa</x:v>
      </x:c>
      <x:c r="H35" s="192" t="n">
        <x:v>2</x:v>
      </x:c>
      <x:c r="I35" s="192" t="n">
        <x:v>1</x:v>
      </x:c>
      <x:c r="J35" s="192" t="n">
        <x:v>3</x:v>
      </x:c>
      <x:c r="K35" s="192" t="n">
        <x:v>4</x:v>
      </x:c>
      <x:c r="L35" s="192" t="n">
        <x:v>17</x:v>
      </x:c>
      <x:c r="M35" s="192" t="n">
        <x:v>4.8800001144</x:v>
      </x:c>
      <x:c r="N35" s="192" t="n">
        <x:v>200</x:v>
      </x:c>
      <x:c r="O35" s="192" t="n">
        <x:v>12</x:v>
      </x:c>
      <x:c r="P35" s="193" t="b">
        <x:v>0</x:v>
      </x:c>
      <x:c r="Q35" s="193" t="b">
        <x:v>0</x:v>
      </x:c>
      <x:c r="R35" s="193" t="b">
        <x:v>1</x:v>
      </x:c>
      <x:c r="S35" s="193" t="b">
        <x:v>1</x:v>
      </x:c>
      <x:c r="T35" s="192" t="n">
        <x:v>79</x:v>
      </x:c>
      <x:c r="U35" s="192" t="n">
        <x:v>11</x:v>
      </x:c>
      <x:c r="V35" s="200" t="n">
        <x:v>0.1222222222</x:v>
      </x:c>
      <x:c r="W35" s="203" t="n">
        <x:v>299</x:v>
      </x:c>
      <x:c r="X35" s="203" t="n">
        <x:v>3365.8974737482</x:v>
      </x:c>
      <x:c r="Y35" s="203" t="n">
        <x:v>8702.2474269198</x:v>
      </x:c>
      <x:c r="Z35" s="193" t="b">
        <x:v>1</x:v>
      </x:c>
      <x:c r="AA35" s="193" t="b">
        <x:v>0</x:v>
      </x:c>
      <x:c r="AB35" s="193" t="b">
        <x:v>1</x:v>
      </x:c>
      <x:c r="AC35" s="193" t="b">
        <x:v>1</x:v>
      </x:c>
      <x:c r="AD35" s="193" t="b">
        <x:v>0</x:v>
      </x:c>
      <x:c r="AE35" s="193" t="b">
        <x:v>0</x:v>
      </x:c>
      <x:c r="AF35" s="193" t="b">
        <x:v>1</x:v>
      </x:c>
      <x:c r="AG35" s="193" t="b">
        <x:v>0</x:v>
      </x:c>
      <x:c r="AH35" s="193" t="b">
        <x:v>1</x:v>
      </x:c>
      <x:c r="AI35" s="193" t="b">
        <x:v>1</x:v>
      </x:c>
      <x:c r="AJ35" s="193" t="b">
        <x:v>1</x:v>
      </x:c>
    </x:row>
    <x:row r="36">
      <x:c r="A36" s="192" t="n">
        <x:v>23343001</x:v>
      </x:c>
      <x:c r="B36" s="192" t="str">
        <x:v>https://www.airbnb.com.br/rooms/23343001</x:v>
      </x:c>
      <x:c r="C36" s="192" t="str">
        <x:v>Apartamento MODERNO com VISTA para o MAR</x:v>
      </x:c>
      <x:c r="D36" s="192" t="str">
        <x:v>Meia Praia</x:v>
      </x:c>
      <x:c r="E36" s="192" t="n">
        <x:v>-27.12475</x:v>
      </x:c>
      <x:c r="F36" s="192" t="n">
        <x:v>-48.60604</x:v>
      </x:c>
      <x:c r="G36" s="192" t="str">
        <x:v>apartamento</x:v>
      </x:c>
      <x:c r="H36" s="192" t="n">
        <x:v>3</x:v>
      </x:c>
      <x:c r="I36" s="192" t="n">
        <x:v>3</x:v>
      </x:c>
      <x:c r="J36" s="192" t="n">
        <x:v>3</x:v>
      </x:c>
      <x:c r="K36" s="192" t="n">
        <x:v>8</x:v>
      </x:c>
      <x:c r="L36" s="192" t="n">
        <x:v>80</x:v>
      </x:c>
      <x:c r="M36" s="192" t="n">
        <x:v>4.8899998665</x:v>
      </x:c>
      <x:c r="N36" s="192" t="n">
        <x:v>250</x:v>
      </x:c>
      <x:c r="O36" s="192" t="n">
        <x:v>13</x:v>
      </x:c>
      <x:c r="P36" s="193" t="b">
        <x:v>0</x:v>
      </x:c>
      <x:c r="Q36" s="193" t="b">
        <x:v>0</x:v>
      </x:c>
      <x:c r="R36" s="193" t="b">
        <x:v>1</x:v>
      </x:c>
      <x:c r="S36" s="193" t="b">
        <x:v>0</x:v>
      </x:c>
      <x:c r="T36" s="192" t="n">
        <x:v>69</x:v>
      </x:c>
      <x:c r="U36" s="192" t="n">
        <x:v>21</x:v>
      </x:c>
      <x:c r="V36" s="200" t="n">
        <x:v>0.2333333333</x:v>
      </x:c>
      <x:c r="W36" s="203" t="n">
        <x:v>600</x:v>
      </x:c>
      <x:c r="X36" s="203" t="n">
        <x:v>11876.1271124108</x:v>
      </x:c>
      <x:c r="Y36" s="203" t="n">
        <x:v>30704.7369718789</x:v>
      </x:c>
      <x:c r="Z36" s="193" t="b">
        <x:v>1</x:v>
      </x:c>
      <x:c r="AA36" s="193" t="b">
        <x:v>0</x:v>
      </x:c>
      <x:c r="AB36" s="193" t="b">
        <x:v>1</x:v>
      </x:c>
      <x:c r="AC36" s="193" t="b">
        <x:v>1</x:v>
      </x:c>
      <x:c r="AD36" s="193" t="b">
        <x:v>1</x:v>
      </x:c>
      <x:c r="AE36" s="193" t="b">
        <x:v>1</x:v>
      </x:c>
      <x:c r="AF36" s="193" t="b">
        <x:v>1</x:v>
      </x:c>
      <x:c r="AG36" s="193" t="b">
        <x:v>1</x:v>
      </x:c>
      <x:c r="AH36" s="193" t="b">
        <x:v>1</x:v>
      </x:c>
      <x:c r="AI36" s="193" t="b">
        <x:v>1</x:v>
      </x:c>
      <x:c r="AJ36" s="193" t="b">
        <x:v>0</x:v>
      </x:c>
    </x:row>
    <x:row r="37">
      <x:c r="A37" s="192" t="n">
        <x:v>22739656</x:v>
      </x:c>
      <x:c r="B37" s="192" t="str">
        <x:v>https://www.airbnb.com.br/rooms/22739656</x:v>
      </x:c>
      <x:c r="C37" s="192" t="str">
        <x:v>Apartamento 03 dormitórios  FRENTE MAR</x:v>
      </x:c>
      <x:c r="D37" s="192" t="str">
        <x:v>Meia Praia</x:v>
      </x:c>
      <x:c r="E37" s="192" t="n">
        <x:v>-27.1299991608</x:v>
      </x:c>
      <x:c r="F37" s="192" t="n">
        <x:v>-48.5989990234</x:v>
      </x:c>
      <x:c r="G37" s="192" t="str">
        <x:v>apartamento</x:v>
      </x:c>
      <x:c r="H37" s="192" t="n">
        <x:v>3</x:v>
      </x:c>
      <x:c r="I37" s="192" t="n">
        <x:v>2</x:v>
      </x:c>
      <x:c r="J37" s="192" t="n">
        <x:v>6</x:v>
      </x:c>
      <x:c r="K37" s="192" t="n">
        <x:v>8</x:v>
      </x:c>
      <x:c r="L37" s="192" t="n">
        <x:v>41</x:v>
      </x:c>
      <x:c r="M37" s="192" t="n">
        <x:v>4.8299999237</x:v>
      </x:c>
      <x:c r="N37" s="192" t="n">
        <x:v>350</x:v>
      </x:c>
      <x:c r="O37" s="192" t="n">
        <x:v>25</x:v>
      </x:c>
      <x:c r="P37" s="193" t="b">
        <x:v>1</x:v>
      </x:c>
      <x:c r="Q37" s="193" t="b">
        <x:v>0</x:v>
      </x:c>
      <x:c r="R37" s="193" t="b">
        <x:v>1</x:v>
      </x:c>
      <x:c r="S37" s="193" t="b">
        <x:v>0</x:v>
      </x:c>
      <x:c r="T37" s="192" t="n">
        <x:v>66</x:v>
      </x:c>
      <x:c r="U37" s="192" t="n">
        <x:v>24</x:v>
      </x:c>
      <x:c r="V37" s="200" t="n">
        <x:v>0.2666666667</x:v>
      </x:c>
      <x:c r="W37" s="203" t="n">
        <x:v>1100</x:v>
      </x:c>
      <x:c r="X37" s="203" t="n">
        <x:v>28512.9985567578</x:v>
      </x:c>
      <x:c r="Y37" s="203" t="n">
        <x:v>73717.9816852842</x:v>
      </x:c>
      <x:c r="Z37" s="193" t="b">
        <x:v>1</x:v>
      </x:c>
      <x:c r="AA37" s="193" t="b">
        <x:v>0</x:v>
      </x:c>
      <x:c r="AB37" s="193" t="b">
        <x:v>1</x:v>
      </x:c>
      <x:c r="AC37" s="193" t="b">
        <x:v>1</x:v>
      </x:c>
      <x:c r="AD37" s="193" t="b">
        <x:v>1</x:v>
      </x:c>
      <x:c r="AE37" s="193" t="b">
        <x:v>1</x:v>
      </x:c>
      <x:c r="AF37" s="193" t="b">
        <x:v>1</x:v>
      </x:c>
      <x:c r="AG37" s="193" t="b">
        <x:v>1</x:v>
      </x:c>
      <x:c r="AH37" s="193" t="b">
        <x:v>1</x:v>
      </x:c>
      <x:c r="AI37" s="193" t="b">
        <x:v>1</x:v>
      </x:c>
      <x:c r="AJ37" s="193" t="b">
        <x:v>1</x:v>
      </x:c>
    </x:row>
    <x:row r="38">
      <x:c r="A38" s="192" t="n">
        <x:v>37153670</x:v>
      </x:c>
      <x:c r="B38" s="192" t="str">
        <x:v>https://www.airbnb.com.br/rooms/37153670</x:v>
      </x:c>
      <x:c r="C38" s="192" t="str">
        <x:v>Apto na Meia Praia c/ Vista do Mar - 3 quartos</x:v>
      </x:c>
      <x:c r="D38" s="192" t="str">
        <x:v>Meia Praia</x:v>
      </x:c>
      <x:c r="E38" s="192" t="n">
        <x:v>-27.122</x:v>
      </x:c>
      <x:c r="F38" s="192" t="n">
        <x:v>-48.607</x:v>
      </x:c>
      <x:c r="G38" s="192" t="str">
        <x:v>apartamento</x:v>
      </x:c>
      <x:c r="H38" s="192" t="n">
        <x:v>3</x:v>
      </x:c>
      <x:c r="I38" s="192" t="n">
        <x:v>2</x:v>
      </x:c>
      <x:c r="J38" s="192" t="n">
        <x:v>5</x:v>
      </x:c>
      <x:c r="K38" s="192" t="n">
        <x:v>8</x:v>
      </x:c>
      <x:c r="L38" s="192" t="n">
        <x:v>25</x:v>
      </x:c>
      <x:c r="M38" s="192" t="n">
        <x:v>4.9200000763</x:v>
      </x:c>
      <x:c r="N38" s="192" t="n">
        <x:v>200</x:v>
      </x:c>
      <x:c r="O38" s="192" t="n">
        <x:v>27</x:v>
      </x:c>
      <x:c r="P38" s="193" t="b">
        <x:v>0</x:v>
      </x:c>
      <x:c r="Q38" s="193" t="b">
        <x:v>0</x:v>
      </x:c>
      <x:c r="R38" s="193" t="b">
        <x:v>1</x:v>
      </x:c>
      <x:c r="S38" s="193" t="b">
        <x:v>0</x:v>
      </x:c>
      <x:c r="T38" s="192" t="n">
        <x:v>53</x:v>
      </x:c>
      <x:c r="U38" s="192" t="n">
        <x:v>37</x:v>
      </x:c>
      <x:c r="V38" s="200" t="n">
        <x:v>0.4111111111</x:v>
      </x:c>
      <x:c r="W38" s="203" t="n">
        <x:v>400</x:v>
      </x:c>
      <x:c r="X38" s="203" t="n">
        <x:v>15684.5543339455</x:v>
      </x:c>
      <x:c r="Y38" s="203" t="n">
        <x:v>40551.1081842215</x:v>
      </x:c>
      <x:c r="Z38" s="193" t="b">
        <x:v>1</x:v>
      </x:c>
      <x:c r="AA38" s="193" t="b">
        <x:v>0</x:v>
      </x:c>
      <x:c r="AB38" s="193" t="b">
        <x:v>1</x:v>
      </x:c>
      <x:c r="AC38" s="193" t="b">
        <x:v>1</x:v>
      </x:c>
      <x:c r="AD38" s="193" t="b">
        <x:v>1</x:v>
      </x:c>
      <x:c r="AE38" s="193" t="b">
        <x:v>1</x:v>
      </x:c>
      <x:c r="AF38" s="193" t="b">
        <x:v>1</x:v>
      </x:c>
      <x:c r="AG38" s="193" t="b">
        <x:v>1</x:v>
      </x:c>
      <x:c r="AH38" s="193" t="b">
        <x:v>1</x:v>
      </x:c>
      <x:c r="AI38" s="193" t="b">
        <x:v>1</x:v>
      </x:c>
      <x:c r="AJ38" s="193" t="b">
        <x:v>1</x:v>
      </x:c>
    </x:row>
    <x:row r="39">
      <x:c r="A39" s="192" t="n">
        <x:v>53280496</x:v>
      </x:c>
      <x:c r="B39" s="192" t="str">
        <x:v>https://www.airbnb.com.br/rooms/53280496</x:v>
      </x:c>
      <x:c r="C39" s="192" t="str">
        <x:v>Apto 401: vista mar e churrasqueira, 20m da praia</x:v>
      </x:c>
      <x:c r="D39" s="192" t="str">
        <x:v>Centro</x:v>
      </x:c>
      <x:c r="E39" s="192" t="n">
        <x:v>-27.0991</x:v>
      </x:c>
      <x:c r="F39" s="192" t="n">
        <x:v>-48.61369</x:v>
      </x:c>
      <x:c r="G39" s="192" t="str">
        <x:v>apartamento</x:v>
      </x:c>
      <x:c r="H39" s="192" t="n">
        <x:v>3</x:v>
      </x:c>
      <x:c r="I39" s="192" t="n">
        <x:v>2</x:v>
      </x:c>
      <x:c r="J39" s="192" t="n">
        <x:v>5</x:v>
      </x:c>
      <x:c r="K39" s="192" t="n">
        <x:v>7</x:v>
      </x:c>
      <x:c r="L39" s="192" t="n">
        <x:v>12</x:v>
      </x:c>
      <x:c r="M39" s="192" t="n">
        <x:v>5</x:v>
      </x:c>
      <x:c r="N39" s="192" t="n">
        <x:v>260</x:v>
      </x:c>
      <x:c r="O39" s="192" t="n">
        <x:v>24</x:v>
      </x:c>
      <x:c r="P39" s="193" t="b">
        <x:v>0</x:v>
      </x:c>
      <x:c r="Q39" s="193" t="b">
        <x:v>0</x:v>
      </x:c>
      <x:c r="R39" s="193" t="b">
        <x:v>1</x:v>
      </x:c>
      <x:c r="S39" s="193" t="b">
        <x:v>0</x:v>
      </x:c>
      <x:c r="T39" s="192" t="n">
        <x:v>27</x:v>
      </x:c>
      <x:c r="U39" s="192" t="n">
        <x:v>63</x:v>
      </x:c>
      <x:c r="V39" s="200" t="n">
        <x:v>0.7</x:v>
      </x:c>
      <x:c r="W39" s="203" t="n">
        <x:v>380</x:v>
      </x:c>
      <x:c r="X39" s="203" t="n">
        <x:v>24474.7713606849</x:v>
      </x:c>
      <x:c r="Y39" s="203" t="n">
        <x:v>63277.4817887708</x:v>
      </x:c>
      <x:c r="Z39" s="193" t="b">
        <x:v>0</x:v>
      </x:c>
      <x:c r="AA39" s="193" t="b">
        <x:v>0</x:v>
      </x:c>
      <x:c r="AB39" s="193" t="b">
        <x:v>1</x:v>
      </x:c>
      <x:c r="AC39" s="193" t="b">
        <x:v>1</x:v>
      </x:c>
      <x:c r="AD39" s="193" t="b">
        <x:v>1</x:v>
      </x:c>
      <x:c r="AE39" s="193" t="b">
        <x:v>1</x:v>
      </x:c>
      <x:c r="AF39" s="193" t="b">
        <x:v>1</x:v>
      </x:c>
      <x:c r="AG39" s="193" t="b">
        <x:v>1</x:v>
      </x:c>
      <x:c r="AH39" s="193" t="b">
        <x:v>1</x:v>
      </x:c>
      <x:c r="AI39" s="193" t="b">
        <x:v>1</x:v>
      </x:c>
      <x:c r="AJ39" s="193" t="b">
        <x:v>1</x:v>
      </x:c>
    </x:row>
    <x:row r="40">
      <x:c r="A40" s="192" t="n">
        <x:v>22245880</x:v>
      </x:c>
      <x:c r="B40" s="192" t="str">
        <x:v>https://www.airbnb.com.br/rooms/22245880</x:v>
      </x:c>
      <x:c r="C40" s="192" t="str">
        <x:v>Alto Padrão Vista Panorâmica Pé na areia! CA1001</x:v>
      </x:c>
      <x:c r="D40" s="192" t="str">
        <x:v>Meia Praia</x:v>
      </x:c>
      <x:c r="E40" s="192" t="n">
        <x:v>-27.14078</x:v>
      </x:c>
      <x:c r="F40" s="192" t="n">
        <x:v>-48.59027</x:v>
      </x:c>
      <x:c r="G40" s="192" t="str">
        <x:v>apartamento</x:v>
      </x:c>
      <x:c r="H40" s="192" t="n">
        <x:v>3</x:v>
      </x:c>
      <x:c r="I40" s="192" t="n">
        <x:v>3</x:v>
      </x:c>
      <x:c r="J40" s="192" t="n">
        <x:v>6</x:v>
      </x:c>
      <x:c r="K40" s="192" t="n">
        <x:v>8</x:v>
      </x:c>
      <x:c r="L40" s="192" t="n">
        <x:v>63</x:v>
      </x:c>
      <x:c r="M40" s="192" t="n">
        <x:v>4.9000000954</x:v>
      </x:c>
      <x:c r="N40" s="192" t="n">
        <x:v>250</x:v>
      </x:c>
      <x:c r="O40" s="192" t="n">
        <x:v>30</x:v>
      </x:c>
      <x:c r="P40" s="193" t="b">
        <x:v>0</x:v>
      </x:c>
      <x:c r="Q40" s="193" t="b">
        <x:v>1</x:v>
      </x:c>
      <x:c r="R40" s="193" t="b">
        <x:v>1</x:v>
      </x:c>
      <x:c r="S40" s="193" t="b">
        <x:v>0</x:v>
      </x:c>
      <x:c r="T40" s="192" t="n">
        <x:v>69</x:v>
      </x:c>
      <x:c r="U40" s="192" t="n">
        <x:v>21</x:v>
      </x:c>
      <x:c r="V40" s="200" t="n">
        <x:v>0.2333333333</x:v>
      </x:c>
      <x:c r="W40" s="203" t="n">
        <x:v>1201</x:v>
      </x:c>
      <x:c r="X40" s="203" t="n">
        <x:v>25402.4663879702</x:v>
      </x:c>
      <x:c r="Y40" s="203" t="n">
        <x:v>65675.959973898</x:v>
      </x:c>
      <x:c r="Z40" s="193" t="b">
        <x:v>1</x:v>
      </x:c>
      <x:c r="AA40" s="193" t="b">
        <x:v>0</x:v>
      </x:c>
      <x:c r="AB40" s="193" t="b">
        <x:v>1</x:v>
      </x:c>
      <x:c r="AC40" s="193" t="b">
        <x:v>1</x:v>
      </x:c>
      <x:c r="AD40" s="193" t="b">
        <x:v>1</x:v>
      </x:c>
      <x:c r="AE40" s="193" t="b">
        <x:v>1</x:v>
      </x:c>
      <x:c r="AF40" s="193" t="b">
        <x:v>1</x:v>
      </x:c>
      <x:c r="AG40" s="193" t="b">
        <x:v>1</x:v>
      </x:c>
      <x:c r="AH40" s="193" t="b">
        <x:v>1</x:v>
      </x:c>
      <x:c r="AI40" s="193" t="b">
        <x:v>1</x:v>
      </x:c>
      <x:c r="AJ40" s="193" t="b">
        <x:v>1</x:v>
      </x:c>
    </x:row>
    <x:row r="41">
      <x:c r="A41" s="192" t="n">
        <x:v>1057964852411462800</x:v>
      </x:c>
      <x:c r="B41" s="192" t="str">
        <x:v>https://www.airbnb.com.br/rooms/1057964852411462810</x:v>
      </x:c>
      <x:c r="C41" s="192" t="str">
        <x:v>Sobrado geminado temporada 2</x:v>
      </x:c>
      <x:c r="D41" s="192" t="str">
        <x:v>Morretes</x:v>
      </x:c>
      <x:c r="E41" s="192" t="n">
        <x:v>-27.125</x:v>
      </x:c>
      <x:c r="F41" s="192" t="n">
        <x:v>-48.6209983826</x:v>
      </x:c>
      <x:c r="G41" s="192" t="str">
        <x:v>casa</x:v>
      </x:c>
      <x:c r="H41" s="192" t="n">
        <x:v>2</x:v>
      </x:c>
      <x:c r="I41" s="192" t="n">
        <x:v>3</x:v>
      </x:c>
      <x:c r="J41" s="192" t="n">
        <x:v>3</x:v>
      </x:c>
      <x:c r="K41" s="192" t="n">
        <x:v>5</x:v>
      </x:c>
      <x:c r="L41" s="192" t="n">
        <x:v>13</x:v>
      </x:c>
      <x:c r="M41" s="192" t="n">
        <x:v>4.6900000572</x:v>
      </x:c>
      <x:c r="N41" s="192" t="n">
        <x:v>200</x:v>
      </x:c>
      <x:c r="O41" s="192" t="n">
        <x:v>17</x:v>
      </x:c>
      <x:c r="P41" s="193" t="b">
        <x:v>0</x:v>
      </x:c>
      <x:c r="Q41" s="193" t="b">
        <x:v>0</x:v>
      </x:c>
      <x:c r="R41" s="193" t="b">
        <x:v>0</x:v>
      </x:c>
      <x:c r="S41" s="193" t="b">
        <x:v>1</x:v>
      </x:c>
      <x:c r="T41" s="192" t="n">
        <x:v>77</x:v>
      </x:c>
      <x:c r="U41" s="192" t="n">
        <x:v>13</x:v>
      </x:c>
      <x:c r="V41" s="200" t="n">
        <x:v>0.1444444444</x:v>
      </x:c>
      <x:c r="W41" s="203" t="n">
        <x:v>250</x:v>
      </x:c>
      <x:c r="X41" s="203" t="n">
        <x:v>3278.9729500976</x:v>
      </x:c>
      <x:c r="Y41" s="203" t="n">
        <x:v>8477.5113147315</x:v>
      </x:c>
      <x:c r="Z41" s="193" t="b">
        <x:v>1</x:v>
      </x:c>
      <x:c r="AA41" s="193" t="b">
        <x:v>0</x:v>
      </x:c>
      <x:c r="AB41" s="193" t="b">
        <x:v>1</x:v>
      </x:c>
      <x:c r="AC41" s="193" t="b">
        <x:v>1</x:v>
      </x:c>
      <x:c r="AD41" s="193" t="b">
        <x:v>0</x:v>
      </x:c>
      <x:c r="AE41" s="193" t="b">
        <x:v>0</x:v>
      </x:c>
      <x:c r="AF41" s="193" t="b">
        <x:v>1</x:v>
      </x:c>
      <x:c r="AG41" s="193" t="b">
        <x:v>1</x:v>
      </x:c>
      <x:c r="AH41" s="193" t="b">
        <x:v>1</x:v>
      </x:c>
      <x:c r="AI41" s="193" t="b">
        <x:v>1</x:v>
      </x:c>
      <x:c r="AJ41" s="193" t="b">
        <x:v>0</x:v>
      </x:c>
    </x:row>
    <x:row r="42">
      <x:c r="A42" s="192" t="n">
        <x:v>39109062</x:v>
      </x:c>
      <x:c r="B42" s="192" t="str">
        <x:v>https://www.airbnb.com.br/rooms/39109062</x:v>
      </x:c>
      <x:c r="C42" s="192" t="str">
        <x:v>Lindo Apto,  4 Suítes, 3 Vagas, 40m praia</x:v>
      </x:c>
      <x:c r="D42" s="192" t="str">
        <x:v>Meia Praia</x:v>
      </x:c>
      <x:c r="E42" s="192" t="n">
        <x:v>-27.13907</x:v>
      </x:c>
      <x:c r="F42" s="192" t="n">
        <x:v>-48.59437</x:v>
      </x:c>
      <x:c r="G42" s="192" t="str">
        <x:v>apartamento</x:v>
      </x:c>
      <x:c r="H42" s="192" t="n">
        <x:v>4</x:v>
      </x:c>
      <x:c r="I42" s="192" t="n">
        <x:v>4</x:v>
      </x:c>
      <x:c r="J42" s="192" t="n">
        <x:v>4</x:v>
      </x:c>
      <x:c r="K42" s="192" t="n">
        <x:v>12</x:v>
      </x:c>
      <x:c r="L42" s="192" t="n">
        <x:v>12</x:v>
      </x:c>
      <x:c r="M42" s="192" t="n">
        <x:v>4.9200000763</x:v>
      </x:c>
      <x:c r="N42" s="192" t="n">
        <x:v>450</x:v>
      </x:c>
      <x:c r="O42" s="192" t="n">
        <x:v>43</x:v>
      </x:c>
      <x:c r="P42" s="193" t="b">
        <x:v>0</x:v>
      </x:c>
      <x:c r="Q42" s="193" t="b">
        <x:v>0</x:v>
      </x:c>
      <x:c r="R42" s="193" t="b">
        <x:v>0</x:v>
      </x:c>
      <x:c r="S42" s="193" t="b">
        <x:v>0</x:v>
      </x:c>
      <x:c r="T42" s="192" t="n">
        <x:v>74</x:v>
      </x:c>
      <x:c r="U42" s="192" t="n">
        <x:v>16</x:v>
      </x:c>
      <x:c r="V42" s="200" t="n">
        <x:v>0.1777777778</x:v>
      </x:c>
      <x:c r="W42" s="203" t="n">
        <x:v>1400</x:v>
      </x:c>
      <x:c r="X42" s="203" t="n">
        <x:v>24464.5456141369</x:v>
      </x:c>
      <x:c r="Y42" s="203" t="n">
        <x:v>63251.0439732164</x:v>
      </x:c>
      <x:c r="Z42" s="193" t="b">
        <x:v>1</x:v>
      </x:c>
      <x:c r="AA42" s="193" t="b">
        <x:v>0</x:v>
      </x:c>
      <x:c r="AB42" s="193" t="b">
        <x:v>1</x:v>
      </x:c>
      <x:c r="AC42" s="193" t="b">
        <x:v>1</x:v>
      </x:c>
      <x:c r="AD42" s="193" t="b">
        <x:v>1</x:v>
      </x:c>
      <x:c r="AE42" s="193" t="b">
        <x:v>0</x:v>
      </x:c>
      <x:c r="AF42" s="193" t="b">
        <x:v>0</x:v>
      </x:c>
      <x:c r="AG42" s="193" t="b">
        <x:v>1</x:v>
      </x:c>
      <x:c r="AH42" s="193" t="b">
        <x:v>1</x:v>
      </x:c>
      <x:c r="AI42" s="193" t="b">
        <x:v>1</x:v>
      </x:c>
      <x:c r="AJ42" s="193" t="b">
        <x:v>1</x:v>
      </x:c>
    </x:row>
    <x:row r="43">
      <x:c r="A43" s="192" t="n">
        <x:v>27704027</x:v>
      </x:c>
      <x:c r="B43" s="192" t="str">
        <x:v>https://www.airbnb.com.br/rooms/27704027</x:v>
      </x:c>
      <x:c r="C43" s="192" t="str">
        <x:v>Aluguel Apto Itapema 80 metros do mar!</x:v>
      </x:c>
      <x:c r="D43" s="192" t="str">
        <x:v>Centro</x:v>
      </x:c>
      <x:c r="E43" s="192" t="n">
        <x:v>-27.09789</x:v>
      </x:c>
      <x:c r="F43" s="192" t="n">
        <x:v>-48.616</x:v>
      </x:c>
      <x:c r="G43" s="192" t="str">
        <x:v>apartamento</x:v>
      </x:c>
      <x:c r="H43" s="192" t="n">
        <x:v>3</x:v>
      </x:c>
      <x:c r="I43" s="192" t="n">
        <x:v>3</x:v>
      </x:c>
      <x:c r="J43" s="192" t="n">
        <x:v>8</x:v>
      </x:c>
      <x:c r="K43" s="192" t="n">
        <x:v>14</x:v>
      </x:c>
      <x:c r="L43" s="192" t="n">
        <x:v>24</x:v>
      </x:c>
      <x:c r="M43" s="192" t="n">
        <x:v>4.9600000381</x:v>
      </x:c>
      <x:c r="N43" s="192" t="n">
        <x:v>400</x:v>
      </x:c>
      <x:c r="O43" s="192" t="n">
        <x:v>47</x:v>
      </x:c>
      <x:c r="P43" s="193" t="b">
        <x:v>0</x:v>
      </x:c>
      <x:c r="Q43" s="193" t="b">
        <x:v>0</x:v>
      </x:c>
      <x:c r="R43" s="193" t="b">
        <x:v>0</x:v>
      </x:c>
      <x:c r="S43" s="193" t="b">
        <x:v>0</x:v>
      </x:c>
      <x:c r="T43" s="192" t="n">
        <x:v>79</x:v>
      </x:c>
      <x:c r="U43" s="192" t="n">
        <x:v>11</x:v>
      </x:c>
      <x:c r="V43" s="200" t="n">
        <x:v>0.1222222222</x:v>
      </x:c>
      <x:c r="W43" s="203" t="n">
        <x:v>700</x:v>
      </x:c>
      <x:c r="X43" s="203" t="n">
        <x:v>8822.9344599695</x:v>
      </x:c>
      <x:c r="Y43" s="203" t="n">
        <x:v>22810.9618017127</x:v>
      </x:c>
      <x:c r="Z43" s="193" t="b">
        <x:v>1</x:v>
      </x:c>
      <x:c r="AA43" s="193" t="b">
        <x:v>0</x:v>
      </x:c>
      <x:c r="AB43" s="193" t="b">
        <x:v>1</x:v>
      </x:c>
      <x:c r="AC43" s="193" t="b">
        <x:v>1</x:v>
      </x:c>
      <x:c r="AD43" s="193" t="b">
        <x:v>0</x:v>
      </x:c>
      <x:c r="AE43" s="193" t="b">
        <x:v>1</x:v>
      </x:c>
      <x:c r="AF43" s="193" t="b">
        <x:v>0</x:v>
      </x:c>
      <x:c r="AG43" s="193" t="b">
        <x:v>1</x:v>
      </x:c>
      <x:c r="AH43" s="193" t="b">
        <x:v>1</x:v>
      </x:c>
      <x:c r="AI43" s="193" t="b">
        <x:v>1</x:v>
      </x:c>
      <x:c r="AJ43" s="193" t="b">
        <x:v>1</x:v>
      </x:c>
    </x:row>
    <x:row r="44">
      <x:c r="A44" s="192" t="n">
        <x:v>673826204715344800</x:v>
      </x:c>
      <x:c r="B44" s="192" t="str">
        <x:v>https://www.airbnb.com.br/rooms/673826204715344716</x:v>
      </x:c>
      <x:c r="C44" s="192" t="str">
        <x:v>Lindo 3 suítes quadra mar temporada Meia Praia!137</x:v>
      </x:c>
      <x:c r="D44" s="192" t="str">
        <x:v>Meia Praia</x:v>
      </x:c>
      <x:c r="E44" s="192" t="n">
        <x:v>-27.13078</x:v>
      </x:c>
      <x:c r="F44" s="192" t="n">
        <x:v>-48.59923</x:v>
      </x:c>
      <x:c r="G44" s="192" t="str">
        <x:v>apartamento</x:v>
      </x:c>
      <x:c r="H44" s="192" t="n">
        <x:v>3</x:v>
      </x:c>
      <x:c r="I44" s="192" t="n">
        <x:v>4</x:v>
      </x:c>
      <x:c r="J44" s="192" t="n">
        <x:v>3</x:v>
      </x:c>
      <x:c r="K44" s="192" t="n">
        <x:v>8</x:v>
      </x:c>
      <x:c r="L44" s="192" t="n">
        <x:v>7</x:v>
      </x:c>
      <x:c r="M44" s="192" t="n">
        <x:v>5</x:v>
      </x:c>
      <x:c r="N44" s="192" t="n">
        <x:v>300</x:v>
      </x:c>
      <x:c r="O44" s="192" t="n">
        <x:v>20</x:v>
      </x:c>
      <x:c r="P44" s="193" t="b">
        <x:v>0</x:v>
      </x:c>
      <x:c r="Q44" s="193" t="b">
        <x:v>0</x:v>
      </x:c>
      <x:c r="R44" s="193" t="b">
        <x:v>0</x:v>
      </x:c>
      <x:c r="S44" s="193" t="b">
        <x:v>1</x:v>
      </x:c>
      <x:c r="T44" s="192" t="n">
        <x:v>25</x:v>
      </x:c>
      <x:c r="U44" s="192" t="n">
        <x:v>65</x:v>
      </x:c>
      <x:c r="V44" s="200" t="n">
        <x:v>0.7222222222</x:v>
      </x:c>
      <x:c r="W44" s="203" t="n">
        <x:v>1058</x:v>
      </x:c>
      <x:c r="X44" s="203" t="n">
        <x:v>68842.131573866</x:v>
      </x:c>
      <x:c r="Y44" s="203" t="n">
        <x:v>177985.5943399328</x:v>
      </x:c>
      <x:c r="Z44" s="193" t="b">
        <x:v>1</x:v>
      </x:c>
      <x:c r="AA44" s="193" t="b">
        <x:v>0</x:v>
      </x:c>
      <x:c r="AB44" s="193" t="b">
        <x:v>1</x:v>
      </x:c>
      <x:c r="AC44" s="193" t="b">
        <x:v>1</x:v>
      </x:c>
      <x:c r="AD44" s="193" t="b">
        <x:v>1</x:v>
      </x:c>
      <x:c r="AE44" s="193" t="b">
        <x:v>1</x:v>
      </x:c>
      <x:c r="AF44" s="193" t="b">
        <x:v>1</x:v>
      </x:c>
      <x:c r="AG44" s="193" t="b">
        <x:v>1</x:v>
      </x:c>
      <x:c r="AH44" s="193" t="b">
        <x:v>1</x:v>
      </x:c>
      <x:c r="AI44" s="193" t="b">
        <x:v>1</x:v>
      </x:c>
      <x:c r="AJ44" s="193" t="b">
        <x:v>1</x:v>
      </x:c>
    </x:row>
    <x:row r="45">
      <x:c r="A45" s="192" t="n">
        <x:v>1192836728602105900</x:v>
      </x:c>
      <x:c r="B45" s="192" t="str">
        <x:v>https://www.airbnb.com.br/rooms/1192836728602105901</x:v>
      </x:c>
      <x:c r="C45" s="192" t="str">
        <x:v>Apto moderno a 280m da Praia em Itapema MHF1601</x:v>
      </x:c>
      <x:c r="D45" s="192" t="str">
        <x:v>Centro</x:v>
      </x:c>
      <x:c r="E45" s="192" t="n">
        <x:v>-27.09231</x:v>
      </x:c>
      <x:c r="F45" s="192" t="n">
        <x:v>-48.61455</x:v>
      </x:c>
      <x:c r="G45" s="192" t="str">
        <x:v>apartamento</x:v>
      </x:c>
      <x:c r="H45" s="192" t="n">
        <x:v>1</x:v>
      </x:c>
      <x:c r="I45" s="192" t="n">
        <x:v>1</x:v>
      </x:c>
      <x:c r="J45" s="192" t="n">
        <x:v>2</x:v>
      </x:c>
      <x:c r="K45" s="192" t="n">
        <x:v>4</x:v>
      </x:c>
      <x:c r="L45" s="192" t="n">
        <x:v>22</x:v>
      </x:c>
      <x:c r="M45" s="192" t="n">
        <x:v>4.9499998093</x:v>
      </x:c>
      <x:c r="N45" s="192" t="n">
        <x:v>190</x:v>
      </x:c>
      <x:c r="O45" s="192" t="n">
        <x:v>0</x:v>
      </x:c>
      <x:c r="P45" s="193" t="b">
        <x:v>1</x:v>
      </x:c>
      <x:c r="Q45" s="193" t="b">
        <x:v>1</x:v>
      </x:c>
      <x:c r="R45" s="193" t="b">
        <x:v>1</x:v>
      </x:c>
      <x:c r="S45" s="193" t="b">
        <x:v>0</x:v>
      </x:c>
      <x:c r="T45" s="192" t="n">
        <x:v>74</x:v>
      </x:c>
      <x:c r="U45" s="192" t="n">
        <x:v>16</x:v>
      </x:c>
      <x:c r="V45" s="200" t="n">
        <x:v>0.1777777778</x:v>
      </x:c>
      <x:c r="W45" s="203" t="n">
        <x:v>487.75</x:v>
      </x:c>
      <x:c r="X45" s="203" t="n">
        <x:v>7755.4193905031</x:v>
      </x:c>
      <x:c r="Y45" s="203" t="n">
        <x:v>20050.9905491966</x:v>
      </x:c>
      <x:c r="Z45" s="193" t="b">
        <x:v>1</x:v>
      </x:c>
      <x:c r="AA45" s="193" t="b">
        <x:v>1</x:v>
      </x:c>
      <x:c r="AB45" s="193" t="b">
        <x:v>1</x:v>
      </x:c>
      <x:c r="AC45" s="193" t="b">
        <x:v>0</x:v>
      </x:c>
      <x:c r="AD45" s="193" t="b">
        <x:v>1</x:v>
      </x:c>
      <x:c r="AE45" s="193" t="b">
        <x:v>0</x:v>
      </x:c>
      <x:c r="AF45" s="193" t="b">
        <x:v>1</x:v>
      </x:c>
      <x:c r="AG45" s="193" t="b">
        <x:v>1</x:v>
      </x:c>
      <x:c r="AH45" s="193" t="b">
        <x:v>1</x:v>
      </x:c>
      <x:c r="AI45" s="193" t="b">
        <x:v>1</x:v>
      </x:c>
      <x:c r="AJ45" s="193" t="b">
        <x:v>0</x:v>
      </x:c>
    </x:row>
    <x:row r="46">
      <x:c r="A46" s="192" t="n">
        <x:v>35912580</x:v>
      </x:c>
      <x:c r="B46" s="192" t="str">
        <x:v>https://www.airbnb.com.br/rooms/35912580</x:v>
      </x:c>
      <x:c r="C46" s="192" t="str">
        <x:v>Apartamento em
Meia Praia/ Itapema.</x:v>
      </x:c>
      <x:c r="D46" s="192" t="str">
        <x:v>Meia Praia</x:v>
      </x:c>
      <x:c r="E46" s="192" t="n">
        <x:v>-27.1269</x:v>
      </x:c>
      <x:c r="F46" s="192" t="n">
        <x:v>-48.60522</x:v>
      </x:c>
      <x:c r="G46" s="192" t="str">
        <x:v>apartamento</x:v>
      </x:c>
      <x:c r="H46" s="192" t="n">
        <x:v>3</x:v>
      </x:c>
      <x:c r="I46" s="192" t="n">
        <x:v>2</x:v>
      </x:c>
      <x:c r="J46" s="192" t="n">
        <x:v>3</x:v>
      </x:c>
      <x:c r="K46" s="192" t="n">
        <x:v>8</x:v>
      </x:c>
      <x:c r="L46" s="192" t="n">
        <x:v>13</x:v>
      </x:c>
      <x:c r="M46" s="192" t="n">
        <x:v>5</x:v>
      </x:c>
      <x:c r="N46" s="192" t="n">
        <x:v>260</x:v>
      </x:c>
      <x:c r="O46" s="192" t="n">
        <x:v>49</x:v>
      </x:c>
      <x:c r="P46" s="193" t="b">
        <x:v>0</x:v>
      </x:c>
      <x:c r="Q46" s="193" t="b">
        <x:v>0</x:v>
      </x:c>
      <x:c r="R46" s="193" t="b">
        <x:v>0</x:v>
      </x:c>
      <x:c r="S46" s="193" t="b">
        <x:v>0</x:v>
      </x:c>
      <x:c r="T46" s="192" t="n">
        <x:v>38</x:v>
      </x:c>
      <x:c r="U46" s="192" t="n">
        <x:v>52</x:v>
      </x:c>
      <x:c r="V46" s="200" t="n">
        <x:v>0.5777777778</x:v>
      </x:c>
      <x:c r="W46" s="203" t="n">
        <x:v>350</x:v>
      </x:c>
      <x:c r="X46" s="203" t="n">
        <x:v>18789.7895817951</x:v>
      </x:c>
      <x:c r="Y46" s="203" t="n">
        <x:v>48579.4351479326</x:v>
      </x:c>
      <x:c r="Z46" s="193" t="b">
        <x:v>0</x:v>
      </x:c>
      <x:c r="AA46" s="193" t="b">
        <x:v>0</x:v>
      </x:c>
      <x:c r="AB46" s="193" t="b">
        <x:v>1</x:v>
      </x:c>
      <x:c r="AC46" s="193" t="b">
        <x:v>1</x:v>
      </x:c>
      <x:c r="AD46" s="193" t="b">
        <x:v>1</x:v>
      </x:c>
      <x:c r="AE46" s="193" t="b">
        <x:v>1</x:v>
      </x:c>
      <x:c r="AF46" s="193" t="b">
        <x:v>1</x:v>
      </x:c>
      <x:c r="AG46" s="193" t="b">
        <x:v>1</x:v>
      </x:c>
      <x:c r="AH46" s="193" t="b">
        <x:v>1</x:v>
      </x:c>
      <x:c r="AI46" s="193" t="b">
        <x:v>1</x:v>
      </x:c>
      <x:c r="AJ46" s="193" t="b">
        <x:v>1</x:v>
      </x:c>
    </x:row>
    <x:row r="47">
      <x:c r="A47" s="192" t="n">
        <x:v>753461577197808000</x:v>
      </x:c>
      <x:c r="B47" s="192" t="str">
        <x:v>https://www.airbnb.com.br/rooms/753461577197808016</x:v>
      </x:c>
      <x:c r="C47" s="192" t="str">
        <x:v>Lindo apê a 50 metros da praia (1 min. a pé )</x:v>
      </x:c>
      <x:c r="D47" s="192" t="str">
        <x:v>Meia Praia</x:v>
      </x:c>
      <x:c r="E47" s="192" t="n">
        <x:v>-27.141</x:v>
      </x:c>
      <x:c r="F47" s="192" t="n">
        <x:v>-48.58987</x:v>
      </x:c>
      <x:c r="G47" s="192" t="str">
        <x:v>apartamento</x:v>
      </x:c>
      <x:c r="H47" s="192" t="n">
        <x:v>3</x:v>
      </x:c>
      <x:c r="I47" s="192" t="n">
        <x:v>2</x:v>
      </x:c>
      <x:c r="J47" s="192" t="n">
        <x:v>4</x:v>
      </x:c>
      <x:c r="K47" s="192" t="n">
        <x:v>6</x:v>
      </x:c>
      <x:c r="L47" s="192" t="n">
        <x:v>16</x:v>
      </x:c>
      <x:c r="M47" s="192" t="n">
        <x:v>5</x:v>
      </x:c>
      <x:c r="N47" s="192" t="n">
        <x:v>300</x:v>
      </x:c>
      <x:c r="O47" s="192" t="n">
        <x:v>21</x:v>
      </x:c>
      <x:c r="P47" s="193" t="b">
        <x:v>0</x:v>
      </x:c>
      <x:c r="Q47" s="193" t="b">
        <x:v>0</x:v>
      </x:c>
      <x:c r="R47" s="193" t="b">
        <x:v>1</x:v>
      </x:c>
      <x:c r="S47" s="193" t="b">
        <x:v>1</x:v>
      </x:c>
      <x:c r="T47" s="192" t="n">
        <x:v>59</x:v>
      </x:c>
      <x:c r="U47" s="192" t="n">
        <x:v>31</x:v>
      </x:c>
      <x:c r="V47" s="200" t="n">
        <x:v>0.3444444444</x:v>
      </x:c>
      <x:c r="W47" s="203" t="n">
        <x:v>980</x:v>
      </x:c>
      <x:c r="X47" s="203" t="n">
        <x:v>29336.9553739116</x:v>
      </x:c>
      <x:c r="Y47" s="203" t="n">
        <x:v>75848.2533729674</x:v>
      </x:c>
      <x:c r="Z47" s="193" t="b">
        <x:v>1</x:v>
      </x:c>
      <x:c r="AA47" s="193" t="b">
        <x:v>0</x:v>
      </x:c>
      <x:c r="AB47" s="193" t="b">
        <x:v>1</x:v>
      </x:c>
      <x:c r="AC47" s="193" t="b">
        <x:v>1</x:v>
      </x:c>
      <x:c r="AD47" s="193" t="b">
        <x:v>0</x:v>
      </x:c>
      <x:c r="AE47" s="193" t="b">
        <x:v>1</x:v>
      </x:c>
      <x:c r="AF47" s="193" t="b">
        <x:v>1</x:v>
      </x:c>
      <x:c r="AG47" s="193" t="b">
        <x:v>1</x:v>
      </x:c>
      <x:c r="AH47" s="193" t="b">
        <x:v>1</x:v>
      </x:c>
      <x:c r="AI47" s="193" t="b">
        <x:v>1</x:v>
      </x:c>
      <x:c r="AJ47" s="193" t="b">
        <x:v>0</x:v>
      </x:c>
    </x:row>
    <x:row r="48">
      <x:c r="A48" s="192" t="n">
        <x:v>16527828</x:v>
      </x:c>
      <x:c r="B48" s="192" t="str">
        <x:v>https://www.airbnb.com.br/rooms/16527828</x:v>
      </x:c>
      <x:c r="C48" s="192" t="str">
        <x:v>Lindo Apto 4 quartos frente mar alto padrão</x:v>
      </x:c>
      <x:c r="D48" s="192" t="str">
        <x:v>Meia Praia</x:v>
      </x:c>
      <x:c r="E48" s="192" t="n">
        <x:v>-27.12126</x:v>
      </x:c>
      <x:c r="F48" s="192" t="n">
        <x:v>-48.60656</x:v>
      </x:c>
      <x:c r="G48" s="192" t="str">
        <x:v>apartamento</x:v>
      </x:c>
      <x:c r="H48" s="192" t="n">
        <x:v>4</x:v>
      </x:c>
      <x:c r="I48" s="192" t="n">
        <x:v>3</x:v>
      </x:c>
      <x:c r="J48" s="192" t="n">
        <x:v>8</x:v>
      </x:c>
      <x:c r="K48" s="192" t="n">
        <x:v>8</x:v>
      </x:c>
      <x:c r="L48" s="192" t="n">
        <x:v>18</x:v>
      </x:c>
      <x:c r="M48" s="192" t="n">
        <x:v>4.8299999237</x:v>
      </x:c>
      <x:c r="N48" s="192" t="n">
        <x:v>350</x:v>
      </x:c>
      <x:c r="O48" s="192" t="n">
        <x:v>24</x:v>
      </x:c>
      <x:c r="P48" s="193" t="b">
        <x:v>0</x:v>
      </x:c>
      <x:c r="Q48" s="193" t="b">
        <x:v>0</x:v>
      </x:c>
      <x:c r="R48" s="193" t="b">
        <x:v>0</x:v>
      </x:c>
      <x:c r="S48" s="193" t="b">
        <x:v>0</x:v>
      </x:c>
      <x:c r="T48" s="192" t="n">
        <x:v>87</x:v>
      </x:c>
      <x:c r="U48" s="192" t="n">
        <x:v>3</x:v>
      </x:c>
      <x:c r="V48" s="200" t="n">
        <x:v>0.0333333333</x:v>
      </x:c>
      <x:c r="W48" s="203" t="n">
        <x:v>1050</x:v>
      </x:c>
      <x:c r="X48" s="203" t="n">
        <x:v>3252.3564775435</x:v>
      </x:c>
      <x:c r="Y48" s="203" t="n">
        <x:v>8408.6966429823</x:v>
      </x:c>
      <x:c r="Z48" s="193" t="b">
        <x:v>1</x:v>
      </x:c>
      <x:c r="AA48" s="193" t="b">
        <x:v>0</x:v>
      </x:c>
      <x:c r="AB48" s="193" t="b">
        <x:v>1</x:v>
      </x:c>
      <x:c r="AC48" s="193" t="b">
        <x:v>1</x:v>
      </x:c>
      <x:c r="AD48" s="193" t="b">
        <x:v>1</x:v>
      </x:c>
      <x:c r="AE48" s="193" t="b">
        <x:v>1</x:v>
      </x:c>
      <x:c r="AF48" s="193" t="b">
        <x:v>1</x:v>
      </x:c>
      <x:c r="AG48" s="193" t="b">
        <x:v>1</x:v>
      </x:c>
      <x:c r="AH48" s="193" t="b">
        <x:v>1</x:v>
      </x:c>
      <x:c r="AI48" s="193" t="b">
        <x:v>1</x:v>
      </x:c>
      <x:c r="AJ48" s="193" t="b">
        <x:v>1</x:v>
      </x:c>
    </x:row>
    <x:row r="49">
      <x:c r="A49" s="192" t="n">
        <x:v>41888100</x:v>
      </x:c>
      <x:c r="B49" s="192" t="str">
        <x:v>https://www.airbnb.com.br/rooms/41888100</x:v>
      </x:c>
      <x:c r="C49" s="192" t="str">
        <x:v>QUADRA MAR, 2 quartos, Meia Praia, Itapema</x:v>
      </x:c>
      <x:c r="D49" s="192" t="str">
        <x:v>Meia Praia</x:v>
      </x:c>
      <x:c r="E49" s="192" t="n">
        <x:v>-27.12243</x:v>
      </x:c>
      <x:c r="F49" s="192" t="n">
        <x:v>-48.60522</x:v>
      </x:c>
      <x:c r="G49" s="192" t="str">
        <x:v>apartamento</x:v>
      </x:c>
      <x:c r="H49" s="192" t="n">
        <x:v>2</x:v>
      </x:c>
      <x:c r="I49" s="192" t="n">
        <x:v>2</x:v>
      </x:c>
      <x:c r="J49" s="192" t="n">
        <x:v>4</x:v>
      </x:c>
      <x:c r="K49" s="192" t="n">
        <x:v>6</x:v>
      </x:c>
      <x:c r="L49" s="192" t="n">
        <x:v>126</x:v>
      </x:c>
      <x:c r="M49" s="192" t="n">
        <x:v>4.8699998856</x:v>
      </x:c>
      <x:c r="N49" s="192" t="n">
        <x:v>250</x:v>
      </x:c>
      <x:c r="O49" s="192" t="n">
        <x:v>39</x:v>
      </x:c>
      <x:c r="P49" s="193" t="b">
        <x:v>0</x:v>
      </x:c>
      <x:c r="Q49" s="193" t="b">
        <x:v>0</x:v>
      </x:c>
      <x:c r="R49" s="193" t="b">
        <x:v>1</x:v>
      </x:c>
      <x:c r="S49" s="193" t="b">
        <x:v>1</x:v>
      </x:c>
      <x:c r="T49" s="192" t="n">
        <x:v>78</x:v>
      </x:c>
      <x:c r="U49" s="192" t="n">
        <x:v>12</x:v>
      </x:c>
      <x:c r="V49" s="200" t="n">
        <x:v>0.1333333333</x:v>
      </x:c>
      <x:c r="W49" s="203" t="n">
        <x:v>531</x:v>
      </x:c>
      <x:c r="X49" s="203" t="n">
        <x:v>6336.8697294498</x:v>
      </x:c>
      <x:c r="Y49" s="203" t="n">
        <x:v>16383.448613015</x:v>
      </x:c>
      <x:c r="Z49" s="193" t="b">
        <x:v>1</x:v>
      </x:c>
      <x:c r="AA49" s="193" t="b">
        <x:v>0</x:v>
      </x:c>
      <x:c r="AB49" s="193" t="b">
        <x:v>1</x:v>
      </x:c>
      <x:c r="AC49" s="193" t="b">
        <x:v>1</x:v>
      </x:c>
      <x:c r="AD49" s="193" t="b">
        <x:v>1</x:v>
      </x:c>
      <x:c r="AE49" s="193" t="b">
        <x:v>1</x:v>
      </x:c>
      <x:c r="AF49" s="193" t="b">
        <x:v>1</x:v>
      </x:c>
      <x:c r="AG49" s="193" t="b">
        <x:v>1</x:v>
      </x:c>
      <x:c r="AH49" s="193" t="b">
        <x:v>1</x:v>
      </x:c>
      <x:c r="AI49" s="193" t="b">
        <x:v>1</x:v>
      </x:c>
      <x:c r="AJ49" s="193" t="b">
        <x:v>1</x:v>
      </x:c>
    </x:row>
    <x:row r="50">
      <x:c r="A50" s="192" t="n">
        <x:v>816613605644920600</x:v>
      </x:c>
      <x:c r="B50" s="192" t="str">
        <x:v>https://www.airbnb.com.br/rooms/816613605644920543</x:v>
      </x:c>
      <x:c r="C50" s="192" t="str">
        <x:v>Casa frente ao mar de itapema</x:v>
      </x:c>
      <x:c r="D50" s="192" t="str">
        <x:v>Centro</x:v>
      </x:c>
      <x:c r="E50" s="192" t="n">
        <x:v>-27.09456</x:v>
      </x:c>
      <x:c r="F50" s="192" t="n">
        <x:v>-48.61248</x:v>
      </x:c>
      <x:c r="G50" s="192" t="str">
        <x:v>casa</x:v>
      </x:c>
      <x:c r="H50" s="192" t="n">
        <x:v>4</x:v>
      </x:c>
      <x:c r="I50" s="192" t="n">
        <x:v>5</x:v>
      </x:c>
      <x:c r="J50" s="192" t="n">
        <x:v>10</x:v>
      </x:c>
      <x:c r="K50" s="192" t="n">
        <x:v>12</x:v>
      </x:c>
      <x:c r="L50" s="192" t="n">
        <x:v>5</x:v>
      </x:c>
      <x:c r="M50" s="192" t="n">
        <x:v>5</x:v>
      </x:c>
      <x:c r="N50" s="192" t="n">
        <x:v>0</x:v>
      </x:c>
      <x:c r="O50" s="192" t="n">
        <x:v>32</x:v>
      </x:c>
      <x:c r="P50" s="193" t="b">
        <x:v>0</x:v>
      </x:c>
      <x:c r="Q50" s="193" t="b">
        <x:v>0</x:v>
      </x:c>
      <x:c r="R50" s="193" t="b">
        <x:v>1</x:v>
      </x:c>
      <x:c r="S50" s="193" t="b">
        <x:v>0</x:v>
      </x:c>
      <x:c r="T50" s="192" t="n">
        <x:v>79</x:v>
      </x:c>
      <x:c r="U50" s="192" t="n">
        <x:v>11</x:v>
      </x:c>
      <x:c r="V50" s="200" t="n">
        <x:v>0.1222222222</x:v>
      </x:c>
      <x:c r="W50" s="203" t="n">
        <x:v>1800</x:v>
      </x:c>
      <x:c r="X50" s="203" t="n">
        <x:v>21788.2956144836</x:v>
      </x:c>
      <x:c r="Y50" s="203" t="n">
        <x:v>56331.8226199462</x:v>
      </x:c>
      <x:c r="Z50" s="193" t="b">
        <x:v>1</x:v>
      </x:c>
      <x:c r="AA50" s="193" t="b">
        <x:v>0</x:v>
      </x:c>
      <x:c r="AB50" s="193" t="b">
        <x:v>1</x:v>
      </x:c>
      <x:c r="AC50" s="193" t="b">
        <x:v>1</x:v>
      </x:c>
      <x:c r="AD50" s="193" t="b">
        <x:v>0</x:v>
      </x:c>
      <x:c r="AE50" s="193" t="b">
        <x:v>1</x:v>
      </x:c>
      <x:c r="AF50" s="193" t="b">
        <x:v>1</x:v>
      </x:c>
      <x:c r="AG50" s="193" t="b">
        <x:v>1</x:v>
      </x:c>
      <x:c r="AH50" s="193" t="b">
        <x:v>1</x:v>
      </x:c>
      <x:c r="AI50" s="193" t="b">
        <x:v>1</x:v>
      </x:c>
      <x:c r="AJ50" s="193" t="b">
        <x:v>1</x:v>
      </x:c>
    </x:row>
    <x:row r="51">
      <x:c r="A51" s="192" t="n">
        <x:v>53240300</x:v>
      </x:c>
      <x:c r="B51" s="192" t="str">
        <x:v>https://www.airbnb.com.br/rooms/53240300</x:v>
      </x:c>
      <x:c r="C51" s="192" t="str">
        <x:v>Amplo Apartamento em Itapema - Meia Praia</x:v>
      </x:c>
      <x:c r="D51" s="192" t="str">
        <x:v>Meia Praia</x:v>
      </x:c>
      <x:c r="E51" s="192" t="n">
        <x:v>-27.1411</x:v>
      </x:c>
      <x:c r="F51" s="192" t="n">
        <x:v>-48.59305</x:v>
      </x:c>
      <x:c r="G51" s="192" t="str">
        <x:v>apartamento</x:v>
      </x:c>
      <x:c r="H51" s="192" t="n">
        <x:v>3</x:v>
      </x:c>
      <x:c r="I51" s="192" t="n">
        <x:v>3</x:v>
      </x:c>
      <x:c r="J51" s="192" t="n">
        <x:v>3</x:v>
      </x:c>
      <x:c r="K51" s="192" t="n">
        <x:v>14</x:v>
      </x:c>
      <x:c r="L51" s="192" t="n">
        <x:v>15</x:v>
      </x:c>
      <x:c r="M51" s="192" t="n">
        <x:v>4.9299998283</x:v>
      </x:c>
      <x:c r="N51" s="192" t="n">
        <x:v>350</x:v>
      </x:c>
      <x:c r="O51" s="192" t="n">
        <x:v>28</x:v>
      </x:c>
      <x:c r="P51" s="193" t="b">
        <x:v>0</x:v>
      </x:c>
      <x:c r="Q51" s="193" t="b">
        <x:v>0</x:v>
      </x:c>
      <x:c r="R51" s="193" t="b">
        <x:v>1</x:v>
      </x:c>
      <x:c r="S51" s="193" t="b">
        <x:v>0</x:v>
      </x:c>
      <x:c r="T51" s="192" t="n">
        <x:v>75</x:v>
      </x:c>
      <x:c r="U51" s="192" t="n">
        <x:v>15</x:v>
      </x:c>
      <x:c r="V51" s="200" t="n">
        <x:v>0.1666666667</x:v>
      </x:c>
      <x:c r="W51" s="203" t="n">
        <x:v>990</x:v>
      </x:c>
      <x:c r="X51" s="203" t="n">
        <x:v>16990.3837921806</x:v>
      </x:c>
      <x:c r="Y51" s="203" t="n">
        <x:v>43927.2214293669</x:v>
      </x:c>
      <x:c r="Z51" s="193" t="b">
        <x:v>1</x:v>
      </x:c>
      <x:c r="AA51" s="193" t="b">
        <x:v>0</x:v>
      </x:c>
      <x:c r="AB51" s="193" t="b">
        <x:v>1</x:v>
      </x:c>
      <x:c r="AC51" s="193" t="b">
        <x:v>1</x:v>
      </x:c>
      <x:c r="AD51" s="193" t="b">
        <x:v>1</x:v>
      </x:c>
      <x:c r="AE51" s="193" t="b">
        <x:v>1</x:v>
      </x:c>
      <x:c r="AF51" s="193" t="b">
        <x:v>1</x:v>
      </x:c>
      <x:c r="AG51" s="193" t="b">
        <x:v>1</x:v>
      </x:c>
      <x:c r="AH51" s="193" t="b">
        <x:v>1</x:v>
      </x:c>
      <x:c r="AI51" s="193" t="b">
        <x:v>1</x:v>
      </x:c>
      <x:c r="AJ51" s="193" t="b">
        <x:v>1</x:v>
      </x:c>
    </x:row>
    <x:row r="52">
      <x:c r="A52" s="192" t="n">
        <x:v>52627650</x:v>
      </x:c>
      <x:c r="B52" s="192" t="str">
        <x:v>https://www.airbnb.com.br/rooms/52627650</x:v>
      </x:c>
      <x:c r="C52" s="192" t="str">
        <x:v>Apartamento inteiro - 800m da Meia -Praia/Itapema</x:v>
      </x:c>
      <x:c r="D52" s="192" t="str">
        <x:v>Morretes</x:v>
      </x:c>
      <x:c r="E52" s="192" t="n">
        <x:v>-27.12237</x:v>
      </x:c>
      <x:c r="F52" s="192" t="n">
        <x:v>-48.61066</x:v>
      </x:c>
      <x:c r="G52" s="192" t="str">
        <x:v>apartamento</x:v>
      </x:c>
      <x:c r="H52" s="192" t="n">
        <x:v>1</x:v>
      </x:c>
      <x:c r="I52" s="192" t="n">
        <x:v>1</x:v>
      </x:c>
      <x:c r="J52" s="192" t="n">
        <x:v>1</x:v>
      </x:c>
      <x:c r="K52" s="192" t="n">
        <x:v>3</x:v>
      </x:c>
      <x:c r="L52" s="192" t="n">
        <x:v>50</x:v>
      </x:c>
      <x:c r="M52" s="192" t="n">
        <x:v>4.8000001907</x:v>
      </x:c>
      <x:c r="N52" s="192" t="n">
        <x:v>200</x:v>
      </x:c>
      <x:c r="O52" s="192" t="n">
        <x:v>7</x:v>
      </x:c>
      <x:c r="P52" s="193" t="b">
        <x:v>0</x:v>
      </x:c>
      <x:c r="Q52" s="193" t="b">
        <x:v>0</x:v>
      </x:c>
      <x:c r="R52" s="193" t="b">
        <x:v>0</x:v>
      </x:c>
      <x:c r="S52" s="193" t="b">
        <x:v>0</x:v>
      </x:c>
      <x:c r="T52" s="192" t="n">
        <x:v>12</x:v>
      </x:c>
      <x:c r="U52" s="192" t="n">
        <x:v>78</x:v>
      </x:c>
      <x:c r="V52" s="200" t="n">
        <x:v>0.8666666667</x:v>
      </x:c>
      <x:c r="W52" s="203" t="n">
        <x:v>350</x:v>
      </x:c>
      <x:c r="X52" s="203" t="n">
        <x:v>27248.2081585968</x:v>
      </x:c>
      <x:c r="Y52" s="203" t="n">
        <x:v>70447.9715100388</x:v>
      </x:c>
      <x:c r="Z52" s="193" t="b">
        <x:v>0</x:v>
      </x:c>
      <x:c r="AA52" s="193" t="b">
        <x:v>1</x:v>
      </x:c>
      <x:c r="AB52" s="193" t="b">
        <x:v>0</x:v>
      </x:c>
      <x:c r="AC52" s="193" t="b">
        <x:v>1</x:v>
      </x:c>
      <x:c r="AD52" s="193" t="b">
        <x:v>1</x:v>
      </x:c>
      <x:c r="AE52" s="193" t="b">
        <x:v>1</x:v>
      </x:c>
      <x:c r="AF52" s="193" t="b">
        <x:v>1</x:v>
      </x:c>
      <x:c r="AG52" s="193" t="b">
        <x:v>0</x:v>
      </x:c>
      <x:c r="AH52" s="193" t="b">
        <x:v>1</x:v>
      </x:c>
      <x:c r="AI52" s="193" t="b">
        <x:v>1</x:v>
      </x:c>
      <x:c r="AJ52" s="193" t="b">
        <x:v>0</x:v>
      </x:c>
    </x:row>
    <x:row r="53">
      <x:c r="A53" s="192" t="n">
        <x:v>8838629</x:v>
      </x:c>
      <x:c r="B53" s="192" t="str">
        <x:v>https://www.airbnb.com.br/rooms/8838629</x:v>
      </x:c>
      <x:c r="C53" s="192" t="str">
        <x:v>3 Quartos beira Mar com Wifi e ar condicionado</x:v>
      </x:c>
      <x:c r="D53" s="192" t="str">
        <x:v>Morretes</x:v>
      </x:c>
      <x:c r="E53" s="192" t="n">
        <x:v>-27.11535</x:v>
      </x:c>
      <x:c r="F53" s="192" t="n">
        <x:v>-48.60848</x:v>
      </x:c>
      <x:c r="G53" s="192" t="str">
        <x:v>apartamento</x:v>
      </x:c>
      <x:c r="H53" s="192" t="n">
        <x:v>3</x:v>
      </x:c>
      <x:c r="I53" s="192" t="n">
        <x:v>2</x:v>
      </x:c>
      <x:c r="J53" s="192" t="n">
        <x:v>11</x:v>
      </x:c>
      <x:c r="K53" s="192" t="n">
        <x:v>15</x:v>
      </x:c>
      <x:c r="L53" s="192" t="n">
        <x:v>88</x:v>
      </x:c>
      <x:c r="M53" s="192" t="n">
        <x:v>4.6999998093</x:v>
      </x:c>
      <x:c r="N53" s="192" t="n">
        <x:v>200</x:v>
      </x:c>
      <x:c r="O53" s="192" t="n">
        <x:v>40</x:v>
      </x:c>
      <x:c r="P53" s="193" t="b">
        <x:v>1</x:v>
      </x:c>
      <x:c r="Q53" s="193" t="b">
        <x:v>1</x:v>
      </x:c>
      <x:c r="R53" s="193" t="b">
        <x:v>0</x:v>
      </x:c>
      <x:c r="S53" s="193" t="b">
        <x:v>1</x:v>
      </x:c>
      <x:c r="T53" s="192" t="n">
        <x:v>66</x:v>
      </x:c>
      <x:c r="U53" s="192" t="n">
        <x:v>24</x:v>
      </x:c>
      <x:c r="V53" s="200" t="n">
        <x:v>0.2666666667</x:v>
      </x:c>
      <x:c r="W53" s="203" t="n">
        <x:v>650</x:v>
      </x:c>
      <x:c r="X53" s="203" t="n">
        <x:v>15550.6817663387</x:v>
      </x:c>
      <x:c r="Y53" s="203" t="n">
        <x:v>40204.9918167214</x:v>
      </x:c>
      <x:c r="Z53" s="193" t="b">
        <x:v>1</x:v>
      </x:c>
      <x:c r="AA53" s="193" t="b">
        <x:v>0</x:v>
      </x:c>
      <x:c r="AB53" s="193" t="b">
        <x:v>1</x:v>
      </x:c>
      <x:c r="AC53" s="193" t="b">
        <x:v>1</x:v>
      </x:c>
      <x:c r="AD53" s="193" t="b">
        <x:v>1</x:v>
      </x:c>
      <x:c r="AE53" s="193" t="b">
        <x:v>1</x:v>
      </x:c>
      <x:c r="AF53" s="193" t="b">
        <x:v>1</x:v>
      </x:c>
      <x:c r="AG53" s="193" t="b">
        <x:v>1</x:v>
      </x:c>
      <x:c r="AH53" s="193" t="b">
        <x:v>1</x:v>
      </x:c>
      <x:c r="AI53" s="193" t="b">
        <x:v>1</x:v>
      </x:c>
      <x:c r="AJ53" s="193" t="b">
        <x:v>1</x:v>
      </x:c>
    </x:row>
    <x:row r="54">
      <x:c r="A54" s="192" t="n">
        <x:v>813090046454458000</x:v>
      </x:c>
      <x:c r="B54" s="192" t="str">
        <x:v>https://www.airbnb.com.br/rooms/813090046454458015</x:v>
      </x:c>
      <x:c r="C54" s="192" t="str">
        <x:v>Reserva Embauva 
Cabana Jacaterão</x:v>
      </x:c>
      <x:c r="D54" s="192" t="str">
        <x:v>Sertao do Trombudo</x:v>
      </x:c>
      <x:c r="E54" s="192" t="n">
        <x:v>-27.13191</x:v>
      </x:c>
      <x:c r="F54" s="192" t="n">
        <x:v>-48.64368</x:v>
      </x:c>
      <x:c r="G54" s="192" t="str">
        <x:v>casa</x:v>
      </x:c>
      <x:c r="H54" s="192" t="n">
        <x:v>1</x:v>
      </x:c>
      <x:c r="I54" s="192" t="n">
        <x:v>1</x:v>
      </x:c>
      <x:c r="J54" s="192" t="n">
        <x:v>1</x:v>
      </x:c>
      <x:c r="K54" s="192" t="n">
        <x:v>2</x:v>
      </x:c>
      <x:c r="L54" s="192" t="n">
        <x:v>47</x:v>
      </x:c>
      <x:c r="M54" s="192" t="n">
        <x:v>5</x:v>
      </x:c>
      <x:c r="N54" s="192" t="n">
        <x:v>150</x:v>
      </x:c>
      <x:c r="O54" s="192" t="n">
        <x:v>19</x:v>
      </x:c>
      <x:c r="P54" s="193" t="b">
        <x:v>1</x:v>
      </x:c>
      <x:c r="Q54" s="193" t="b">
        <x:v>0</x:v>
      </x:c>
      <x:c r="R54" s="193" t="b">
        <x:v>1</x:v>
      </x:c>
      <x:c r="S54" s="193" t="b">
        <x:v>1</x:v>
      </x:c>
      <x:c r="T54" s="192" t="n">
        <x:v>84</x:v>
      </x:c>
      <x:c r="U54" s="192" t="n">
        <x:v>6</x:v>
      </x:c>
      <x:c r="V54" s="200" t="n">
        <x:v>0.0666666667</x:v>
      </x:c>
      <x:c r="W54" s="203" t="n">
        <x:v>390</x:v>
      </x:c>
      <x:c r="X54" s="203" t="n">
        <x:v>2329.7403168356</x:v>
      </x:c>
      <x:c r="Y54" s="203" t="n">
        <x:v>6023.349444152</x:v>
      </x:c>
      <x:c r="Z54" s="193" t="b">
        <x:v>1</x:v>
      </x:c>
      <x:c r="AA54" s="193" t="b">
        <x:v>0</x:v>
      </x:c>
      <x:c r="AB54" s="193" t="b">
        <x:v>1</x:v>
      </x:c>
      <x:c r="AC54" s="193" t="b">
        <x:v>1</x:v>
      </x:c>
      <x:c r="AD54" s="193" t="b">
        <x:v>0</x:v>
      </x:c>
      <x:c r="AE54" s="193" t="b">
        <x:v>0</x:v>
      </x:c>
      <x:c r="AF54" s="193" t="b">
        <x:v>0</x:v>
      </x:c>
      <x:c r="AG54" s="193" t="b">
        <x:v>0</x:v>
      </x:c>
      <x:c r="AH54" s="193" t="b">
        <x:v>1</x:v>
      </x:c>
      <x:c r="AI54" s="193" t="b">
        <x:v>1</x:v>
      </x:c>
      <x:c r="AJ54" s="193" t="b">
        <x:v>1</x:v>
      </x:c>
    </x:row>
    <x:row r="55">
      <x:c r="A55" s="192" t="n">
        <x:v>613221032690703400</x:v>
      </x:c>
      <x:c r="B55" s="192" t="str">
        <x:v>https://www.airbnb.com.br/rooms/613221032690703355</x:v>
      </x:c>
      <x:c r="C55" s="192" t="str">
        <x:v>Novo, luxo, quadra mar (c vista), 3 suítes, 3vagas</x:v>
      </x:c>
      <x:c r="D55" s="192" t="str">
        <x:v>Meia Praia</x:v>
      </x:c>
      <x:c r="E55" s="192" t="n">
        <x:v>-27.14196</x:v>
      </x:c>
      <x:c r="F55" s="192" t="n">
        <x:v>-48.58879</x:v>
      </x:c>
      <x:c r="G55" s="192" t="str">
        <x:v>apartamento</x:v>
      </x:c>
      <x:c r="H55" s="192" t="n">
        <x:v>3</x:v>
      </x:c>
      <x:c r="I55" s="192" t="n">
        <x:v>3</x:v>
      </x:c>
      <x:c r="J55" s="192" t="n">
        <x:v>6</x:v>
      </x:c>
      <x:c r="K55" s="192" t="n">
        <x:v>8</x:v>
      </x:c>
      <x:c r="L55" s="192" t="n">
        <x:v>23</x:v>
      </x:c>
      <x:c r="M55" s="192" t="n">
        <x:v>4.9099998474</x:v>
      </x:c>
      <x:c r="N55" s="192" t="n">
        <x:v>300</x:v>
      </x:c>
      <x:c r="O55" s="192" t="n">
        <x:v>38</x:v>
      </x:c>
      <x:c r="P55" s="193" t="b">
        <x:v>0</x:v>
      </x:c>
      <x:c r="Q55" s="193" t="b">
        <x:v>0</x:v>
      </x:c>
      <x:c r="R55" s="193" t="b">
        <x:v>1</x:v>
      </x:c>
      <x:c r="S55" s="193" t="b">
        <x:v>1</x:v>
      </x:c>
      <x:c r="T55" s="192" t="n">
        <x:v>24</x:v>
      </x:c>
      <x:c r="U55" s="192" t="n">
        <x:v>66</x:v>
      </x:c>
      <x:c r="V55" s="200" t="n">
        <x:v>0.7333333333</x:v>
      </x:c>
      <x:c r="W55" s="203" t="n">
        <x:v>734.75</x:v>
      </x:c>
      <x:c r="X55" s="203" t="n">
        <x:v>47046.8614494095</x:v>
      </x:c>
      <x:c r="Y55" s="203" t="n">
        <x:v>121635.7397056607</x:v>
      </x:c>
      <x:c r="Z55" s="193" t="b">
        <x:v>1</x:v>
      </x:c>
      <x:c r="AA55" s="193" t="b">
        <x:v>1</x:v>
      </x:c>
      <x:c r="AB55" s="193" t="b">
        <x:v>1</x:v>
      </x:c>
      <x:c r="AC55" s="193" t="b">
        <x:v>1</x:v>
      </x:c>
      <x:c r="AD55" s="193" t="b">
        <x:v>1</x:v>
      </x:c>
      <x:c r="AE55" s="193" t="b">
        <x:v>1</x:v>
      </x:c>
      <x:c r="AF55" s="193" t="b">
        <x:v>1</x:v>
      </x:c>
      <x:c r="AG55" s="193" t="b">
        <x:v>1</x:v>
      </x:c>
      <x:c r="AH55" s="193" t="b">
        <x:v>1</x:v>
      </x:c>
      <x:c r="AI55" s="193" t="b">
        <x:v>1</x:v>
      </x:c>
      <x:c r="AJ55" s="193" t="b">
        <x:v>0</x:v>
      </x:c>
    </x:row>
    <x:row r="56">
      <x:c r="A56" s="192" t="n">
        <x:v>839184834439414800</x:v>
      </x:c>
      <x:c r="B56" s="192" t="str">
        <x:v>https://www.airbnb.com.br/rooms/839184834439414765</x:v>
      </x:c>
      <x:c r="C56" s="192" t="str">
        <x:v>Suíte priv. Ap comp.
700m praia check-out  18h Dom</x:v>
      </x:c>
      <x:c r="D56" s="192" t="str">
        <x:v>Meia Praia</x:v>
      </x:c>
      <x:c r="E56" s="192" t="n">
        <x:v>-27.13449</x:v>
      </x:c>
      <x:c r="F56" s="192" t="n">
        <x:v>-48.60569</x:v>
      </x:c>
      <x:c r="G56" s="192" t="str">
        <x:v>outros</x:v>
      </x:c>
      <x:c r="H56" s="192" t="n">
        <x:v>1</x:v>
      </x:c>
      <x:c r="I56" s="192" t="n">
        <x:v>1</x:v>
      </x:c>
      <x:c r="J56" s="192" t="n">
        <x:v>1</x:v>
      </x:c>
      <x:c r="K56" s="192" t="n">
        <x:v>2</x:v>
      </x:c>
      <x:c r="L56" s="192" t="n">
        <x:v>37</x:v>
      </x:c>
      <x:c r="M56" s="192" t="n">
        <x:v>5</x:v>
      </x:c>
      <x:c r="N56" s="192" t="n">
        <x:v>5</x:v>
      </x:c>
      <x:c r="O56" s="192" t="n">
        <x:v>16</x:v>
      </x:c>
      <x:c r="P56" s="193" t="b">
        <x:v>0</x:v>
      </x:c>
      <x:c r="Q56" s="193" t="b">
        <x:v>0</x:v>
      </x:c>
      <x:c r="R56" s="193" t="b">
        <x:v>1</x:v>
      </x:c>
      <x:c r="S56" s="193" t="b">
        <x:v>0</x:v>
      </x:c>
      <x:c r="T56" s="192" t="n">
        <x:v>42</x:v>
      </x:c>
      <x:c r="U56" s="192" t="n">
        <x:v>48</x:v>
      </x:c>
      <x:c r="V56" s="200" t="n">
        <x:v>0.5333333333</x:v>
      </x:c>
      <x:c r="W56" s="203" t="n">
        <x:v>150</x:v>
      </x:c>
      <x:c r="X56" s="203" t="n">
        <x:v>7452.0889327265</x:v>
      </x:c>
      <x:c r="Y56" s="203" t="n">
        <x:v>19266.7549281533</x:v>
      </x:c>
      <x:c r="Z56" s="193" t="b">
        <x:v>1</x:v>
      </x:c>
      <x:c r="AA56" s="193" t="b">
        <x:v>0</x:v>
      </x:c>
      <x:c r="AB56" s="193" t="b">
        <x:v>1</x:v>
      </x:c>
      <x:c r="AC56" s="193" t="b">
        <x:v>1</x:v>
      </x:c>
      <x:c r="AD56" s="193" t="b">
        <x:v>1</x:v>
      </x:c>
      <x:c r="AE56" s="193" t="b">
        <x:v>1</x:v>
      </x:c>
      <x:c r="AF56" s="193" t="b">
        <x:v>1</x:v>
      </x:c>
      <x:c r="AG56" s="193" t="b">
        <x:v>1</x:v>
      </x:c>
      <x:c r="AH56" s="193" t="b">
        <x:v>1</x:v>
      </x:c>
      <x:c r="AI56" s="193" t="b">
        <x:v>1</x:v>
      </x:c>
      <x:c r="AJ56" s="193" t="b">
        <x:v>1</x:v>
      </x:c>
    </x:row>
    <x:row r="57">
      <x:c r="A57" s="192" t="n">
        <x:v>29341170</x:v>
      </x:c>
      <x:c r="B57" s="192" t="str">
        <x:v>https://www.airbnb.com.br/rooms/29341170</x:v>
      </x:c>
      <x:c r="C57" s="192" t="str">
        <x:v>APTO COM AR COND. WI-FI, TV SMART, ÁREA DE LAZER.</x:v>
      </x:c>
      <x:c r="D57" s="192" t="str">
        <x:v>Casa Branca</x:v>
      </x:c>
      <x:c r="E57" s="192" t="n">
        <x:v>-27.08897</x:v>
      </x:c>
      <x:c r="F57" s="192" t="n">
        <x:v>-48.61601</x:v>
      </x:c>
      <x:c r="G57" s="192" t="str">
        <x:v>apartamento</x:v>
      </x:c>
      <x:c r="H57" s="192" t="n">
        <x:v>2</x:v>
      </x:c>
      <x:c r="I57" s="192" t="n">
        <x:v>1</x:v>
      </x:c>
      <x:c r="J57" s="192" t="n">
        <x:v>2</x:v>
      </x:c>
      <x:c r="K57" s="192" t="n">
        <x:v>5</x:v>
      </x:c>
      <x:c r="L57" s="192" t="n">
        <x:v>81</x:v>
      </x:c>
      <x:c r="M57" s="192" t="n">
        <x:v>4.8800001144</x:v>
      </x:c>
      <x:c r="N57" s="192" t="n">
        <x:v>180</x:v>
      </x:c>
      <x:c r="O57" s="192" t="n">
        <x:v>46</x:v>
      </x:c>
      <x:c r="P57" s="193" t="b">
        <x:v>0</x:v>
      </x:c>
      <x:c r="Q57" s="193" t="b">
        <x:v>1</x:v>
      </x:c>
      <x:c r="R57" s="193" t="b">
        <x:v>0</x:v>
      </x:c>
      <x:c r="S57" s="193" t="b">
        <x:v>0</x:v>
      </x:c>
      <x:c r="T57" s="192" t="n">
        <x:v>46</x:v>
      </x:c>
      <x:c r="U57" s="192" t="n">
        <x:v>44</x:v>
      </x:c>
      <x:c r="V57" s="200" t="n">
        <x:v>0.4888888889</x:v>
      </x:c>
      <x:c r="W57" s="203" t="n">
        <x:v>349</x:v>
      </x:c>
      <x:c r="X57" s="203" t="n">
        <x:v>14918.0974935728</x:v>
      </x:c>
      <x:c r="Y57" s="203" t="n">
        <x:v>38569.4978948414</x:v>
      </x:c>
      <x:c r="Z57" s="193" t="b">
        <x:v>1</x:v>
      </x:c>
      <x:c r="AA57" s="193" t="b">
        <x:v>0</x:v>
      </x:c>
      <x:c r="AB57" s="193" t="b">
        <x:v>1</x:v>
      </x:c>
      <x:c r="AC57" s="193" t="b">
        <x:v>1</x:v>
      </x:c>
      <x:c r="AD57" s="193" t="b">
        <x:v>1</x:v>
      </x:c>
      <x:c r="AE57" s="193" t="b">
        <x:v>1</x:v>
      </x:c>
      <x:c r="AF57" s="193" t="b">
        <x:v>1</x:v>
      </x:c>
      <x:c r="AG57" s="193" t="b">
        <x:v>1</x:v>
      </x:c>
      <x:c r="AH57" s="193" t="b">
        <x:v>1</x:v>
      </x:c>
      <x:c r="AI57" s="193" t="b">
        <x:v>1</x:v>
      </x:c>
      <x:c r="AJ57" s="193" t="b">
        <x:v>1</x:v>
      </x:c>
    </x:row>
    <x:row r="58">
      <x:c r="A58" s="192" t="n">
        <x:v>42588365</x:v>
      </x:c>
      <x:c r="B58" s="192" t="str">
        <x:v>https://www.airbnb.com.br/rooms/42588365</x:v>
      </x:c>
      <x:c r="C58" s="192" t="str">
        <x:v>Meia Praia  3 Qtos Central poucos metros Praia</x:v>
      </x:c>
      <x:c r="D58" s="192" t="str">
        <x:v>Meia Praia</x:v>
      </x:c>
      <x:c r="E58" s="192" t="n">
        <x:v>-27.12993</x:v>
      </x:c>
      <x:c r="F58" s="192" t="n">
        <x:v>-48.60141</x:v>
      </x:c>
      <x:c r="G58" s="192" t="str">
        <x:v>apartamento</x:v>
      </x:c>
      <x:c r="H58" s="192" t="n">
        <x:v>3</x:v>
      </x:c>
      <x:c r="I58" s="192" t="n">
        <x:v>2</x:v>
      </x:c>
      <x:c r="J58" s="192" t="n">
        <x:v>6</x:v>
      </x:c>
      <x:c r="K58" s="192" t="n">
        <x:v>6</x:v>
      </x:c>
      <x:c r="L58" s="192" t="n">
        <x:v>130</x:v>
      </x:c>
      <x:c r="M58" s="192" t="n">
        <x:v>4.9200000763</x:v>
      </x:c>
      <x:c r="N58" s="192" t="n">
        <x:v>250</x:v>
      </x:c>
      <x:c r="O58" s="192" t="n">
        <x:v>91</x:v>
      </x:c>
      <x:c r="P58" s="193" t="b">
        <x:v>0</x:v>
      </x:c>
      <x:c r="Q58" s="193" t="b">
        <x:v>0</x:v>
      </x:c>
      <x:c r="R58" s="193" t="b">
        <x:v>1</x:v>
      </x:c>
      <x:c r="S58" s="193" t="b">
        <x:v>1</x:v>
      </x:c>
      <x:c r="T58" s="192" t="n">
        <x:v>43</x:v>
      </x:c>
      <x:c r="U58" s="192" t="n">
        <x:v>47</x:v>
      </x:c>
      <x:c r="V58" s="200" t="n">
        <x:v>0.5222222222</x:v>
      </x:c>
      <x:c r="W58" s="203" t="n">
        <x:v>390</x:v>
      </x:c>
      <x:c r="X58" s="203" t="n">
        <x:v>19198.9211414872</x:v>
      </x:c>
      <x:c r="Y58" s="203" t="n">
        <x:v>49637.2107012199</x:v>
      </x:c>
      <x:c r="Z58" s="193" t="b">
        <x:v>0</x:v>
      </x:c>
      <x:c r="AA58" s="193" t="b">
        <x:v>0</x:v>
      </x:c>
      <x:c r="AB58" s="193" t="b">
        <x:v>1</x:v>
      </x:c>
      <x:c r="AC58" s="193" t="b">
        <x:v>1</x:v>
      </x:c>
      <x:c r="AD58" s="193" t="b">
        <x:v>1</x:v>
      </x:c>
      <x:c r="AE58" s="193" t="b">
        <x:v>1</x:v>
      </x:c>
      <x:c r="AF58" s="193" t="b">
        <x:v>1</x:v>
      </x:c>
      <x:c r="AG58" s="193" t="b">
        <x:v>1</x:v>
      </x:c>
      <x:c r="AH58" s="193" t="b">
        <x:v>1</x:v>
      </x:c>
      <x:c r="AI58" s="193" t="b">
        <x:v>1</x:v>
      </x:c>
      <x:c r="AJ58" s="193" t="b">
        <x:v>1</x:v>
      </x:c>
    </x:row>
    <x:row r="59">
      <x:c r="A59" s="192" t="n">
        <x:v>667324814851452700</x:v>
      </x:c>
      <x:c r="B59" s="192" t="str">
        <x:v>https://www.airbnb.com.br/rooms/667324814851452653</x:v>
      </x:c>
      <x:c r="C59" s="192" t="str">
        <x:v>Apartamento encantador, 3 suítes, vista para o mar</x:v>
      </x:c>
      <x:c r="D59" s="192" t="str">
        <x:v>Meia Praia</x:v>
      </x:c>
      <x:c r="E59" s="192" t="n">
        <x:v>-27.14419</x:v>
      </x:c>
      <x:c r="F59" s="192" t="n">
        <x:v>-48.58928</x:v>
      </x:c>
      <x:c r="G59" s="192" t="str">
        <x:v>apartamento</x:v>
      </x:c>
      <x:c r="H59" s="192" t="n">
        <x:v>3</x:v>
      </x:c>
      <x:c r="I59" s="192" t="n">
        <x:v>3</x:v>
      </x:c>
      <x:c r="J59" s="192" t="n">
        <x:v>3</x:v>
      </x:c>
      <x:c r="K59" s="192" t="n">
        <x:v>12</x:v>
      </x:c>
      <x:c r="L59" s="192" t="n">
        <x:v>6</x:v>
      </x:c>
      <x:c r="M59" s="192" t="n">
        <x:v>5</x:v>
      </x:c>
      <x:c r="N59" s="192" t="n">
        <x:v>250</x:v>
      </x:c>
      <x:c r="O59" s="192" t="n">
        <x:v>26</x:v>
      </x:c>
      <x:c r="P59" s="193" t="b">
        <x:v>0</x:v>
      </x:c>
      <x:c r="Q59" s="193" t="b">
        <x:v>0</x:v>
      </x:c>
      <x:c r="R59" s="193" t="b">
        <x:v>0</x:v>
      </x:c>
      <x:c r="S59" s="193" t="b">
        <x:v>0</x:v>
      </x:c>
      <x:c r="T59" s="192" t="n">
        <x:v>63</x:v>
      </x:c>
      <x:c r="U59" s="192" t="n">
        <x:v>27</x:v>
      </x:c>
      <x:c r="V59" s="200" t="n">
        <x:v>0.3</x:v>
      </x:c>
      <x:c r="W59" s="203" t="n">
        <x:v>800</x:v>
      </x:c>
      <x:c r="X59" s="203" t="n">
        <x:v>23074.4003900327</x:v>
      </x:c>
      <x:c r="Y59" s="203" t="n">
        <x:v>59656.9393417304</x:v>
      </x:c>
      <x:c r="Z59" s="193" t="b">
        <x:v>1</x:v>
      </x:c>
      <x:c r="AA59" s="193" t="b">
        <x:v>0</x:v>
      </x:c>
      <x:c r="AB59" s="193" t="b">
        <x:v>1</x:v>
      </x:c>
      <x:c r="AC59" s="193" t="b">
        <x:v>1</x:v>
      </x:c>
      <x:c r="AD59" s="193" t="b">
        <x:v>1</x:v>
      </x:c>
      <x:c r="AE59" s="193" t="b">
        <x:v>1</x:v>
      </x:c>
      <x:c r="AF59" s="193" t="b">
        <x:v>1</x:v>
      </x:c>
      <x:c r="AG59" s="193" t="b">
        <x:v>1</x:v>
      </x:c>
      <x:c r="AH59" s="193" t="b">
        <x:v>1</x:v>
      </x:c>
      <x:c r="AI59" s="193" t="b">
        <x:v>1</x:v>
      </x:c>
      <x:c r="AJ59" s="193" t="b">
        <x:v>1</x:v>
      </x:c>
    </x:row>
    <x:row r="60">
      <x:c r="A60" s="192" t="n">
        <x:v>1188339469325210400</x:v>
      </x:c>
      <x:c r="B60" s="192" t="str">
        <x:v>https://www.airbnb.com.br/rooms/1188339469325210376</x:v>
      </x:c>
      <x:c r="C60" s="192" t="str">
        <x:v>Apto Novo em Itapema c/ Vista para o Mar - MHF1605</x:v>
      </x:c>
      <x:c r="D60" s="192" t="str">
        <x:v>Centro</x:v>
      </x:c>
      <x:c r="E60" s="192" t="n">
        <x:v>-27.09306</x:v>
      </x:c>
      <x:c r="F60" s="192" t="n">
        <x:v>-48.61326</x:v>
      </x:c>
      <x:c r="G60" s="192" t="str">
        <x:v>apartamento</x:v>
      </x:c>
      <x:c r="H60" s="192" t="n">
        <x:v>1</x:v>
      </x:c>
      <x:c r="I60" s="192" t="n">
        <x:v>1</x:v>
      </x:c>
      <x:c r="J60" s="192" t="n">
        <x:v>2</x:v>
      </x:c>
      <x:c r="K60" s="192" t="n">
        <x:v>4</x:v>
      </x:c>
      <x:c r="L60" s="192" t="n">
        <x:v>22</x:v>
      </x:c>
      <x:c r="M60" s="192" t="n">
        <x:v>4.9499998093</x:v>
      </x:c>
      <x:c r="N60" s="192" t="n">
        <x:v>190</x:v>
      </x:c>
      <x:c r="O60" s="192" t="n">
        <x:v>0</x:v>
      </x:c>
      <x:c r="P60" s="193" t="b">
        <x:v>1</x:v>
      </x:c>
      <x:c r="Q60" s="193" t="b">
        <x:v>1</x:v>
      </x:c>
      <x:c r="R60" s="193" t="b">
        <x:v>1</x:v>
      </x:c>
      <x:c r="S60" s="193" t="b">
        <x:v>0</x:v>
      </x:c>
      <x:c r="T60" s="192" t="n">
        <x:v>67</x:v>
      </x:c>
      <x:c r="U60" s="192" t="n">
        <x:v>23</x:v>
      </x:c>
      <x:c r="V60" s="200" t="n">
        <x:v>0.2555555556</x:v>
      </x:c>
      <x:c r="W60" s="203" t="n">
        <x:v>492</x:v>
      </x:c>
      <x:c r="X60" s="203" t="n">
        <x:v>11240.2323867841</x:v>
      </x:c>
      <x:c r="Y60" s="203" t="n">
        <x:v>29060.684149998</x:v>
      </x:c>
      <x:c r="Z60" s="193" t="b">
        <x:v>1</x:v>
      </x:c>
      <x:c r="AA60" s="193" t="b">
        <x:v>1</x:v>
      </x:c>
      <x:c r="AB60" s="193" t="b">
        <x:v>1</x:v>
      </x:c>
      <x:c r="AC60" s="193" t="b">
        <x:v>0</x:v>
      </x:c>
      <x:c r="AD60" s="193" t="b">
        <x:v>1</x:v>
      </x:c>
      <x:c r="AE60" s="193" t="b">
        <x:v>0</x:v>
      </x:c>
      <x:c r="AF60" s="193" t="b">
        <x:v>1</x:v>
      </x:c>
      <x:c r="AG60" s="193" t="b">
        <x:v>1</x:v>
      </x:c>
      <x:c r="AH60" s="193" t="b">
        <x:v>1</x:v>
      </x:c>
      <x:c r="AI60" s="193" t="b">
        <x:v>1</x:v>
      </x:c>
      <x:c r="AJ60" s="193" t="b">
        <x:v>0</x:v>
      </x:c>
    </x:row>
    <x:row r="61">
      <x:c r="A61" s="192" t="n">
        <x:v>16992951</x:v>
      </x:c>
      <x:c r="B61" s="192" t="str">
        <x:v>https://www.airbnb.com.br/rooms/16992951</x:v>
      </x:c>
      <x:c r="C61" s="192" t="str">
        <x:v>Fantástico Apartamento 3 dorm em Itapema</x:v>
      </x:c>
      <x:c r="D61" s="192" t="str">
        <x:v>Centro</x:v>
      </x:c>
      <x:c r="E61" s="192" t="n">
        <x:v>-27.10152</x:v>
      </x:c>
      <x:c r="F61" s="192" t="n">
        <x:v>-48.61475</x:v>
      </x:c>
      <x:c r="G61" s="192" t="str">
        <x:v>apartamento</x:v>
      </x:c>
      <x:c r="H61" s="192" t="n">
        <x:v>3</x:v>
      </x:c>
      <x:c r="I61" s="192" t="n">
        <x:v>2</x:v>
      </x:c>
      <x:c r="J61" s="192" t="n">
        <x:v>5</x:v>
      </x:c>
      <x:c r="K61" s="192" t="n">
        <x:v>8</x:v>
      </x:c>
      <x:c r="L61" s="192" t="n">
        <x:v>11</x:v>
      </x:c>
      <x:c r="M61" s="192" t="n">
        <x:v>5</x:v>
      </x:c>
      <x:c r="N61" s="192" t="n">
        <x:v>250</x:v>
      </x:c>
      <x:c r="O61" s="192" t="n">
        <x:v>17</x:v>
      </x:c>
      <x:c r="P61" s="193" t="b">
        <x:v>1</x:v>
      </x:c>
      <x:c r="Q61" s="193" t="b">
        <x:v>0</x:v>
      </x:c>
      <x:c r="R61" s="193" t="b">
        <x:v>1</x:v>
      </x:c>
      <x:c r="S61" s="193" t="b">
        <x:v>1</x:v>
      </x:c>
      <x:c r="T61" s="192" t="n">
        <x:v>62</x:v>
      </x:c>
      <x:c r="U61" s="192" t="n">
        <x:v>28</x:v>
      </x:c>
      <x:c r="V61" s="200" t="n">
        <x:v>0.3111111111</x:v>
      </x:c>
      <x:c r="W61" s="203" t="n">
        <x:v>500</x:v>
      </x:c>
      <x:c r="X61" s="203" t="n">
        <x:v>14846.3758034514</x:v>
      </x:c>
      <x:c r="Y61" s="203" t="n">
        <x:v>38384.0674418401</x:v>
      </x:c>
      <x:c r="Z61" s="193" t="b">
        <x:v>1</x:v>
      </x:c>
      <x:c r="AA61" s="193" t="b">
        <x:v>0</x:v>
      </x:c>
      <x:c r="AB61" s="193" t="b">
        <x:v>1</x:v>
      </x:c>
      <x:c r="AC61" s="193" t="b">
        <x:v>1</x:v>
      </x:c>
      <x:c r="AD61" s="193" t="b">
        <x:v>1</x:v>
      </x:c>
      <x:c r="AE61" s="193" t="b">
        <x:v>0</x:v>
      </x:c>
      <x:c r="AF61" s="193" t="b">
        <x:v>0</x:v>
      </x:c>
      <x:c r="AG61" s="193" t="b">
        <x:v>1</x:v>
      </x:c>
      <x:c r="AH61" s="193" t="b">
        <x:v>1</x:v>
      </x:c>
      <x:c r="AI61" s="193" t="b">
        <x:v>1</x:v>
      </x:c>
      <x:c r="AJ61" s="193" t="b">
        <x:v>1</x:v>
      </x:c>
    </x:row>
    <x:row r="62">
      <x:c r="A62" s="192" t="n">
        <x:v>32592683</x:v>
      </x:c>
      <x:c r="B62" s="192" t="str">
        <x:v>https://www.airbnb.com.br/rooms/32592683</x:v>
      </x:c>
      <x:c r="C62" s="192" t="str">
        <x:v>Linda casa frente Mar pé na areia Itapema SC</x:v>
      </x:c>
      <x:c r="D62" s="192" t="str">
        <x:v>Morretes</x:v>
      </x:c>
      <x:c r="E62" s="192" t="n">
        <x:v>-27.111000061</x:v>
      </x:c>
      <x:c r="F62" s="192" t="n">
        <x:v>-48.611000061</x:v>
      </x:c>
      <x:c r="G62" s="192" t="str">
        <x:v>casa</x:v>
      </x:c>
      <x:c r="H62" s="192" t="n">
        <x:v>4</x:v>
      </x:c>
      <x:c r="I62" s="192" t="n">
        <x:v>3</x:v>
      </x:c>
      <x:c r="J62" s="192" t="n">
        <x:v>5</x:v>
      </x:c>
      <x:c r="K62" s="192" t="n">
        <x:v>12</x:v>
      </x:c>
      <x:c r="L62" s="192" t="n">
        <x:v>10</x:v>
      </x:c>
      <x:c r="M62" s="192" t="n">
        <x:v>5</x:v>
      </x:c>
      <x:c r="N62" s="192" t="n">
        <x:v>300</x:v>
      </x:c>
      <x:c r="O62" s="192" t="n">
        <x:v>24</x:v>
      </x:c>
      <x:c r="P62" s="193" t="b">
        <x:v>0</x:v>
      </x:c>
      <x:c r="Q62" s="193" t="b">
        <x:v>0</x:v>
      </x:c>
      <x:c r="R62" s="193" t="b">
        <x:v>1</x:v>
      </x:c>
      <x:c r="S62" s="193" t="b">
        <x:v>0</x:v>
      </x:c>
      <x:c r="T62" s="192" t="n">
        <x:v>56</x:v>
      </x:c>
      <x:c r="U62" s="192" t="n">
        <x:v>34</x:v>
      </x:c>
      <x:c r="V62" s="200" t="n">
        <x:v>0.3777777778</x:v>
      </x:c>
      <x:c r="W62" s="203" t="n">
        <x:v>1000</x:v>
      </x:c>
      <x:c r="X62" s="203" t="n">
        <x:v>35404.0260785795</x:v>
      </x:c>
      <x:c r="Y62" s="203" t="n">
        <x:v>91534.1590906608</x:v>
      </x:c>
      <x:c r="Z62" s="193" t="b">
        <x:v>1</x:v>
      </x:c>
      <x:c r="AA62" s="193" t="b">
        <x:v>0</x:v>
      </x:c>
      <x:c r="AB62" s="193" t="b">
        <x:v>1</x:v>
      </x:c>
      <x:c r="AC62" s="193" t="b">
        <x:v>1</x:v>
      </x:c>
      <x:c r="AD62" s="193" t="b">
        <x:v>0</x:v>
      </x:c>
      <x:c r="AE62" s="193" t="b">
        <x:v>0</x:v>
      </x:c>
      <x:c r="AF62" s="193" t="b">
        <x:v>1</x:v>
      </x:c>
      <x:c r="AG62" s="193" t="b">
        <x:v>1</x:v>
      </x:c>
      <x:c r="AH62" s="193" t="b">
        <x:v>1</x:v>
      </x:c>
      <x:c r="AI62" s="193" t="b">
        <x:v>1</x:v>
      </x:c>
      <x:c r="AJ62" s="193" t="b">
        <x:v>1</x:v>
      </x:c>
    </x:row>
    <x:row r="63">
      <x:c r="A63" s="192" t="n">
        <x:v>753566944813003100</x:v>
      </x:c>
      <x:c r="B63" s="192" t="str">
        <x:v>https://www.airbnb.com.br/rooms/753566944813003124</x:v>
      </x:c>
      <x:c r="C63" s="192" t="str">
        <x:v>Apartamento charmoso a 30 metros do mar</x:v>
      </x:c>
      <x:c r="D63" s="192" t="str">
        <x:v>Centro</x:v>
      </x:c>
      <x:c r="E63" s="192" t="n">
        <x:v>-27.1009998322</x:v>
      </x:c>
      <x:c r="F63" s="192" t="n">
        <x:v>-48.6139984131</x:v>
      </x:c>
      <x:c r="G63" s="192" t="str">
        <x:v>apartamento</x:v>
      </x:c>
      <x:c r="H63" s="192" t="n">
        <x:v>1</x:v>
      </x:c>
      <x:c r="I63" s="192" t="n">
        <x:v>2</x:v>
      </x:c>
      <x:c r="J63" s="192" t="n">
        <x:v>2</x:v>
      </x:c>
      <x:c r="K63" s="192" t="n">
        <x:v>3</x:v>
      </x:c>
      <x:c r="L63" s="192" t="n">
        <x:v>15</x:v>
      </x:c>
      <x:c r="M63" s="192" t="n">
        <x:v>4.9299998283</x:v>
      </x:c>
      <x:c r="N63" s="192" t="n">
        <x:v>200</x:v>
      </x:c>
      <x:c r="O63" s="192" t="n">
        <x:v>37</x:v>
      </x:c>
      <x:c r="P63" s="193" t="b">
        <x:v>1</x:v>
      </x:c>
      <x:c r="Q63" s="193" t="b">
        <x:v>0</x:v>
      </x:c>
      <x:c r="R63" s="193" t="b">
        <x:v>1</x:v>
      </x:c>
      <x:c r="S63" s="193" t="b">
        <x:v>1</x:v>
      </x:c>
      <x:c r="T63" s="192" t="n">
        <x:v>77</x:v>
      </x:c>
      <x:c r="U63" s="192" t="n">
        <x:v>13</x:v>
      </x:c>
      <x:c r="V63" s="200" t="n">
        <x:v>0.1444444444</x:v>
      </x:c>
      <x:c r="W63" s="203" t="n">
        <x:v>550</x:v>
      </x:c>
      <x:c r="X63" s="203" t="n">
        <x:v>7213.7404902147</x:v>
      </x:c>
      <x:c r="Y63" s="203" t="n">
        <x:v>18650.5248924092</x:v>
      </x:c>
      <x:c r="Z63" s="193" t="b">
        <x:v>1</x:v>
      </x:c>
      <x:c r="AA63" s="193" t="b">
        <x:v>0</x:v>
      </x:c>
      <x:c r="AB63" s="193" t="b">
        <x:v>1</x:v>
      </x:c>
      <x:c r="AC63" s="193" t="b">
        <x:v>1</x:v>
      </x:c>
      <x:c r="AD63" s="193" t="b">
        <x:v>0</x:v>
      </x:c>
      <x:c r="AE63" s="193" t="b">
        <x:v>1</x:v>
      </x:c>
      <x:c r="AF63" s="193" t="b">
        <x:v>1</x:v>
      </x:c>
      <x:c r="AG63" s="193" t="b">
        <x:v>1</x:v>
      </x:c>
      <x:c r="AH63" s="193" t="b">
        <x:v>1</x:v>
      </x:c>
      <x:c r="AI63" s="193" t="b">
        <x:v>1</x:v>
      </x:c>
      <x:c r="AJ63" s="193" t="b">
        <x:v>1</x:v>
      </x:c>
    </x:row>
    <x:row r="64">
      <x:c r="A64" s="192" t="n">
        <x:v>47891397</x:v>
      </x:c>
      <x:c r="B64" s="192" t="str">
        <x:v>https://www.airbnb.com.br/rooms/47891397</x:v>
      </x:c>
      <x:c r="C64" s="192" t="str">
        <x:v>Ótimo apartamento no centro de Meia Praia</x:v>
      </x:c>
      <x:c r="D64" s="192" t="str">
        <x:v>Meia Praia</x:v>
      </x:c>
      <x:c r="E64" s="192" t="n">
        <x:v>-27.13258</x:v>
      </x:c>
      <x:c r="F64" s="192" t="n">
        <x:v>-48.60086</x:v>
      </x:c>
      <x:c r="G64" s="192" t="str">
        <x:v>apartamento</x:v>
      </x:c>
      <x:c r="H64" s="192" t="n">
        <x:v>3</x:v>
      </x:c>
      <x:c r="I64" s="192" t="n">
        <x:v>2</x:v>
      </x:c>
      <x:c r="J64" s="192" t="n">
        <x:v>3</x:v>
      </x:c>
      <x:c r="K64" s="192" t="n">
        <x:v>6</x:v>
      </x:c>
      <x:c r="L64" s="192" t="n">
        <x:v>8</x:v>
      </x:c>
      <x:c r="M64" s="192" t="n">
        <x:v>5</x:v>
      </x:c>
      <x:c r="N64" s="192" t="n">
        <x:v>250</x:v>
      </x:c>
      <x:c r="O64" s="192" t="n">
        <x:v>1</x:v>
      </x:c>
      <x:c r="P64" s="193" t="b">
        <x:v>0</x:v>
      </x:c>
      <x:c r="Q64" s="193" t="b">
        <x:v>0</x:v>
      </x:c>
      <x:c r="R64" s="193" t="b">
        <x:v>0</x:v>
      </x:c>
      <x:c r="S64" s="193" t="b">
        <x:v>0</x:v>
      </x:c>
      <x:c r="T64" s="192" t="n">
        <x:v>76</x:v>
      </x:c>
      <x:c r="U64" s="192" t="n">
        <x:v>14</x:v>
      </x:c>
      <x:c r="V64" s="200" t="n">
        <x:v>0.1555555556</x:v>
      </x:c>
      <x:c r="W64" s="203" t="n">
        <x:v>490</x:v>
      </x:c>
      <x:c r="X64" s="203" t="n">
        <x:v>6894.6849594554</x:v>
      </x:c>
      <x:c r="Y64" s="203" t="n">
        <x:v>17825.6334055919</x:v>
      </x:c>
      <x:c r="Z64" s="193" t="b">
        <x:v>1</x:v>
      </x:c>
      <x:c r="AA64" s="193" t="b">
        <x:v>0</x:v>
      </x:c>
      <x:c r="AB64" s="193" t="b">
        <x:v>1</x:v>
      </x:c>
      <x:c r="AC64" s="193" t="b">
        <x:v>1</x:v>
      </x:c>
      <x:c r="AD64" s="193" t="b">
        <x:v>1</x:v>
      </x:c>
      <x:c r="AE64" s="193" t="b">
        <x:v>1</x:v>
      </x:c>
      <x:c r="AF64" s="193" t="b">
        <x:v>1</x:v>
      </x:c>
      <x:c r="AG64" s="193" t="b">
        <x:v>1</x:v>
      </x:c>
      <x:c r="AH64" s="193" t="b">
        <x:v>1</x:v>
      </x:c>
      <x:c r="AI64" s="193" t="b">
        <x:v>1</x:v>
      </x:c>
      <x:c r="AJ64" s="193" t="b">
        <x:v>1</x:v>
      </x:c>
    </x:row>
    <x:row r="65">
      <x:c r="A65" s="192" t="n">
        <x:v>2951220</x:v>
      </x:c>
      <x:c r="B65" s="192" t="str">
        <x:v>https://www.airbnb.com.br/rooms/2951220</x:v>
      </x:c>
      <x:c r="C65" s="192" t="str">
        <x:v>Lindo apt em Itapema! Vista do mar! 3 Q, 2 G, BBQ</x:v>
      </x:c>
      <x:c r="D65" s="192" t="str">
        <x:v>Tabuleiro dos Oliveiras</x:v>
      </x:c>
      <x:c r="E65" s="192" t="n">
        <x:v>-27.1071926344</x:v>
      </x:c>
      <x:c r="F65" s="192" t="n">
        <x:v>-48.6149476756</x:v>
      </x:c>
      <x:c r="G65" s="192" t="str">
        <x:v>apartamento</x:v>
      </x:c>
      <x:c r="H65" s="192" t="n">
        <x:v>3</x:v>
      </x:c>
      <x:c r="I65" s="192" t="n">
        <x:v>2</x:v>
      </x:c>
      <x:c r="J65" s="192" t="n">
        <x:v>4</x:v>
      </x:c>
      <x:c r="K65" s="192" t="n">
        <x:v>5</x:v>
      </x:c>
      <x:c r="L65" s="192" t="n">
        <x:v>236</x:v>
      </x:c>
      <x:c r="M65" s="192" t="n">
        <x:v>4.8800001144</x:v>
      </x:c>
      <x:c r="N65" s="192" t="n">
        <x:v>200</x:v>
      </x:c>
      <x:c r="O65" s="192" t="n">
        <x:v>16</x:v>
      </x:c>
      <x:c r="P65" s="193" t="b">
        <x:v>0</x:v>
      </x:c>
      <x:c r="Q65" s="193" t="b">
        <x:v>0</x:v>
      </x:c>
      <x:c r="R65" s="193" t="b">
        <x:v>0</x:v>
      </x:c>
      <x:c r="S65" s="193" t="b">
        <x:v>1</x:v>
      </x:c>
      <x:c r="T65" s="192" t="n">
        <x:v>85</x:v>
      </x:c>
      <x:c r="U65" s="192" t="n">
        <x:v>5</x:v>
      </x:c>
      <x:c r="V65" s="200" t="n">
        <x:v>0.0555555556</x:v>
      </x:c>
      <x:c r="W65" s="203" t="n">
        <x:v>670</x:v>
      </x:c>
      <x:c r="X65" s="203" t="n">
        <x:v>3462.3356037966</x:v>
      </x:c>
      <x:c r="Y65" s="203" t="n">
        <x:v>8951.5801756491</x:v>
      </x:c>
      <x:c r="Z65" s="193" t="b">
        <x:v>1</x:v>
      </x:c>
      <x:c r="AA65" s="193" t="b">
        <x:v>1</x:v>
      </x:c>
      <x:c r="AB65" s="193" t="b">
        <x:v>1</x:v>
      </x:c>
      <x:c r="AC65" s="193" t="b">
        <x:v>1</x:v>
      </x:c>
      <x:c r="AD65" s="193" t="b">
        <x:v>1</x:v>
      </x:c>
      <x:c r="AE65" s="193" t="b">
        <x:v>1</x:v>
      </x:c>
      <x:c r="AF65" s="193" t="b">
        <x:v>1</x:v>
      </x:c>
      <x:c r="AG65" s="193" t="b">
        <x:v>0</x:v>
      </x:c>
      <x:c r="AH65" s="193" t="b">
        <x:v>1</x:v>
      </x:c>
      <x:c r="AI65" s="193" t="b">
        <x:v>1</x:v>
      </x:c>
      <x:c r="AJ65" s="193" t="b">
        <x:v>1</x:v>
      </x:c>
    </x:row>
    <x:row r="66">
      <x:c r="A66" s="192" t="n">
        <x:v>16451544</x:v>
      </x:c>
      <x:c r="B66" s="192" t="str">
        <x:v>https://www.airbnb.com.br/rooms/16451544</x:v>
      </x:c>
      <x:c r="C66" s="192" t="str">
        <x:v>Apartamento em Itapema Vista Beira Mar</x:v>
      </x:c>
      <x:c r="D66" s="192" t="str">
        <x:v>Centro</x:v>
      </x:c>
      <x:c r="E66" s="192" t="n">
        <x:v>-27.0979995728</x:v>
      </x:c>
      <x:c r="F66" s="192" t="n">
        <x:v>-48.6150016785</x:v>
      </x:c>
      <x:c r="G66" s="192" t="str">
        <x:v>apartamento</x:v>
      </x:c>
      <x:c r="H66" s="192" t="n">
        <x:v>3</x:v>
      </x:c>
      <x:c r="I66" s="192" t="n">
        <x:v>2</x:v>
      </x:c>
      <x:c r="J66" s="192" t="n">
        <x:v>4</x:v>
      </x:c>
      <x:c r="K66" s="192" t="n">
        <x:v>6</x:v>
      </x:c>
      <x:c r="L66" s="192" t="n">
        <x:v>11</x:v>
      </x:c>
      <x:c r="M66" s="192" t="n">
        <x:v>5</x:v>
      </x:c>
      <x:c r="N66" s="192" t="n">
        <x:v>200</x:v>
      </x:c>
      <x:c r="O66" s="192" t="n">
        <x:v>14</x:v>
      </x:c>
      <x:c r="P66" s="193" t="b">
        <x:v>0</x:v>
      </x:c>
      <x:c r="Q66" s="193" t="b">
        <x:v>0</x:v>
      </x:c>
      <x:c r="R66" s="193" t="b">
        <x:v>1</x:v>
      </x:c>
      <x:c r="S66" s="193" t="b">
        <x:v>0</x:v>
      </x:c>
      <x:c r="T66" s="192" t="n">
        <x:v>31</x:v>
      </x:c>
      <x:c r="U66" s="192" t="n">
        <x:v>59</x:v>
      </x:c>
      <x:c r="V66" s="200" t="n">
        <x:v>0.6555555556</x:v>
      </x:c>
      <x:c r="W66" s="203" t="n">
        <x:v>500</x:v>
      </x:c>
      <x:c r="X66" s="203" t="n">
        <x:v>30184.6849544508</x:v>
      </x:c>
      <x:c r="Y66" s="203" t="n">
        <x:v>78039.9875593197</x:v>
      </x:c>
      <x:c r="Z66" s="193" t="b">
        <x:v>0</x:v>
      </x:c>
      <x:c r="AA66" s="193" t="b">
        <x:v>0</x:v>
      </x:c>
      <x:c r="AB66" s="193" t="b">
        <x:v>1</x:v>
      </x:c>
      <x:c r="AC66" s="193" t="b">
        <x:v>1</x:v>
      </x:c>
      <x:c r="AD66" s="193" t="b">
        <x:v>0</x:v>
      </x:c>
      <x:c r="AE66" s="193" t="b">
        <x:v>1</x:v>
      </x:c>
      <x:c r="AF66" s="193" t="b">
        <x:v>1</x:v>
      </x:c>
      <x:c r="AG66" s="193" t="b">
        <x:v>1</x:v>
      </x:c>
      <x:c r="AH66" s="193" t="b">
        <x:v>1</x:v>
      </x:c>
      <x:c r="AI66" s="193" t="b">
        <x:v>1</x:v>
      </x:c>
      <x:c r="AJ66" s="193" t="b">
        <x:v>0</x:v>
      </x:c>
    </x:row>
    <x:row r="67">
      <x:c r="A67" s="192" t="n">
        <x:v>28987242</x:v>
      </x:c>
      <x:c r="B67" s="192" t="str">
        <x:v>https://www.airbnb.com.br/rooms/28987242</x:v>
      </x:c>
      <x:c r="C67" s="192" t="str">
        <x:v>PÉ NA AREIA E GRANDE! 4 QUARTOS! ÓTIMA LOCALIZAÇÃO</x:v>
      </x:c>
      <x:c r="D67" s="192" t="str">
        <x:v>Meia Praia</x:v>
      </x:c>
      <x:c r="E67" s="192" t="n">
        <x:v>-27.12571</x:v>
      </x:c>
      <x:c r="F67" s="192" t="n">
        <x:v>-48.60316</x:v>
      </x:c>
      <x:c r="G67" s="192" t="str">
        <x:v>apartamento</x:v>
      </x:c>
      <x:c r="H67" s="192" t="n">
        <x:v>4</x:v>
      </x:c>
      <x:c r="I67" s="192" t="n">
        <x:v>2</x:v>
      </x:c>
      <x:c r="J67" s="192" t="n">
        <x:v>5</x:v>
      </x:c>
      <x:c r="K67" s="192" t="n">
        <x:v>10</x:v>
      </x:c>
      <x:c r="L67" s="192" t="n">
        <x:v>47</x:v>
      </x:c>
      <x:c r="M67" s="192" t="n">
        <x:v>4.9400000572</x:v>
      </x:c>
      <x:c r="N67" s="192" t="n">
        <x:v>297</x:v>
      </x:c>
      <x:c r="O67" s="192" t="n">
        <x:v>34</x:v>
      </x:c>
      <x:c r="P67" s="193" t="b">
        <x:v>0</x:v>
      </x:c>
      <x:c r="Q67" s="193" t="b">
        <x:v>0</x:v>
      </x:c>
      <x:c r="R67" s="193" t="b">
        <x:v>1</x:v>
      </x:c>
      <x:c r="S67" s="193" t="b">
        <x:v>1</x:v>
      </x:c>
      <x:c r="T67" s="192" t="n">
        <x:v>28</x:v>
      </x:c>
      <x:c r="U67" s="192" t="n">
        <x:v>62</x:v>
      </x:c>
      <x:c r="V67" s="200" t="n">
        <x:v>0.6888888889</x:v>
      </x:c>
      <x:c r="W67" s="203" t="n">
        <x:v>507</x:v>
      </x:c>
      <x:c r="X67" s="203" t="n">
        <x:v>31388.3831436319</x:v>
      </x:c>
      <x:c r="Y67" s="203" t="n">
        <x:v>81152.0489192649</x:v>
      </x:c>
      <x:c r="Z67" s="193" t="b">
        <x:v>0</x:v>
      </x:c>
      <x:c r="AA67" s="193" t="b">
        <x:v>0</x:v>
      </x:c>
      <x:c r="AB67" s="193" t="b">
        <x:v>1</x:v>
      </x:c>
      <x:c r="AC67" s="193" t="b">
        <x:v>1</x:v>
      </x:c>
      <x:c r="AD67" s="193" t="b">
        <x:v>1</x:v>
      </x:c>
      <x:c r="AE67" s="193" t="b">
        <x:v>1</x:v>
      </x:c>
      <x:c r="AF67" s="193" t="b">
        <x:v>1</x:v>
      </x:c>
      <x:c r="AG67" s="193" t="b">
        <x:v>1</x:v>
      </x:c>
      <x:c r="AH67" s="193" t="b">
        <x:v>1</x:v>
      </x:c>
      <x:c r="AI67" s="193" t="b">
        <x:v>1</x:v>
      </x:c>
      <x:c r="AJ67" s="193" t="b">
        <x:v>1</x:v>
      </x:c>
    </x:row>
    <x:row r="68">
      <x:c r="A68" s="192" t="n">
        <x:v>1075503699104403100</x:v>
      </x:c>
      <x:c r="B68" s="192" t="str">
        <x:v>https://www.airbnb.com.br/rooms/1075503699104403085</x:v>
      </x:c>
      <x:c r="C68" s="192" t="str">
        <x:v>Depto. Meia Praia, Itapema, SC.</x:v>
      </x:c>
      <x:c r="D68" s="192" t="str">
        <x:v>Meia Praia</x:v>
      </x:c>
      <x:c r="E68" s="192" t="n">
        <x:v>-27.1359996796</x:v>
      </x:c>
      <x:c r="F68" s="192" t="n">
        <x:v>-48.59400177</x:v>
      </x:c>
      <x:c r="G68" s="192" t="str">
        <x:v>apartamento</x:v>
      </x:c>
      <x:c r="H68" s="192" t="n">
        <x:v>4</x:v>
      </x:c>
      <x:c r="I68" s="192" t="n">
        <x:v>3</x:v>
      </x:c>
      <x:c r="J68" s="192" t="n">
        <x:v>4</x:v>
      </x:c>
      <x:c r="K68" s="192" t="n">
        <x:v>12</x:v>
      </x:c>
      <x:c r="L68" s="192" t="n">
        <x:v>1</x:v>
      </x:c>
      <x:c r="M68" s="192" t="n">
        <x:v>5</x:v>
      </x:c>
      <x:c r="N68" s="192" t="n">
        <x:v>250</x:v>
      </x:c>
      <x:c r="O68" s="192" t="n">
        <x:v>26</x:v>
      </x:c>
      <x:c r="P68" s="193" t="b">
        <x:v>0</x:v>
      </x:c>
      <x:c r="Q68" s="193" t="b">
        <x:v>0</x:v>
      </x:c>
      <x:c r="R68" s="193" t="b">
        <x:v>0</x:v>
      </x:c>
      <x:c r="S68" s="193" t="b">
        <x:v>0</x:v>
      </x:c>
      <x:c r="T68" s="192" t="n">
        <x:v>69</x:v>
      </x:c>
      <x:c r="U68" s="192" t="n">
        <x:v>21</x:v>
      </x:c>
      <x:c r="V68" s="200" t="n">
        <x:v>0.2333333333</x:v>
      </x:c>
      <x:c r="W68" s="203" t="n">
        <x:v>800</x:v>
      </x:c>
      <x:c r="X68" s="203" t="n">
        <x:v>16711.5908980741</x:v>
      </x:c>
      <x:c r="Y68" s="203" t="n">
        <x:v>43206.4256343958</x:v>
      </x:c>
      <x:c r="Z68" s="193" t="b">
        <x:v>1</x:v>
      </x:c>
      <x:c r="AA68" s="193" t="b">
        <x:v>0</x:v>
      </x:c>
      <x:c r="AB68" s="193" t="b">
        <x:v>1</x:v>
      </x:c>
      <x:c r="AC68" s="193" t="b">
        <x:v>1</x:v>
      </x:c>
      <x:c r="AD68" s="193" t="b">
        <x:v>0</x:v>
      </x:c>
      <x:c r="AE68" s="193" t="b">
        <x:v>1</x:v>
      </x:c>
      <x:c r="AF68" s="193" t="b">
        <x:v>1</x:v>
      </x:c>
      <x:c r="AG68" s="193" t="b">
        <x:v>1</x:v>
      </x:c>
      <x:c r="AH68" s="193" t="b">
        <x:v>1</x:v>
      </x:c>
      <x:c r="AI68" s="193" t="b">
        <x:v>1</x:v>
      </x:c>
      <x:c r="AJ68" s="193" t="b">
        <x:v>0</x:v>
      </x:c>
    </x:row>
    <x:row r="69">
      <x:c r="A69" s="192" t="n">
        <x:v>29800671</x:v>
      </x:c>
      <x:c r="B69" s="192" t="str">
        <x:v>https://www.airbnb.com.br/rooms/29800671</x:v>
      </x:c>
      <x:c r="C69" s="192" t="str">
        <x:v>MELHOR LOCAL - QUADRA MAR - Itapema Meia Praia</x:v>
      </x:c>
      <x:c r="D69" s="192" t="str">
        <x:v>Meia Praia</x:v>
      </x:c>
      <x:c r="E69" s="192" t="n">
        <x:v>-27.13655</x:v>
      </x:c>
      <x:c r="F69" s="192" t="n">
        <x:v>-48.5951</x:v>
      </x:c>
      <x:c r="G69" s="192" t="str">
        <x:v>apartamento</x:v>
      </x:c>
      <x:c r="H69" s="192" t="n">
        <x:v>3</x:v>
      </x:c>
      <x:c r="I69" s="192" t="n">
        <x:v>2</x:v>
      </x:c>
      <x:c r="J69" s="192" t="n">
        <x:v>4</x:v>
      </x:c>
      <x:c r="K69" s="192" t="n">
        <x:v>8</x:v>
      </x:c>
      <x:c r="L69" s="192" t="n">
        <x:v>120</x:v>
      </x:c>
      <x:c r="M69" s="192" t="n">
        <x:v>4.8000001907</x:v>
      </x:c>
      <x:c r="N69" s="192" t="n">
        <x:v>196</x:v>
      </x:c>
      <x:c r="O69" s="192" t="n">
        <x:v>40</x:v>
      </x:c>
      <x:c r="P69" s="193" t="b">
        <x:v>0</x:v>
      </x:c>
      <x:c r="Q69" s="193" t="b">
        <x:v>0</x:v>
      </x:c>
      <x:c r="R69" s="193" t="b">
        <x:v>0</x:v>
      </x:c>
      <x:c r="S69" s="193" t="b">
        <x:v>1</x:v>
      </x:c>
      <x:c r="T69" s="192" t="n">
        <x:v>75</x:v>
      </x:c>
      <x:c r="U69" s="192" t="n">
        <x:v>15</x:v>
      </x:c>
      <x:c r="V69" s="200" t="n">
        <x:v>0.1666666667</x:v>
      </x:c>
      <x:c r="W69" s="203" t="n">
        <x:v>546</x:v>
      </x:c>
      <x:c r="X69" s="203" t="n">
        <x:v>8175.8387146406</x:v>
      </x:c>
      <x:c r="Y69" s="203" t="n">
        <x:v>21137.9496768105</x:v>
      </x:c>
      <x:c r="Z69" s="193" t="b">
        <x:v>1</x:v>
      </x:c>
      <x:c r="AA69" s="193" t="b">
        <x:v>0</x:v>
      </x:c>
      <x:c r="AB69" s="193" t="b">
        <x:v>1</x:v>
      </x:c>
      <x:c r="AC69" s="193" t="b">
        <x:v>1</x:v>
      </x:c>
      <x:c r="AD69" s="193" t="b">
        <x:v>0</x:v>
      </x:c>
      <x:c r="AE69" s="193" t="b">
        <x:v>1</x:v>
      </x:c>
      <x:c r="AF69" s="193" t="b">
        <x:v>1</x:v>
      </x:c>
      <x:c r="AG69" s="193" t="b">
        <x:v>1</x:v>
      </x:c>
      <x:c r="AH69" s="193" t="b">
        <x:v>1</x:v>
      </x:c>
      <x:c r="AI69" s="193" t="b">
        <x:v>1</x:v>
      </x:c>
      <x:c r="AJ69" s="193" t="b">
        <x:v>1</x:v>
      </x:c>
    </x:row>
    <x:row r="70">
      <x:c r="A70" s="192" t="n">
        <x:v>15980018</x:v>
      </x:c>
      <x:c r="B70" s="192" t="str">
        <x:v>https://www.airbnb.com.br/rooms/15980018</x:v>
      </x:c>
      <x:c r="C70" s="192" t="str">
        <x:v>Lindo apartamento! Beira mar!</x:v>
      </x:c>
      <x:c r="D70" s="192" t="str">
        <x:v>Centro</x:v>
      </x:c>
      <x:c r="E70" s="192" t="n">
        <x:v>-27.10304</x:v>
      </x:c>
      <x:c r="F70" s="192" t="n">
        <x:v>-48.61346</x:v>
      </x:c>
      <x:c r="G70" s="192" t="str">
        <x:v>apartamento</x:v>
      </x:c>
      <x:c r="H70" s="192" t="n">
        <x:v>2</x:v>
      </x:c>
      <x:c r="I70" s="192" t="n">
        <x:v>2</x:v>
      </x:c>
      <x:c r="J70" s="192" t="n">
        <x:v>6</x:v>
      </x:c>
      <x:c r="K70" s="192" t="n">
        <x:v>5</x:v>
      </x:c>
      <x:c r="L70" s="192" t="n">
        <x:v>103</x:v>
      </x:c>
      <x:c r="M70" s="192" t="n">
        <x:v>4.9000000954</x:v>
      </x:c>
      <x:c r="N70" s="192" t="n">
        <x:v>130</x:v>
      </x:c>
      <x:c r="O70" s="192" t="n">
        <x:v>26</x:v>
      </x:c>
      <x:c r="P70" s="193" t="b">
        <x:v>0</x:v>
      </x:c>
      <x:c r="Q70" s="193" t="b">
        <x:v>0</x:v>
      </x:c>
      <x:c r="R70" s="193" t="b">
        <x:v>1</x:v>
      </x:c>
      <x:c r="S70" s="193" t="b">
        <x:v>1</x:v>
      </x:c>
      <x:c r="T70" s="192" t="n">
        <x:v>22</x:v>
      </x:c>
      <x:c r="U70" s="192" t="n">
        <x:v>68</x:v>
      </x:c>
      <x:c r="V70" s="200" t="n">
        <x:v>0.7555555556</x:v>
      </x:c>
      <x:c r="W70" s="203" t="n">
        <x:v>400</x:v>
      </x:c>
      <x:c r="X70" s="203" t="n">
        <x:v>27721.2707457049</x:v>
      </x:c>
      <x:c r="Y70" s="203" t="n">
        <x:v>71671.0354071246</x:v>
      </x:c>
      <x:c r="Z70" s="193" t="b">
        <x:v>0</x:v>
      </x:c>
      <x:c r="AA70" s="193" t="b">
        <x:v>0</x:v>
      </x:c>
      <x:c r="AB70" s="193" t="b">
        <x:v>1</x:v>
      </x:c>
      <x:c r="AC70" s="193" t="b">
        <x:v>1</x:v>
      </x:c>
      <x:c r="AD70" s="193" t="b">
        <x:v>1</x:v>
      </x:c>
      <x:c r="AE70" s="193" t="b">
        <x:v>1</x:v>
      </x:c>
      <x:c r="AF70" s="193" t="b">
        <x:v>1</x:v>
      </x:c>
      <x:c r="AG70" s="193" t="b">
        <x:v>1</x:v>
      </x:c>
      <x:c r="AH70" s="193" t="b">
        <x:v>1</x:v>
      </x:c>
      <x:c r="AI70" s="193" t="b">
        <x:v>1</x:v>
      </x:c>
      <x:c r="AJ70" s="193" t="b">
        <x:v>1</x:v>
      </x:c>
    </x:row>
    <x:row r="71">
      <x:c r="A71" s="192" t="n">
        <x:v>705946468067026300</x:v>
      </x:c>
      <x:c r="B71" s="192" t="str">
        <x:v>https://www.airbnb.com.br/rooms/705946468067026302</x:v>
      </x:c>
      <x:c r="C71" s="192" t="str">
        <x:v>Aconchegante apto 350 m da praia</x:v>
      </x:c>
      <x:c r="D71" s="192" t="str">
        <x:v>Meia Praia</x:v>
      </x:c>
      <x:c r="E71" s="192" t="n">
        <x:v>-27.14038</x:v>
      </x:c>
      <x:c r="F71" s="192" t="n">
        <x:v>-48.59706</x:v>
      </x:c>
      <x:c r="G71" s="192" t="str">
        <x:v>apartamento</x:v>
      </x:c>
      <x:c r="H71" s="192" t="n">
        <x:v>2</x:v>
      </x:c>
      <x:c r="I71" s="192" t="n">
        <x:v>2</x:v>
      </x:c>
      <x:c r="J71" s="192" t="n">
        <x:v>4</x:v>
      </x:c>
      <x:c r="K71" s="192" t="n">
        <x:v>6</x:v>
      </x:c>
      <x:c r="L71" s="192" t="n">
        <x:v>22</x:v>
      </x:c>
      <x:c r="M71" s="192" t="n">
        <x:v>5</x:v>
      </x:c>
      <x:c r="N71" s="192" t="n">
        <x:v>300</x:v>
      </x:c>
      <x:c r="O71" s="192" t="n">
        <x:v>26</x:v>
      </x:c>
      <x:c r="P71" s="193" t="b">
        <x:v>0</x:v>
      </x:c>
      <x:c r="Q71" s="193" t="b">
        <x:v>0</x:v>
      </x:c>
      <x:c r="R71" s="193" t="b">
        <x:v>1</x:v>
      </x:c>
      <x:c r="S71" s="193" t="b">
        <x:v>1</x:v>
      </x:c>
      <x:c r="T71" s="192" t="n">
        <x:v>60</x:v>
      </x:c>
      <x:c r="U71" s="192" t="n">
        <x:v>30</x:v>
      </x:c>
      <x:c r="V71" s="200" t="n">
        <x:v>0.3333333333</x:v>
      </x:c>
      <x:c r="W71" s="203" t="n">
        <x:v>380</x:v>
      </x:c>
      <x:c r="X71" s="203" t="n">
        <x:v>11124.6155048526</x:v>
      </x:c>
      <x:c r="Y71" s="203" t="n">
        <x:v>28761.7663365044</x:v>
      </x:c>
      <x:c r="Z71" s="193" t="b">
        <x:v>1</x:v>
      </x:c>
      <x:c r="AA71" s="193" t="b">
        <x:v>0</x:v>
      </x:c>
      <x:c r="AB71" s="193" t="b">
        <x:v>1</x:v>
      </x:c>
      <x:c r="AC71" s="193" t="b">
        <x:v>1</x:v>
      </x:c>
      <x:c r="AD71" s="193" t="b">
        <x:v>1</x:v>
      </x:c>
      <x:c r="AE71" s="193" t="b">
        <x:v>1</x:v>
      </x:c>
      <x:c r="AF71" s="193" t="b">
        <x:v>1</x:v>
      </x:c>
      <x:c r="AG71" s="193" t="b">
        <x:v>1</x:v>
      </x:c>
      <x:c r="AH71" s="193" t="b">
        <x:v>1</x:v>
      </x:c>
      <x:c r="AI71" s="193" t="b">
        <x:v>1</x:v>
      </x:c>
      <x:c r="AJ71" s="193" t="b">
        <x:v>1</x:v>
      </x:c>
    </x:row>
    <x:row r="72">
      <x:c r="A72" s="192" t="n">
        <x:v>23023313</x:v>
      </x:c>
      <x:c r="B72" s="192" t="str">
        <x:v>https://www.airbnb.com.br/rooms/23023313</x:v>
      </x:c>
      <x:c r="C72" s="192" t="str">
        <x:v>Apto 2 dorm climatizado beira mar em itapema/sc</x:v>
      </x:c>
      <x:c r="D72" s="192" t="str">
        <x:v>Morretes</x:v>
      </x:c>
      <x:c r="E72" s="192" t="n">
        <x:v>-27.1159992218</x:v>
      </x:c>
      <x:c r="F72" s="192" t="n">
        <x:v>-48.6090011597</x:v>
      </x:c>
      <x:c r="G72" s="192" t="str">
        <x:v>apartamento</x:v>
      </x:c>
      <x:c r="H72" s="192" t="n">
        <x:v>2</x:v>
      </x:c>
      <x:c r="I72" s="192" t="n">
        <x:v>1</x:v>
      </x:c>
      <x:c r="J72" s="192" t="n">
        <x:v>2</x:v>
      </x:c>
      <x:c r="K72" s="192" t="n">
        <x:v>6</x:v>
      </x:c>
      <x:c r="L72" s="192" t="n">
        <x:v>11</x:v>
      </x:c>
      <x:c r="M72" s="192" t="n">
        <x:v>4.8200001717</x:v>
      </x:c>
      <x:c r="N72" s="192" t="n">
        <x:v>300</x:v>
      </x:c>
      <x:c r="O72" s="192" t="n">
        <x:v>38</x:v>
      </x:c>
      <x:c r="P72" s="193" t="b">
        <x:v>0</x:v>
      </x:c>
      <x:c r="Q72" s="193" t="b">
        <x:v>0</x:v>
      </x:c>
      <x:c r="R72" s="193" t="b">
        <x:v>1</x:v>
      </x:c>
      <x:c r="S72" s="193" t="b">
        <x:v>0</x:v>
      </x:c>
      <x:c r="T72" s="192" t="n">
        <x:v>68</x:v>
      </x:c>
      <x:c r="U72" s="192" t="n">
        <x:v>22</x:v>
      </x:c>
      <x:c r="V72" s="200" t="n">
        <x:v>0.2444444444</x:v>
      </x:c>
      <x:c r="W72" s="203" t="n">
        <x:v>550</x:v>
      </x:c>
      <x:c r="X72" s="203" t="n">
        <x:v>11971.0145513291</x:v>
      </x:c>
      <x:c r="Y72" s="203" t="n">
        <x:v>30950.0605379154</x:v>
      </x:c>
      <x:c r="Z72" s="193" t="b">
        <x:v>1</x:v>
      </x:c>
      <x:c r="AA72" s="193" t="b">
        <x:v>0</x:v>
      </x:c>
      <x:c r="AB72" s="193" t="b">
        <x:v>1</x:v>
      </x:c>
      <x:c r="AC72" s="193" t="b">
        <x:v>1</x:v>
      </x:c>
      <x:c r="AD72" s="193" t="b">
        <x:v>1</x:v>
      </x:c>
      <x:c r="AE72" s="193" t="b">
        <x:v>1</x:v>
      </x:c>
      <x:c r="AF72" s="193" t="b">
        <x:v>1</x:v>
      </x:c>
      <x:c r="AG72" s="193" t="b">
        <x:v>1</x:v>
      </x:c>
      <x:c r="AH72" s="193" t="b">
        <x:v>1</x:v>
      </x:c>
      <x:c r="AI72" s="193" t="b">
        <x:v>1</x:v>
      </x:c>
      <x:c r="AJ72" s="193" t="b">
        <x:v>1</x:v>
      </x:c>
    </x:row>
    <x:row r="73">
      <x:c r="A73" s="192" t="n">
        <x:v>1183418487997408800</x:v>
      </x:c>
      <x:c r="B73" s="192" t="str">
        <x:v>https://www.airbnb.com.br/rooms/1183418487997408853</x:v>
      </x:c>
      <x:c r="C73" s="192" t="str">
        <x:v>Apto a 280m da praia c/ vista mar! - MHF0704</x:v>
      </x:c>
      <x:c r="D73" s="192" t="str">
        <x:v>Centro</x:v>
      </x:c>
      <x:c r="E73" s="192" t="n">
        <x:v>-27.0936176734</x:v>
      </x:c>
      <x:c r="F73" s="192" t="n">
        <x:v>-48.6130842198</x:v>
      </x:c>
      <x:c r="G73" s="192" t="str">
        <x:v>apartamento</x:v>
      </x:c>
      <x:c r="H73" s="192" t="n">
        <x:v>1</x:v>
      </x:c>
      <x:c r="I73" s="192" t="n">
        <x:v>1</x:v>
      </x:c>
      <x:c r="J73" s="192" t="n">
        <x:v>2</x:v>
      </x:c>
      <x:c r="K73" s="192" t="n">
        <x:v>4</x:v>
      </x:c>
      <x:c r="L73" s="192" t="n">
        <x:v>20</x:v>
      </x:c>
      <x:c r="M73" s="192" t="n">
        <x:v>4.75</x:v>
      </x:c>
      <x:c r="N73" s="192" t="n">
        <x:v>190</x:v>
      </x:c>
      <x:c r="O73" s="192" t="n">
        <x:v>30</x:v>
      </x:c>
      <x:c r="P73" s="193" t="b">
        <x:v>1</x:v>
      </x:c>
      <x:c r="Q73" s="193" t="b">
        <x:v>1</x:v>
      </x:c>
      <x:c r="R73" s="193" t="b">
        <x:v>0</x:v>
      </x:c>
      <x:c r="S73" s="193" t="b">
        <x:v>0</x:v>
      </x:c>
      <x:c r="T73" s="192" t="n">
        <x:v>63</x:v>
      </x:c>
      <x:c r="U73" s="192" t="n">
        <x:v>27</x:v>
      </x:c>
      <x:c r="V73" s="200" t="n">
        <x:v>0.3</x:v>
      </x:c>
      <x:c r="W73" s="203" t="n">
        <x:v>471</x:v>
      </x:c>
      <x:c r="X73" s="203" t="n">
        <x:v>12703.0308055314</x:v>
      </x:c>
      <x:c r="Y73" s="203" t="n">
        <x:v>32842.6275618011</x:v>
      </x:c>
      <x:c r="Z73" s="193" t="b">
        <x:v>1</x:v>
      </x:c>
      <x:c r="AA73" s="193" t="b">
        <x:v>1</x:v>
      </x:c>
      <x:c r="AB73" s="193" t="b">
        <x:v>1</x:v>
      </x:c>
      <x:c r="AC73" s="193" t="b">
        <x:v>1</x:v>
      </x:c>
      <x:c r="AD73" s="193" t="b">
        <x:v>1</x:v>
      </x:c>
      <x:c r="AE73" s="193" t="b">
        <x:v>0</x:v>
      </x:c>
      <x:c r="AF73" s="193" t="b">
        <x:v>1</x:v>
      </x:c>
      <x:c r="AG73" s="193" t="b">
        <x:v>1</x:v>
      </x:c>
      <x:c r="AH73" s="193" t="b">
        <x:v>1</x:v>
      </x:c>
      <x:c r="AI73" s="193" t="b">
        <x:v>1</x:v>
      </x:c>
      <x:c r="AJ73" s="193" t="b">
        <x:v>0</x:v>
      </x:c>
    </x:row>
    <x:row r="74">
      <x:c r="A74" s="192" t="n">
        <x:v>1053625763515857000</x:v>
      </x:c>
      <x:c r="B74" s="192" t="str">
        <x:v>https://www.airbnb.com.br/rooms/1053625763515857065</x:v>
      </x:c>
      <x:c r="C74" s="192" t="str">
        <x:v>Apto quadra mar completo</x:v>
      </x:c>
      <x:c r="D74" s="192" t="str">
        <x:v>Meia Praia</x:v>
      </x:c>
      <x:c r="E74" s="192" t="n">
        <x:v>-27.1340007782</x:v>
      </x:c>
      <x:c r="F74" s="192" t="n">
        <x:v>-48.5970001221</x:v>
      </x:c>
      <x:c r="G74" s="192" t="str">
        <x:v>apartamento</x:v>
      </x:c>
      <x:c r="H74" s="192" t="n">
        <x:v>2</x:v>
      </x:c>
      <x:c r="I74" s="192" t="n">
        <x:v>2</x:v>
      </x:c>
      <x:c r="J74" s="192" t="n">
        <x:v>0</x:v>
      </x:c>
      <x:c r="K74" s="192" t="n">
        <x:v>5</x:v>
      </x:c>
      <x:c r="L74" s="192" t="n">
        <x:v>11</x:v>
      </x:c>
      <x:c r="M74" s="192" t="n">
        <x:v>4.8200001717</x:v>
      </x:c>
      <x:c r="N74" s="192" t="n">
        <x:v>250</x:v>
      </x:c>
      <x:c r="O74" s="192" t="n">
        <x:v>39</x:v>
      </x:c>
      <x:c r="P74" s="193" t="b">
        <x:v>0</x:v>
      </x:c>
      <x:c r="Q74" s="193" t="b">
        <x:v>0</x:v>
      </x:c>
      <x:c r="R74" s="193" t="b">
        <x:v>1</x:v>
      </x:c>
      <x:c r="S74" s="193" t="b">
        <x:v>1</x:v>
      </x:c>
      <x:c r="T74" s="192" t="n">
        <x:v>72</x:v>
      </x:c>
      <x:c r="U74" s="192" t="n">
        <x:v>18</x:v>
      </x:c>
      <x:c r="V74" s="200" t="n">
        <x:v>0.2</x:v>
      </x:c>
      <x:c r="W74" s="203" t="n">
        <x:v>450</x:v>
      </x:c>
      <x:c r="X74" s="203" t="n">
        <x:v>8050.6624302659</x:v>
      </x:c>
      <x:c r="Y74" s="203" t="n">
        <x:v>20814.3168249167</x:v>
      </x:c>
      <x:c r="Z74" s="193" t="b">
        <x:v>1</x:v>
      </x:c>
      <x:c r="AA74" s="193" t="b">
        <x:v>0</x:v>
      </x:c>
      <x:c r="AB74" s="193" t="b">
        <x:v>1</x:v>
      </x:c>
      <x:c r="AC74" s="193" t="b">
        <x:v>1</x:v>
      </x:c>
      <x:c r="AD74" s="193" t="b">
        <x:v>1</x:v>
      </x:c>
      <x:c r="AE74" s="193" t="b">
        <x:v>1</x:v>
      </x:c>
      <x:c r="AF74" s="193" t="b">
        <x:v>1</x:v>
      </x:c>
      <x:c r="AG74" s="193" t="b">
        <x:v>1</x:v>
      </x:c>
      <x:c r="AH74" s="193" t="b">
        <x:v>1</x:v>
      </x:c>
      <x:c r="AI74" s="193" t="b">
        <x:v>1</x:v>
      </x:c>
      <x:c r="AJ74" s="193" t="b">
        <x:v>0</x:v>
      </x:c>
    </x:row>
    <x:row r="75">
      <x:c r="A75" s="192" t="n">
        <x:v>1219655958873769000</x:v>
      </x:c>
      <x:c r="B75" s="192" t="str">
        <x:v>https://www.airbnb.com.br/rooms/1219655958873769070</x:v>
      </x:c>
      <x:c r="C75" s="192" t="str">
        <x:v>Apto aconchegante a 280m da Praia - MHF1409</x:v>
      </x:c>
      <x:c r="D75" s="192" t="str">
        <x:v>Centro</x:v>
      </x:c>
      <x:c r="E75" s="192" t="n">
        <x:v>-27.09231</x:v>
      </x:c>
      <x:c r="F75" s="192" t="n">
        <x:v>-48.61455</x:v>
      </x:c>
      <x:c r="G75" s="192" t="str">
        <x:v>apartamento</x:v>
      </x:c>
      <x:c r="H75" s="192" t="n">
        <x:v>2</x:v>
      </x:c>
      <x:c r="I75" s="192" t="n">
        <x:v>2</x:v>
      </x:c>
      <x:c r="J75" s="192" t="n">
        <x:v>3</x:v>
      </x:c>
      <x:c r="K75" s="192" t="n">
        <x:v>6</x:v>
      </x:c>
      <x:c r="L75" s="192" t="n">
        <x:v>16</x:v>
      </x:c>
      <x:c r="M75" s="192" t="n">
        <x:v>4.5</x:v>
      </x:c>
      <x:c r="N75" s="192" t="n">
        <x:v>240</x:v>
      </x:c>
      <x:c r="O75" s="192" t="n">
        <x:v>0</x:v>
      </x:c>
      <x:c r="P75" s="193" t="b">
        <x:v>1</x:v>
      </x:c>
      <x:c r="Q75" s="193" t="b">
        <x:v>1</x:v>
      </x:c>
      <x:c r="R75" s="193" t="b">
        <x:v>0</x:v>
      </x:c>
      <x:c r="S75" s="193" t="b">
        <x:v>0</x:v>
      </x:c>
      <x:c r="T75" s="192" t="n">
        <x:v>67</x:v>
      </x:c>
      <x:c r="U75" s="192" t="n">
        <x:v>23</x:v>
      </x:c>
      <x:c r="V75" s="200" t="n">
        <x:v>0.2555555556</x:v>
      </x:c>
      <x:c r="W75" s="203" t="n">
        <x:v>631.5</x:v>
      </x:c>
      <x:c r="X75" s="203" t="n">
        <x:v>15040.5044933152</x:v>
      </x:c>
      <x:c r="Y75" s="203" t="n">
        <x:v>38885.970992092</x:v>
      </x:c>
      <x:c r="Z75" s="193" t="b">
        <x:v>1</x:v>
      </x:c>
      <x:c r="AA75" s="193" t="b">
        <x:v>1</x:v>
      </x:c>
      <x:c r="AB75" s="193" t="b">
        <x:v>1</x:v>
      </x:c>
      <x:c r="AC75" s="193" t="b">
        <x:v>1</x:v>
      </x:c>
      <x:c r="AD75" s="193" t="b">
        <x:v>1</x:v>
      </x:c>
      <x:c r="AE75" s="193" t="b">
        <x:v>0</x:v>
      </x:c>
      <x:c r="AF75" s="193" t="b">
        <x:v>1</x:v>
      </x:c>
      <x:c r="AG75" s="193" t="b">
        <x:v>1</x:v>
      </x:c>
      <x:c r="AH75" s="193" t="b">
        <x:v>1</x:v>
      </x:c>
      <x:c r="AI75" s="193" t="b">
        <x:v>1</x:v>
      </x:c>
      <x:c r="AJ75" s="193" t="b">
        <x:v>0</x:v>
      </x:c>
    </x:row>
    <x:row r="76">
      <x:c r="A76" s="192" t="n">
        <x:v>1313064371372818000</x:v>
      </x:c>
      <x:c r="B76" s="192" t="str">
        <x:v>https://www.airbnb.com.br/rooms/1313064371372817918</x:v>
      </x:c>
      <x:c r="C76" s="192" t="str">
        <x:v>Apto Elegante c/ vista mar a 280m da Praia MHF1807</x:v>
      </x:c>
      <x:c r="D76" s="192" t="str">
        <x:v>Centro</x:v>
      </x:c>
      <x:c r="E76" s="192" t="n">
        <x:v>-27.0936893</x:v>
      </x:c>
      <x:c r="F76" s="192" t="n">
        <x:v>-48.6131638</x:v>
      </x:c>
      <x:c r="G76" s="192" t="str">
        <x:v>apartamento</x:v>
      </x:c>
      <x:c r="H76" s="192" t="n">
        <x:v>1</x:v>
      </x:c>
      <x:c r="I76" s="192" t="n">
        <x:v>1</x:v>
      </x:c>
      <x:c r="J76" s="192" t="n">
        <x:v>2</x:v>
      </x:c>
      <x:c r="K76" s="192" t="n">
        <x:v>4</x:v>
      </x:c>
      <x:c r="L76" s="192" t="n">
        <x:v>2</x:v>
      </x:c>
      <x:c r="M76" s="192" t="n">
        <x:v>5</x:v>
      </x:c>
      <x:c r="N76" s="192" t="n">
        <x:v>190</x:v>
      </x:c>
      <x:c r="O76" s="192" t="n">
        <x:v>0</x:v>
      </x:c>
      <x:c r="P76" s="193" t="b">
        <x:v>1</x:v>
      </x:c>
      <x:c r="Q76" s="193" t="b">
        <x:v>1</x:v>
      </x:c>
      <x:c r="R76" s="193" t="b">
        <x:v>0</x:v>
      </x:c>
      <x:c r="S76" s="193" t="b">
        <x:v>0</x:v>
      </x:c>
      <x:c r="T76" s="192" t="n">
        <x:v>83</x:v>
      </x:c>
      <x:c r="U76" s="192" t="n">
        <x:v>7</x:v>
      </x:c>
      <x:c r="V76" s="200" t="n">
        <x:v>0.0777777778</x:v>
      </x:c>
      <x:c r="W76" s="203" t="n">
        <x:v>880</x:v>
      </x:c>
      <x:c r="X76" s="203" t="n">
        <x:v>6347.9509732718</x:v>
      </x:c>
      <x:c r="Y76" s="203" t="n">
        <x:v>16412.0982454797</x:v>
      </x:c>
      <x:c r="Z76" s="193" t="b">
        <x:v>1</x:v>
      </x:c>
      <x:c r="AA76" s="193" t="b">
        <x:v>1</x:v>
      </x:c>
      <x:c r="AB76" s="193" t="b">
        <x:v>1</x:v>
      </x:c>
      <x:c r="AC76" s="193" t="b">
        <x:v>1</x:v>
      </x:c>
      <x:c r="AD76" s="193" t="b">
        <x:v>1</x:v>
      </x:c>
      <x:c r="AE76" s="193" t="b">
        <x:v>0</x:v>
      </x:c>
      <x:c r="AF76" s="193" t="b">
        <x:v>1</x:v>
      </x:c>
      <x:c r="AG76" s="193" t="b">
        <x:v>1</x:v>
      </x:c>
      <x:c r="AH76" s="193" t="b">
        <x:v>1</x:v>
      </x:c>
      <x:c r="AI76" s="193" t="b">
        <x:v>1</x:v>
      </x:c>
      <x:c r="AJ76" s="193" t="b">
        <x:v>0</x:v>
      </x:c>
    </x:row>
    <x:row r="77">
      <x:c r="A77" s="192" t="n">
        <x:v>996227938456591000</x:v>
      </x:c>
      <x:c r="B77" s="192" t="str">
        <x:v>https://www.airbnb.com.br/rooms/996227938456591020</x:v>
      </x:c>
      <x:c r="C77" s="192" t="str">
        <x:v>Apartamento de 02 dormitórios</x:v>
      </x:c>
      <x:c r="D77" s="192" t="str">
        <x:v>Tabuleiro dos Oliveiras</x:v>
      </x:c>
      <x:c r="E77" s="192" t="n">
        <x:v>-27.1047</x:v>
      </x:c>
      <x:c r="F77" s="192" t="n">
        <x:v>-48.61836</x:v>
      </x:c>
      <x:c r="G77" s="192" t="str">
        <x:v>apartamento</x:v>
      </x:c>
      <x:c r="H77" s="192" t="n">
        <x:v>2</x:v>
      </x:c>
      <x:c r="I77" s="192" t="n">
        <x:v>2</x:v>
      </x:c>
      <x:c r="J77" s="192" t="n">
        <x:v>2</x:v>
      </x:c>
      <x:c r="K77" s="192" t="n">
        <x:v>6</x:v>
      </x:c>
      <x:c r="L77" s="192" t="n">
        <x:v>10</x:v>
      </x:c>
      <x:c r="M77" s="192" t="n">
        <x:v>5</x:v>
      </x:c>
      <x:c r="N77" s="192" t="n">
        <x:v>150</x:v>
      </x:c>
      <x:c r="O77" s="192" t="n">
        <x:v>12</x:v>
      </x:c>
      <x:c r="P77" s="193" t="b">
        <x:v>0</x:v>
      </x:c>
      <x:c r="Q77" s="193" t="b">
        <x:v>0</x:v>
      </x:c>
      <x:c r="R77" s="193" t="b">
        <x:v>1</x:v>
      </x:c>
      <x:c r="S77" s="193" t="b">
        <x:v>1</x:v>
      </x:c>
      <x:c r="T77" s="192" t="n">
        <x:v>73</x:v>
      </x:c>
      <x:c r="U77" s="192" t="n">
        <x:v>17</x:v>
      </x:c>
      <x:c r="V77" s="200" t="n">
        <x:v>0.1888888889</x:v>
      </x:c>
      <x:c r="W77" s="203" t="n">
        <x:v>350</x:v>
      </x:c>
      <x:c r="X77" s="203" t="n">
        <x:v>6454.2008029679</x:v>
      </x:c>
      <x:c r="Y77" s="203" t="n">
        <x:v>16686.7983260066</x:v>
      </x:c>
      <x:c r="Z77" s="193" t="b">
        <x:v>1</x:v>
      </x:c>
      <x:c r="AA77" s="193" t="b">
        <x:v>0</x:v>
      </x:c>
      <x:c r="AB77" s="193" t="b">
        <x:v>1</x:v>
      </x:c>
      <x:c r="AC77" s="193" t="b">
        <x:v>1</x:v>
      </x:c>
      <x:c r="AD77" s="193" t="b">
        <x:v>1</x:v>
      </x:c>
      <x:c r="AE77" s="193" t="b">
        <x:v>0</x:v>
      </x:c>
      <x:c r="AF77" s="193" t="b">
        <x:v>1</x:v>
      </x:c>
      <x:c r="AG77" s="193" t="b">
        <x:v>1</x:v>
      </x:c>
      <x:c r="AH77" s="193" t="b">
        <x:v>1</x:v>
      </x:c>
      <x:c r="AI77" s="193" t="b">
        <x:v>1</x:v>
      </x:c>
      <x:c r="AJ77" s="193" t="b">
        <x:v>0</x:v>
      </x:c>
    </x:row>
    <x:row r="78">
      <x:c r="A78" s="192" t="n">
        <x:v>796481545034280700</x:v>
      </x:c>
      <x:c r="B78" s="192" t="str">
        <x:v>https://www.airbnb.com.br/rooms/796481545034280714</x:v>
      </x:c>
      <x:c r="C78" s="192" t="str">
        <x:v>Mar e sol</x:v>
      </x:c>
      <x:c r="D78" s="192" t="str">
        <x:v>Centro</x:v>
      </x:c>
      <x:c r="E78" s="192" t="n">
        <x:v>-27.0970001221</x:v>
      </x:c>
      <x:c r="F78" s="192" t="n">
        <x:v>-48.6139984131</x:v>
      </x:c>
      <x:c r="G78" s="192" t="str">
        <x:v>apartamento</x:v>
      </x:c>
      <x:c r="H78" s="192" t="n">
        <x:v>2</x:v>
      </x:c>
      <x:c r="I78" s="192" t="n">
        <x:v>2</x:v>
      </x:c>
      <x:c r="J78" s="192" t="n">
        <x:v>2</x:v>
      </x:c>
      <x:c r="K78" s="192" t="n">
        <x:v>4</x:v>
      </x:c>
      <x:c r="L78" s="192" t="n">
        <x:v>9</x:v>
      </x:c>
      <x:c r="M78" s="192" t="n">
        <x:v>5</x:v>
      </x:c>
      <x:c r="N78" s="192" t="n">
        <x:v>290</x:v>
      </x:c>
      <x:c r="O78" s="192" t="n">
        <x:v>15</x:v>
      </x:c>
      <x:c r="P78" s="193" t="b">
        <x:v>0</x:v>
      </x:c>
      <x:c r="Q78" s="193" t="b">
        <x:v>0</x:v>
      </x:c>
      <x:c r="R78" s="193" t="b">
        <x:v>1</x:v>
      </x:c>
      <x:c r="S78" s="193" t="b">
        <x:v>0</x:v>
      </x:c>
      <x:c r="T78" s="192" t="n">
        <x:v>71</x:v>
      </x:c>
      <x:c r="U78" s="192" t="n">
        <x:v>19</x:v>
      </x:c>
      <x:c r="V78" s="200" t="n">
        <x:v>0.2111111111</x:v>
      </x:c>
      <x:c r="W78" s="203" t="n">
        <x:v>580</x:v>
      </x:c>
      <x:c r="X78" s="203" t="n">
        <x:v>11174.7167651117</x:v>
      </x:c>
      <x:c r="Y78" s="203" t="n">
        <x:v>28891.2989697992</x:v>
      </x:c>
      <x:c r="Z78" s="193" t="b">
        <x:v>1</x:v>
      </x:c>
      <x:c r="AA78" s="193" t="b">
        <x:v>0</x:v>
      </x:c>
      <x:c r="AB78" s="193" t="b">
        <x:v>1</x:v>
      </x:c>
      <x:c r="AC78" s="193" t="b">
        <x:v>1</x:v>
      </x:c>
      <x:c r="AD78" s="193" t="b">
        <x:v>0</x:v>
      </x:c>
      <x:c r="AE78" s="193" t="b">
        <x:v>1</x:v>
      </x:c>
      <x:c r="AF78" s="193" t="b">
        <x:v>1</x:v>
      </x:c>
      <x:c r="AG78" s="193" t="b">
        <x:v>1</x:v>
      </x:c>
      <x:c r="AH78" s="193" t="b">
        <x:v>1</x:v>
      </x:c>
      <x:c r="AI78" s="193" t="b">
        <x:v>1</x:v>
      </x:c>
      <x:c r="AJ78" s="193" t="b">
        <x:v>1</x:v>
      </x:c>
    </x:row>
    <x:row r="79">
      <x:c r="A79" s="192" t="n">
        <x:v>1318315111310867700</x:v>
      </x:c>
      <x:c r="B79" s="192" t="str">
        <x:v>https://www.airbnb.com.br/rooms/1318315111310867765</x:v>
      </x:c>
      <x:c r="C79" s="192" t="str">
        <x:v>Apartamento Home Club Itapema BM403</x:v>
      </x:c>
      <x:c r="D79" s="192" t="str">
        <x:v>Morretes</x:v>
      </x:c>
      <x:c r="E79" s="192" t="n">
        <x:v>-27.1157367109</x:v>
      </x:c>
      <x:c r="F79" s="192" t="n">
        <x:v>-48.6108668894</x:v>
      </x:c>
      <x:c r="G79" s="192" t="str">
        <x:v>apartamento</x:v>
      </x:c>
      <x:c r="H79" s="192" t="n">
        <x:v>2</x:v>
      </x:c>
      <x:c r="I79" s="192" t="n">
        <x:v>2</x:v>
      </x:c>
      <x:c r="J79" s="192" t="n">
        <x:v>2</x:v>
      </x:c>
      <x:c r="K79" s="192" t="n">
        <x:v>4</x:v>
      </x:c>
      <x:c r="L79" s="192" t="n">
        <x:v>2</x:v>
      </x:c>
      <x:c r="M79" s="192" t="n">
        <x:v>5</x:v>
      </x:c>
      <x:c r="N79" s="192" t="n">
        <x:v>300</x:v>
      </x:c>
      <x:c r="O79" s="192" t="n">
        <x:v>0</x:v>
      </x:c>
      <x:c r="P79" s="193" t="b">
        <x:v>1</x:v>
      </x:c>
      <x:c r="Q79" s="193" t="b">
        <x:v>0</x:v>
      </x:c>
      <x:c r="R79" s="193" t="b">
        <x:v>0</x:v>
      </x:c>
      <x:c r="S79" s="193" t="b">
        <x:v>1</x:v>
      </x:c>
      <x:c r="T79" s="192" t="n">
        <x:v>81</x:v>
      </x:c>
      <x:c r="U79" s="192" t="n">
        <x:v>9</x:v>
      </x:c>
      <x:c r="V79" s="200" t="n">
        <x:v>0.1</x:v>
      </x:c>
      <x:c r="W79" s="203" t="n">
        <x:v>700</x:v>
      </x:c>
      <x:c r="X79" s="203" t="n">
        <x:v>6348.4118634616</x:v>
      </x:c>
      <x:c r="Y79" s="203" t="n">
        <x:v>16413.2898386581</x:v>
      </x:c>
      <x:c r="Z79" s="193" t="b">
        <x:v>1</x:v>
      </x:c>
      <x:c r="AA79" s="193" t="b">
        <x:v>1</x:v>
      </x:c>
      <x:c r="AB79" s="193" t="b">
        <x:v>1</x:v>
      </x:c>
      <x:c r="AC79" s="193" t="b">
        <x:v>1</x:v>
      </x:c>
      <x:c r="AD79" s="193" t="b">
        <x:v>1</x:v>
      </x:c>
      <x:c r="AE79" s="193" t="b">
        <x:v>1</x:v>
      </x:c>
      <x:c r="AF79" s="193" t="b">
        <x:v>1</x:v>
      </x:c>
      <x:c r="AG79" s="193" t="b">
        <x:v>1</x:v>
      </x:c>
      <x:c r="AH79" s="193" t="b">
        <x:v>1</x:v>
      </x:c>
      <x:c r="AI79" s="193" t="b">
        <x:v>1</x:v>
      </x:c>
      <x:c r="AJ79" s="193" t="b">
        <x:v>1</x:v>
      </x:c>
    </x:row>
    <x:row r="80">
      <x:c r="A80" s="192" t="n">
        <x:v>748336742434218000</x:v>
      </x:c>
      <x:c r="B80" s="192" t="str">
        <x:v>https://www.airbnb.com.br/rooms/748336742434217963</x:v>
      </x:c>
      <x:c r="C80" s="192" t="str">
        <x:v>Apto Tarumã - no coração da Meia Praia</x:v>
      </x:c>
      <x:c r="D80" s="192" t="str">
        <x:v>Meia Praia</x:v>
      </x:c>
      <x:c r="E80" s="192" t="n">
        <x:v>-27.1281795502</x:v>
      </x:c>
      <x:c r="F80" s="192" t="n">
        <x:v>-48.6033706665</x:v>
      </x:c>
      <x:c r="G80" s="192" t="str">
        <x:v>apartamento</x:v>
      </x:c>
      <x:c r="H80" s="192" t="n">
        <x:v>2</x:v>
      </x:c>
      <x:c r="I80" s="192" t="n">
        <x:v>1</x:v>
      </x:c>
      <x:c r="J80" s="192" t="n">
        <x:v>3</x:v>
      </x:c>
      <x:c r="K80" s="192" t="n">
        <x:v>6</x:v>
      </x:c>
      <x:c r="L80" s="192" t="n">
        <x:v>45</x:v>
      </x:c>
      <x:c r="M80" s="192" t="n">
        <x:v>4.8699998856</x:v>
      </x:c>
      <x:c r="N80" s="192" t="n">
        <x:v>200</x:v>
      </x:c>
      <x:c r="O80" s="192" t="n">
        <x:v>25</x:v>
      </x:c>
      <x:c r="P80" s="193" t="b">
        <x:v>1</x:v>
      </x:c>
      <x:c r="Q80" s="193" t="b">
        <x:v>0</x:v>
      </x:c>
      <x:c r="R80" s="193" t="b">
        <x:v>1</x:v>
      </x:c>
      <x:c r="S80" s="193" t="b">
        <x:v>1</x:v>
      </x:c>
      <x:c r="T80" s="192" t="n">
        <x:v>44</x:v>
      </x:c>
      <x:c r="U80" s="192" t="n">
        <x:v>46</x:v>
      </x:c>
      <x:c r="V80" s="200" t="n">
        <x:v>0.5111111111</x:v>
      </x:c>
      <x:c r="W80" s="203" t="n">
        <x:v>450</x:v>
      </x:c>
      <x:c r="X80" s="203" t="n">
        <x:v>21427.8709900639</x:v>
      </x:c>
      <x:c r="Y80" s="203" t="n">
        <x:v>55399.9747888943</x:v>
      </x:c>
      <x:c r="Z80" s="193" t="b">
        <x:v>1</x:v>
      </x:c>
      <x:c r="AA80" s="193" t="b">
        <x:v>0</x:v>
      </x:c>
      <x:c r="AB80" s="193" t="b">
        <x:v>1</x:v>
      </x:c>
      <x:c r="AC80" s="193" t="b">
        <x:v>1</x:v>
      </x:c>
      <x:c r="AD80" s="193" t="b">
        <x:v>0</x:v>
      </x:c>
      <x:c r="AE80" s="193" t="b">
        <x:v>1</x:v>
      </x:c>
      <x:c r="AF80" s="193" t="b">
        <x:v>1</x:v>
      </x:c>
      <x:c r="AG80" s="193" t="b">
        <x:v>1</x:v>
      </x:c>
      <x:c r="AH80" s="193" t="b">
        <x:v>1</x:v>
      </x:c>
      <x:c r="AI80" s="193" t="b">
        <x:v>1</x:v>
      </x:c>
      <x:c r="AJ80" s="193" t="b">
        <x:v>1</x:v>
      </x:c>
    </x:row>
    <x:row r="81">
      <x:c r="A81" s="192" t="n">
        <x:v>40971559</x:v>
      </x:c>
      <x:c r="B81" s="192" t="str">
        <x:v>https://www.airbnb.com.br/rooms/40971559</x:v>
      </x:c>
      <x:c r="C81" s="192" t="str">
        <x:v>Lindo Apto no coração de Meia Praia</x:v>
      </x:c>
      <x:c r="D81" s="192" t="str">
        <x:v>Meia Praia</x:v>
      </x:c>
      <x:c r="E81" s="192" t="n">
        <x:v>-27.1299991608</x:v>
      </x:c>
      <x:c r="F81" s="192" t="n">
        <x:v>-48.6010017395</x:v>
      </x:c>
      <x:c r="G81" s="192" t="str">
        <x:v>apartamento</x:v>
      </x:c>
      <x:c r="H81" s="192" t="n">
        <x:v>3</x:v>
      </x:c>
      <x:c r="I81" s="192" t="n">
        <x:v>2</x:v>
      </x:c>
      <x:c r="J81" s="192" t="n">
        <x:v>5</x:v>
      </x:c>
      <x:c r="K81" s="192" t="n">
        <x:v>8</x:v>
      </x:c>
      <x:c r="L81" s="192" t="n">
        <x:v>10</x:v>
      </x:c>
      <x:c r="M81" s="192" t="n">
        <x:v>4.9000000954</x:v>
      </x:c>
      <x:c r="N81" s="192" t="n">
        <x:v>300</x:v>
      </x:c>
      <x:c r="O81" s="192" t="n">
        <x:v>17</x:v>
      </x:c>
      <x:c r="P81" s="193" t="b">
        <x:v>0</x:v>
      </x:c>
      <x:c r="Q81" s="193" t="b">
        <x:v>0</x:v>
      </x:c>
      <x:c r="R81" s="193" t="b">
        <x:v>0</x:v>
      </x:c>
      <x:c r="S81" s="193" t="b">
        <x:v>1</x:v>
      </x:c>
      <x:c r="T81" s="192" t="n">
        <x:v>30</x:v>
      </x:c>
      <x:c r="U81" s="192" t="n">
        <x:v>60</x:v>
      </x:c>
      <x:c r="V81" s="200" t="n">
        <x:v>0.6666666667</x:v>
      </x:c>
      <x:c r="W81" s="203" t="n">
        <x:v>800</x:v>
      </x:c>
      <x:c r="X81" s="203" t="n">
        <x:v>48196.5266884609</x:v>
      </x:c>
      <x:c r="Y81" s="203" t="n">
        <x:v>124608.1033757917</x:v>
      </x:c>
      <x:c r="Z81" s="193" t="b">
        <x:v>0</x:v>
      </x:c>
      <x:c r="AA81" s="193" t="b">
        <x:v>0</x:v>
      </x:c>
      <x:c r="AB81" s="193" t="b">
        <x:v>1</x:v>
      </x:c>
      <x:c r="AC81" s="193" t="b">
        <x:v>1</x:v>
      </x:c>
      <x:c r="AD81" s="193" t="b">
        <x:v>0</x:v>
      </x:c>
      <x:c r="AE81" s="193" t="b">
        <x:v>0</x:v>
      </x:c>
      <x:c r="AF81" s="193" t="b">
        <x:v>0</x:v>
      </x:c>
      <x:c r="AG81" s="193" t="b">
        <x:v>1</x:v>
      </x:c>
      <x:c r="AH81" s="193" t="b">
        <x:v>1</x:v>
      </x:c>
      <x:c r="AI81" s="193" t="b">
        <x:v>1</x:v>
      </x:c>
      <x:c r="AJ81" s="193" t="b">
        <x:v>0</x:v>
      </x:c>
    </x:row>
    <x:row r="82">
      <x:c r="A82" s="192" t="n">
        <x:v>41473656</x:v>
      </x:c>
      <x:c r="B82" s="192" t="str">
        <x:v>https://www.airbnb.com.br/rooms/41473656</x:v>
      </x:c>
      <x:c r="C82" s="192" t="str">
        <x:v>Verão em Meia Praia com linda vista para o mar!</x:v>
      </x:c>
      <x:c r="D82" s="192" t="str">
        <x:v>Meia Praia</x:v>
      </x:c>
      <x:c r="E82" s="192" t="n">
        <x:v>-27.1329994202</x:v>
      </x:c>
      <x:c r="F82" s="192" t="n">
        <x:v>-48.5970001221</x:v>
      </x:c>
      <x:c r="G82" s="192" t="str">
        <x:v>apartamento</x:v>
      </x:c>
      <x:c r="H82" s="192" t="n">
        <x:v>4</x:v>
      </x:c>
      <x:c r="I82" s="192" t="n">
        <x:v>3</x:v>
      </x:c>
      <x:c r="J82" s="192" t="n">
        <x:v>7</x:v>
      </x:c>
      <x:c r="K82" s="192" t="n">
        <x:v>10</x:v>
      </x:c>
      <x:c r="L82" s="192" t="n">
        <x:v>43</x:v>
      </x:c>
      <x:c r="M82" s="192" t="n">
        <x:v>4.8800001144</x:v>
      </x:c>
      <x:c r="N82" s="192" t="n">
        <x:v>270</x:v>
      </x:c>
      <x:c r="O82" s="192" t="n">
        <x:v>37</x:v>
      </x:c>
      <x:c r="P82" s="193" t="b">
        <x:v>1</x:v>
      </x:c>
      <x:c r="Q82" s="193" t="b">
        <x:v>0</x:v>
      </x:c>
      <x:c r="R82" s="193" t="b">
        <x:v>1</x:v>
      </x:c>
      <x:c r="S82" s="193" t="b">
        <x:v>1</x:v>
      </x:c>
      <x:c r="T82" s="192" t="n">
        <x:v>23</x:v>
      </x:c>
      <x:c r="U82" s="192" t="n">
        <x:v>67</x:v>
      </x:c>
      <x:c r="V82" s="200" t="n">
        <x:v>0.7444444444</x:v>
      </x:c>
      <x:c r="W82" s="203" t="n">
        <x:v>700</x:v>
      </x:c>
      <x:c r="X82" s="203" t="n">
        <x:v>47796.3307978332</x:v>
      </x:c>
      <x:c r="Y82" s="203" t="n">
        <x:v>123573.4302502313</x:v>
      </x:c>
      <x:c r="Z82" s="193" t="b">
        <x:v>0</x:v>
      </x:c>
      <x:c r="AA82" s="193" t="b">
        <x:v>0</x:v>
      </x:c>
      <x:c r="AB82" s="193" t="b">
        <x:v>1</x:v>
      </x:c>
      <x:c r="AC82" s="193" t="b">
        <x:v>1</x:v>
      </x:c>
      <x:c r="AD82" s="193" t="b">
        <x:v>1</x:v>
      </x:c>
      <x:c r="AE82" s="193" t="b">
        <x:v>1</x:v>
      </x:c>
      <x:c r="AF82" s="193" t="b">
        <x:v>1</x:v>
      </x:c>
      <x:c r="AG82" s="193" t="b">
        <x:v>1</x:v>
      </x:c>
      <x:c r="AH82" s="193" t="b">
        <x:v>1</x:v>
      </x:c>
      <x:c r="AI82" s="193" t="b">
        <x:v>1</x:v>
      </x:c>
      <x:c r="AJ82" s="193" t="b">
        <x:v>1</x:v>
      </x:c>
    </x:row>
    <x:row r="83">
      <x:c r="A83" s="192" t="n">
        <x:v>902324773092897300</x:v>
      </x:c>
      <x:c r="B83" s="192" t="str">
        <x:v>https://www.airbnb.com.br/rooms/902324773092897293</x:v>
      </x:c>
      <x:c r="C83" s="192" t="str">
        <x:v>Apto frente mar, Rua 231</x:v>
      </x:c>
      <x:c r="D83" s="192" t="str">
        <x:v>Meia Praia</x:v>
      </x:c>
      <x:c r="E83" s="192" t="n">
        <x:v>-27.1259994507</x:v>
      </x:c>
      <x:c r="F83" s="192" t="n">
        <x:v>-48.6030006409</x:v>
      </x:c>
      <x:c r="G83" s="192" t="str">
        <x:v>apartamento</x:v>
      </x:c>
      <x:c r="H83" s="192" t="n">
        <x:v>3</x:v>
      </x:c>
      <x:c r="I83" s="192" t="n">
        <x:v>2</x:v>
      </x:c>
      <x:c r="J83" s="192" t="n">
        <x:v>3</x:v>
      </x:c>
      <x:c r="K83" s="192" t="n">
        <x:v>6</x:v>
      </x:c>
      <x:c r="L83" s="192" t="n">
        <x:v>13</x:v>
      </x:c>
      <x:c r="M83" s="192" t="n">
        <x:v>5</x:v>
      </x:c>
      <x:c r="N83" s="192" t="n">
        <x:v>250</x:v>
      </x:c>
      <x:c r="O83" s="192" t="n">
        <x:v>10</x:v>
      </x:c>
      <x:c r="P83" s="193" t="b">
        <x:v>0</x:v>
      </x:c>
      <x:c r="Q83" s="193" t="b">
        <x:v>0</x:v>
      </x:c>
      <x:c r="R83" s="193" t="b">
        <x:v>1</x:v>
      </x:c>
      <x:c r="S83" s="193" t="b">
        <x:v>1</x:v>
      </x:c>
      <x:c r="T83" s="192" t="n">
        <x:v>3</x:v>
      </x:c>
      <x:c r="U83" s="192" t="n">
        <x:v>87</x:v>
      </x:c>
      <x:c r="V83" s="200" t="n">
        <x:v>0.9666666667</x:v>
      </x:c>
      <x:c r="W83" s="203" t="n">
        <x:v>1000</x:v>
      </x:c>
      <x:c r="X83" s="203" t="n">
        <x:v>86902.5176404347</x:v>
      </x:c>
      <x:c r="Y83" s="203" t="n">
        <x:v>224679.2174828739</x:v>
      </x:c>
      <x:c r="Z83" s="193" t="b">
        <x:v>0</x:v>
      </x:c>
      <x:c r="AA83" s="193" t="b">
        <x:v>0</x:v>
      </x:c>
      <x:c r="AB83" s="193" t="b">
        <x:v>1</x:v>
      </x:c>
      <x:c r="AC83" s="193" t="b">
        <x:v>1</x:v>
      </x:c>
      <x:c r="AD83" s="193" t="b">
        <x:v>0</x:v>
      </x:c>
      <x:c r="AE83" s="193" t="b">
        <x:v>1</x:v>
      </x:c>
      <x:c r="AF83" s="193" t="b">
        <x:v>1</x:v>
      </x:c>
      <x:c r="AG83" s="193" t="b">
        <x:v>1</x:v>
      </x:c>
      <x:c r="AH83" s="193" t="b">
        <x:v>1</x:v>
      </x:c>
      <x:c r="AI83" s="193" t="b">
        <x:v>1</x:v>
      </x:c>
      <x:c r="AJ83" s="193" t="b">
        <x:v>0</x:v>
      </x:c>
    </x:row>
    <x:row r="84">
      <x:c r="A84" s="192" t="n">
        <x:v>731853350375474300</x:v>
      </x:c>
      <x:c r="B84" s="192" t="str">
        <x:v>https://www.airbnb.com.br/rooms/731853350375474350</x:v>
      </x:c>
      <x:c r="C84" s="192" t="str">
        <x:v>Apartamento aconchegante</x:v>
      </x:c>
      <x:c r="D84" s="192" t="str">
        <x:v>Morretes</x:v>
      </x:c>
      <x:c r="E84" s="192" t="n">
        <x:v>-27.118879085</x:v>
      </x:c>
      <x:c r="F84" s="192" t="n">
        <x:v>-48.6136382818</x:v>
      </x:c>
      <x:c r="G84" s="192" t="str">
        <x:v>apartamento</x:v>
      </x:c>
      <x:c r="H84" s="192" t="n">
        <x:v>2</x:v>
      </x:c>
      <x:c r="I84" s="192" t="n">
        <x:v>2</x:v>
      </x:c>
      <x:c r="J84" s="192" t="n">
        <x:v>3</x:v>
      </x:c>
      <x:c r="K84" s="192" t="n">
        <x:v>6</x:v>
      </x:c>
      <x:c r="L84" s="192" t="n">
        <x:v>10</x:v>
      </x:c>
      <x:c r="M84" s="192" t="n">
        <x:v>5</x:v>
      </x:c>
      <x:c r="N84" s="192" t="n">
        <x:v>150</x:v>
      </x:c>
      <x:c r="O84" s="192" t="n">
        <x:v>17</x:v>
      </x:c>
      <x:c r="P84" s="193" t="b">
        <x:v>0</x:v>
      </x:c>
      <x:c r="Q84" s="193" t="b">
        <x:v>0</x:v>
      </x:c>
      <x:c r="R84" s="193" t="b">
        <x:v>0</x:v>
      </x:c>
      <x:c r="S84" s="193" t="b">
        <x:v>0</x:v>
      </x:c>
      <x:c r="T84" s="192" t="n">
        <x:v>34</x:v>
      </x:c>
      <x:c r="U84" s="192" t="n">
        <x:v>56</x:v>
      </x:c>
      <x:c r="V84" s="200" t="n">
        <x:v>0.6222222222</x:v>
      </x:c>
      <x:c r="W84" s="203" t="n">
        <x:v>700</x:v>
      </x:c>
      <x:c r="X84" s="203" t="n">
        <x:v>38795.8172230913</x:v>
      </x:c>
      <x:c r="Y84" s="203" t="n">
        <x:v>100303.352445534</x:v>
      </x:c>
      <x:c r="Z84" s="193" t="b">
        <x:v>1</x:v>
      </x:c>
      <x:c r="AA84" s="193" t="b">
        <x:v>0</x:v>
      </x:c>
      <x:c r="AB84" s="193" t="b">
        <x:v>1</x:v>
      </x:c>
      <x:c r="AC84" s="193" t="b">
        <x:v>1</x:v>
      </x:c>
      <x:c r="AD84" s="193" t="b">
        <x:v>1</x:v>
      </x:c>
      <x:c r="AE84" s="193" t="b">
        <x:v>1</x:v>
      </x:c>
      <x:c r="AF84" s="193" t="b">
        <x:v>0</x:v>
      </x:c>
      <x:c r="AG84" s="193" t="b">
        <x:v>1</x:v>
      </x:c>
      <x:c r="AH84" s="193" t="b">
        <x:v>1</x:v>
      </x:c>
      <x:c r="AI84" s="193" t="b">
        <x:v>1</x:v>
      </x:c>
      <x:c r="AJ84" s="193" t="b">
        <x:v>0</x:v>
      </x:c>
    </x:row>
    <x:row r="85">
      <x:c r="A85" s="192" t="n">
        <x:v>47802450</x:v>
      </x:c>
      <x:c r="B85" s="192" t="str">
        <x:v>https://www.airbnb.com.br/rooms/47802450</x:v>
      </x:c>
      <x:c r="C85" s="192" t="str">
        <x:v>Ótima casa, inteira, em ItapemaSC, muito espaçosa!</x:v>
      </x:c>
      <x:c r="D85" s="192" t="str">
        <x:v>Ilhota</x:v>
      </x:c>
      <x:c r="E85" s="192" t="n">
        <x:v>-27.05884</x:v>
      </x:c>
      <x:c r="F85" s="192" t="n">
        <x:v>-48.60226</x:v>
      </x:c>
      <x:c r="G85" s="192" t="str">
        <x:v>casa</x:v>
      </x:c>
      <x:c r="H85" s="192" t="n">
        <x:v>2</x:v>
      </x:c>
      <x:c r="I85" s="192" t="n">
        <x:v>1</x:v>
      </x:c>
      <x:c r="J85" s="192" t="n">
        <x:v>4</x:v>
      </x:c>
      <x:c r="K85" s="192" t="n">
        <x:v>5</x:v>
      </x:c>
      <x:c r="L85" s="192" t="n">
        <x:v>54</x:v>
      </x:c>
      <x:c r="M85" s="192" t="n">
        <x:v>4.9800000191</x:v>
      </x:c>
      <x:c r="N85" s="192" t="n">
        <x:v>100</x:v>
      </x:c>
      <x:c r="O85" s="192" t="n">
        <x:v>39</x:v>
      </x:c>
      <x:c r="P85" s="193" t="b">
        <x:v>1</x:v>
      </x:c>
      <x:c r="Q85" s="193" t="b">
        <x:v>0</x:v>
      </x:c>
      <x:c r="R85" s="193" t="b">
        <x:v>1</x:v>
      </x:c>
      <x:c r="S85" s="193" t="b">
        <x:v>1</x:v>
      </x:c>
      <x:c r="T85" s="192" t="n">
        <x:v>29</x:v>
      </x:c>
      <x:c r="U85" s="192" t="n">
        <x:v>61</x:v>
      </x:c>
      <x:c r="V85" s="200" t="n">
        <x:v>0.6777777778</x:v>
      </x:c>
      <x:c r="W85" s="203" t="n">
        <x:v>210</x:v>
      </x:c>
      <x:c r="X85" s="203" t="n">
        <x:v>12917.709153772</x:v>
      </x:c>
      <x:c r="Y85" s="203" t="n">
        <x:v>33397.6605413146</x:v>
      </x:c>
      <x:c r="Z85" s="193" t="b">
        <x:v>0</x:v>
      </x:c>
      <x:c r="AA85" s="193" t="b">
        <x:v>0</x:v>
      </x:c>
      <x:c r="AB85" s="193" t="b">
        <x:v>1</x:v>
      </x:c>
      <x:c r="AC85" s="193" t="b">
        <x:v>1</x:v>
      </x:c>
      <x:c r="AD85" s="193" t="b">
        <x:v>0</x:v>
      </x:c>
      <x:c r="AE85" s="193" t="b">
        <x:v>0</x:v>
      </x:c>
      <x:c r="AF85" s="193" t="b">
        <x:v>1</x:v>
      </x:c>
      <x:c r="AG85" s="193" t="b">
        <x:v>0</x:v>
      </x:c>
      <x:c r="AH85" s="193" t="b">
        <x:v>1</x:v>
      </x:c>
      <x:c r="AI85" s="193" t="b">
        <x:v>1</x:v>
      </x:c>
      <x:c r="AJ85" s="193" t="b">
        <x:v>1</x:v>
      </x:c>
    </x:row>
    <x:row r="86">
      <x:c r="A86" s="192" t="n">
        <x:v>53738511</x:v>
      </x:c>
      <x:c r="B86" s="192" t="str">
        <x:v>https://www.airbnb.com.br/rooms/53738511</x:v>
      </x:c>
      <x:c r="C86" s="192" t="str">
        <x:v>(318) Melhor custo-benefício</x:v>
      </x:c>
      <x:c r="D86" s="192" t="str">
        <x:v>Meia Praia</x:v>
      </x:c>
      <x:c r="E86" s="192" t="n">
        <x:v>-27.14046</x:v>
      </x:c>
      <x:c r="F86" s="192" t="n">
        <x:v>-48.59394</x:v>
      </x:c>
      <x:c r="G86" s="192" t="str">
        <x:v>apartamento</x:v>
      </x:c>
      <x:c r="H86" s="192" t="n">
        <x:v>2</x:v>
      </x:c>
      <x:c r="I86" s="192" t="n">
        <x:v>1</x:v>
      </x:c>
      <x:c r="J86" s="192" t="n">
        <x:v>4</x:v>
      </x:c>
      <x:c r="K86" s="192" t="n">
        <x:v>5</x:v>
      </x:c>
      <x:c r="L86" s="192" t="n">
        <x:v>81</x:v>
      </x:c>
      <x:c r="M86" s="192" t="n">
        <x:v>4.8299999237</x:v>
      </x:c>
      <x:c r="N86" s="192" t="n">
        <x:v>200</x:v>
      </x:c>
      <x:c r="O86" s="192" t="n">
        <x:v>22</x:v>
      </x:c>
      <x:c r="P86" s="193" t="b">
        <x:v>0</x:v>
      </x:c>
      <x:c r="Q86" s="193" t="b">
        <x:v>1</x:v>
      </x:c>
      <x:c r="R86" s="193" t="b">
        <x:v>0</x:v>
      </x:c>
      <x:c r="S86" s="193" t="b">
        <x:v>1</x:v>
      </x:c>
      <x:c r="T86" s="192" t="n">
        <x:v>64</x:v>
      </x:c>
      <x:c r="U86" s="192" t="n">
        <x:v>26</x:v>
      </x:c>
      <x:c r="V86" s="200" t="n">
        <x:v>0.2888888889</x:v>
      </x:c>
      <x:c r="W86" s="203" t="n">
        <x:v>466</x:v>
      </x:c>
      <x:c r="X86" s="203" t="n">
        <x:v>11620.5595609918</x:v>
      </x:c>
      <x:c r="Y86" s="203" t="n">
        <x:v>30043.9883649808</x:v>
      </x:c>
      <x:c r="Z86" s="193" t="b">
        <x:v>1</x:v>
      </x:c>
      <x:c r="AA86" s="193" t="b">
        <x:v>0</x:v>
      </x:c>
      <x:c r="AB86" s="193" t="b">
        <x:v>1</x:v>
      </x:c>
      <x:c r="AC86" s="193" t="b">
        <x:v>1</x:v>
      </x:c>
      <x:c r="AD86" s="193" t="b">
        <x:v>0</x:v>
      </x:c>
      <x:c r="AE86" s="193" t="b">
        <x:v>0</x:v>
      </x:c>
      <x:c r="AF86" s="193" t="b">
        <x:v>1</x:v>
      </x:c>
      <x:c r="AG86" s="193" t="b">
        <x:v>1</x:v>
      </x:c>
      <x:c r="AH86" s="193" t="b">
        <x:v>1</x:v>
      </x:c>
      <x:c r="AI86" s="193" t="b">
        <x:v>1</x:v>
      </x:c>
      <x:c r="AJ86" s="193" t="b">
        <x:v>1</x:v>
      </x:c>
    </x:row>
    <x:row r="87">
      <x:c r="A87" s="192" t="n">
        <x:v>963916345061155100</x:v>
      </x:c>
      <x:c r="B87" s="192" t="str">
        <x:v>https://www.airbnb.com.br/rooms/963916345061155113</x:v>
      </x:c>
      <x:c r="C87" s="192" t="str">
        <x:v>3 Suítes Amplas, 4 Vagas, Vista mar, 2min da Praia</x:v>
      </x:c>
      <x:c r="D87" s="192" t="str">
        <x:v>Meia Praia</x:v>
      </x:c>
      <x:c r="E87" s="192" t="n">
        <x:v>-27.1219997406</x:v>
      </x:c>
      <x:c r="F87" s="192" t="n">
        <x:v>-48.6069984436</x:v>
      </x:c>
      <x:c r="G87" s="192" t="str">
        <x:v>apartamento</x:v>
      </x:c>
      <x:c r="H87" s="192" t="n">
        <x:v>3</x:v>
      </x:c>
      <x:c r="I87" s="192" t="n">
        <x:v>3</x:v>
      </x:c>
      <x:c r="J87" s="192" t="n">
        <x:v>7</x:v>
      </x:c>
      <x:c r="K87" s="192" t="n">
        <x:v>13</x:v>
      </x:c>
      <x:c r="L87" s="192" t="n">
        <x:v>18</x:v>
      </x:c>
      <x:c r="M87" s="192" t="n">
        <x:v>5</x:v>
      </x:c>
      <x:c r="N87" s="192" t="n">
        <x:v>300</x:v>
      </x:c>
      <x:c r="O87" s="192" t="n">
        <x:v>33</x:v>
      </x:c>
      <x:c r="P87" s="193" t="b">
        <x:v>0</x:v>
      </x:c>
      <x:c r="Q87" s="193" t="b">
        <x:v>1</x:v>
      </x:c>
      <x:c r="R87" s="193" t="b">
        <x:v>1</x:v>
      </x:c>
      <x:c r="S87" s="193" t="b">
        <x:v>1</x:v>
      </x:c>
      <x:c r="T87" s="192" t="n">
        <x:v>35</x:v>
      </x:c>
      <x:c r="U87" s="192" t="n">
        <x:v>55</x:v>
      </x:c>
      <x:c r="V87" s="200" t="n">
        <x:v>0.6111111111</x:v>
      </x:c>
      <x:c r="W87" s="203" t="n">
        <x:v>1400</x:v>
      </x:c>
      <x:c r="X87" s="203" t="n">
        <x:v>75003.7302247804</x:v>
      </x:c>
      <x:c r="Y87" s="203" t="n">
        <x:v>193915.8941853176</x:v>
      </x:c>
      <x:c r="Z87" s="193" t="b">
        <x:v>1</x:v>
      </x:c>
      <x:c r="AA87" s="193" t="b">
        <x:v>0</x:v>
      </x:c>
      <x:c r="AB87" s="193" t="b">
        <x:v>1</x:v>
      </x:c>
      <x:c r="AC87" s="193" t="b">
        <x:v>1</x:v>
      </x:c>
      <x:c r="AD87" s="193" t="b">
        <x:v>1</x:v>
      </x:c>
      <x:c r="AE87" s="193" t="b">
        <x:v>1</x:v>
      </x:c>
      <x:c r="AF87" s="193" t="b">
        <x:v>1</x:v>
      </x:c>
      <x:c r="AG87" s="193" t="b">
        <x:v>1</x:v>
      </x:c>
      <x:c r="AH87" s="193" t="b">
        <x:v>1</x:v>
      </x:c>
      <x:c r="AI87" s="193" t="b">
        <x:v>1</x:v>
      </x:c>
      <x:c r="AJ87" s="193" t="b">
        <x:v>1</x:v>
      </x:c>
    </x:row>
    <x:row r="88">
      <x:c r="A88" s="192" t="n">
        <x:v>1274055523929375500</x:v>
      </x:c>
      <x:c r="B88" s="192" t="str">
        <x:v>https://www.airbnb.com.br/rooms/1274055523929375490</x:v>
      </x:c>
      <x:c r="C88" s="192" t="str">
        <x:v>Estúdio com Piscina a 350m da Praia IFT1802</x:v>
      </x:c>
      <x:c r="D88" s="192" t="str">
        <x:v>Meia Praia</x:v>
      </x:c>
      <x:c r="E88" s="192" t="n">
        <x:v>-27.1276039</x:v>
      </x:c>
      <x:c r="F88" s="192" t="n">
        <x:v>-48.6052271</x:v>
      </x:c>
      <x:c r="G88" s="192" t="str">
        <x:v>apartamento</x:v>
      </x:c>
      <x:c r="H88" s="192" t="n">
        <x:v>1</x:v>
      </x:c>
      <x:c r="I88" s="192" t="n">
        <x:v>1</x:v>
      </x:c>
      <x:c r="J88" s="192" t="n">
        <x:v>1</x:v>
      </x:c>
      <x:c r="K88" s="192" t="n">
        <x:v>2</x:v>
      </x:c>
      <x:c r="L88" s="192" t="n">
        <x:v>4</x:v>
      </x:c>
      <x:c r="M88" s="192" t="n">
        <x:v>5</x:v>
      </x:c>
      <x:c r="N88" s="192" t="n">
        <x:v>250</x:v>
      </x:c>
      <x:c r="O88" s="192" t="n">
        <x:v>0</x:v>
      </x:c>
      <x:c r="P88" s="193" t="b">
        <x:v>1</x:v>
      </x:c>
      <x:c r="Q88" s="193" t="b">
        <x:v>1</x:v>
      </x:c>
      <x:c r="R88" s="193" t="b">
        <x:v>0</x:v>
      </x:c>
      <x:c r="S88" s="193" t="b">
        <x:v>0</x:v>
      </x:c>
      <x:c r="T88" s="192" t="n">
        <x:v>69</x:v>
      </x:c>
      <x:c r="U88" s="192" t="n">
        <x:v>21</x:v>
      </x:c>
      <x:c r="V88" s="200" t="n">
        <x:v>0.2333333333</x:v>
      </x:c>
      <x:c r="W88" s="203" t="n">
        <x:v>509</x:v>
      </x:c>
      <x:c r="X88" s="203" t="n">
        <x:v>10644.7630161089</x:v>
      </x:c>
      <x:c r="Y88" s="203" t="n">
        <x:v>27521.147714565</x:v>
      </x:c>
      <x:c r="Z88" s="193" t="b">
        <x:v>1</x:v>
      </x:c>
      <x:c r="AA88" s="193" t="b">
        <x:v>1</x:v>
      </x:c>
      <x:c r="AB88" s="193" t="b">
        <x:v>1</x:v>
      </x:c>
      <x:c r="AC88" s="193" t="b">
        <x:v>1</x:v>
      </x:c>
      <x:c r="AD88" s="193" t="b">
        <x:v>1</x:v>
      </x:c>
      <x:c r="AE88" s="193" t="b">
        <x:v>0</x:v>
      </x:c>
      <x:c r="AF88" s="193" t="b">
        <x:v>0</x:v>
      </x:c>
      <x:c r="AG88" s="193" t="b">
        <x:v>1</x:v>
      </x:c>
      <x:c r="AH88" s="193" t="b">
        <x:v>1</x:v>
      </x:c>
      <x:c r="AI88" s="193" t="b">
        <x:v>1</x:v>
      </x:c>
      <x:c r="AJ88" s="193" t="b">
        <x:v>0</x:v>
      </x:c>
    </x:row>
    <x:row r="89">
      <x:c r="A89" s="192" t="n">
        <x:v>1083301106167776800</x:v>
      </x:c>
      <x:c r="B89" s="192" t="str">
        <x:v>https://www.airbnb.com.br/rooms/1083301106167776779</x:v>
      </x:c>
      <x:c r="C89" s="192" t="str">
        <x:v>Apartamento de luxo</x:v>
      </x:c>
      <x:c r="D89" s="192" t="str">
        <x:v>Morretes</x:v>
      </x:c>
      <x:c r="E89" s="192" t="n">
        <x:v>-27.1189994812</x:v>
      </x:c>
      <x:c r="F89" s="192" t="n">
        <x:v>-48.6100006104</x:v>
      </x:c>
      <x:c r="G89" s="192" t="str">
        <x:v>apartamento</x:v>
      </x:c>
      <x:c r="H89" s="192" t="n">
        <x:v>3</x:v>
      </x:c>
      <x:c r="I89" s="192" t="n">
        <x:v>2</x:v>
      </x:c>
      <x:c r="J89" s="192" t="n">
        <x:v>4</x:v>
      </x:c>
      <x:c r="K89" s="192" t="n">
        <x:v>8</x:v>
      </x:c>
      <x:c r="L89" s="192" t="n">
        <x:v>16</x:v>
      </x:c>
      <x:c r="M89" s="192" t="n">
        <x:v>5</x:v>
      </x:c>
      <x:c r="N89" s="192" t="n">
        <x:v>250</x:v>
      </x:c>
      <x:c r="O89" s="192" t="n">
        <x:v>21</x:v>
      </x:c>
      <x:c r="P89" s="193" t="b">
        <x:v>0</x:v>
      </x:c>
      <x:c r="Q89" s="193" t="b">
        <x:v>0</x:v>
      </x:c>
      <x:c r="R89" s="193" t="b">
        <x:v>1</x:v>
      </x:c>
      <x:c r="S89" s="193" t="b">
        <x:v>1</x:v>
      </x:c>
      <x:c r="T89" s="192" t="n">
        <x:v>30</x:v>
      </x:c>
      <x:c r="U89" s="192" t="n">
        <x:v>60</x:v>
      </x:c>
      <x:c r="V89" s="200" t="n">
        <x:v>0.6666666667</x:v>
      </x:c>
      <x:c r="W89" s="203" t="n">
        <x:v>430</x:v>
      </x:c>
      <x:c r="X89" s="203" t="n">
        <x:v>26474.2920453263</x:v>
      </x:c>
      <x:c r="Y89" s="203" t="n">
        <x:v>68447.0758921874</x:v>
      </x:c>
      <x:c r="Z89" s="193" t="b">
        <x:v>0</x:v>
      </x:c>
      <x:c r="AA89" s="193" t="b">
        <x:v>0</x:v>
      </x:c>
      <x:c r="AB89" s="193" t="b">
        <x:v>1</x:v>
      </x:c>
      <x:c r="AC89" s="193" t="b">
        <x:v>1</x:v>
      </x:c>
      <x:c r="AD89" s="193" t="b">
        <x:v>1</x:v>
      </x:c>
      <x:c r="AE89" s="193" t="b">
        <x:v>1</x:v>
      </x:c>
      <x:c r="AF89" s="193" t="b">
        <x:v>1</x:v>
      </x:c>
      <x:c r="AG89" s="193" t="b">
        <x:v>1</x:v>
      </x:c>
      <x:c r="AH89" s="193" t="b">
        <x:v>1</x:v>
      </x:c>
      <x:c r="AI89" s="193" t="b">
        <x:v>1</x:v>
      </x:c>
      <x:c r="AJ89" s="193" t="b">
        <x:v>1</x:v>
      </x:c>
    </x:row>
    <x:row r="90">
      <x:c r="A90" s="192" t="n">
        <x:v>46990438</x:v>
      </x:c>
      <x:c r="B90" s="192" t="str">
        <x:v>https://www.airbnb.com.br/rooms/46990438</x:v>
      </x:c>
      <x:c r="C90" s="192" t="str">
        <x:v>Apto 200m do mar, com terraço no Centro de Itapema</x:v>
      </x:c>
      <x:c r="D90" s="192" t="str">
        <x:v>Centro</x:v>
      </x:c>
      <x:c r="E90" s="192" t="n">
        <x:v>-27.0944309235</x:v>
      </x:c>
      <x:c r="F90" s="192" t="n">
        <x:v>-48.6145896912</x:v>
      </x:c>
      <x:c r="G90" s="192" t="str">
        <x:v>apartamento</x:v>
      </x:c>
      <x:c r="H90" s="192" t="n">
        <x:v>2</x:v>
      </x:c>
      <x:c r="I90" s="192" t="n">
        <x:v>3</x:v>
      </x:c>
      <x:c r="J90" s="192" t="n">
        <x:v>4</x:v>
      </x:c>
      <x:c r="K90" s="192" t="n">
        <x:v>6</x:v>
      </x:c>
      <x:c r="L90" s="192" t="n">
        <x:v>17</x:v>
      </x:c>
      <x:c r="M90" s="192" t="n">
        <x:v>5</x:v>
      </x:c>
      <x:c r="N90" s="192" t="n">
        <x:v>300</x:v>
      </x:c>
      <x:c r="O90" s="192" t="n">
        <x:v>13</x:v>
      </x:c>
      <x:c r="P90" s="193" t="b">
        <x:v>0</x:v>
      </x:c>
      <x:c r="Q90" s="193" t="b">
        <x:v>0</x:v>
      </x:c>
      <x:c r="R90" s="193" t="b">
        <x:v>1</x:v>
      </x:c>
      <x:c r="S90" s="193" t="b">
        <x:v>0</x:v>
      </x:c>
      <x:c r="T90" s="192" t="n">
        <x:v>54</x:v>
      </x:c>
      <x:c r="U90" s="192" t="n">
        <x:v>36</x:v>
      </x:c>
      <x:c r="V90" s="200" t="n">
        <x:v>0.4</x:v>
      </x:c>
      <x:c r="W90" s="203" t="n">
        <x:v>600</x:v>
      </x:c>
      <x:c r="X90" s="203" t="n">
        <x:v>21466.0316071647</x:v>
      </x:c>
      <x:c r="Y90" s="203" t="n">
        <x:v>55498.6358843572</x:v>
      </x:c>
      <x:c r="Z90" s="193" t="b">
        <x:v>1</x:v>
      </x:c>
      <x:c r="AA90" s="193" t="b">
        <x:v>0</x:v>
      </x:c>
      <x:c r="AB90" s="193" t="b">
        <x:v>1</x:v>
      </x:c>
      <x:c r="AC90" s="193" t="b">
        <x:v>1</x:v>
      </x:c>
      <x:c r="AD90" s="193" t="b">
        <x:v>1</x:v>
      </x:c>
      <x:c r="AE90" s="193" t="b">
        <x:v>1</x:v>
      </x:c>
      <x:c r="AF90" s="193" t="b">
        <x:v>1</x:v>
      </x:c>
      <x:c r="AG90" s="193" t="b">
        <x:v>1</x:v>
      </x:c>
      <x:c r="AH90" s="193" t="b">
        <x:v>1</x:v>
      </x:c>
      <x:c r="AI90" s="193" t="b">
        <x:v>1</x:v>
      </x:c>
      <x:c r="AJ90" s="193" t="b">
        <x:v>1</x:v>
      </x:c>
    </x:row>
    <x:row r="91">
      <x:c r="A91" s="192" t="n">
        <x:v>45513430</x:v>
      </x:c>
      <x:c r="B91" s="192" t="str">
        <x:v>https://www.airbnb.com.br/rooms/45513430</x:v>
      </x:c>
      <x:c r="C91" s="192" t="str">
        <x:v>Excelente apto em Meia Praia - 3 dorms.</x:v>
      </x:c>
      <x:c r="D91" s="192" t="str">
        <x:v>Meia Praia</x:v>
      </x:c>
      <x:c r="E91" s="192" t="n">
        <x:v>-27.12275</x:v>
      </x:c>
      <x:c r="F91" s="192" t="n">
        <x:v>-48.60783</x:v>
      </x:c>
      <x:c r="G91" s="192" t="str">
        <x:v>apartamento</x:v>
      </x:c>
      <x:c r="H91" s="192" t="n">
        <x:v>3</x:v>
      </x:c>
      <x:c r="I91" s="192" t="n">
        <x:v>2</x:v>
      </x:c>
      <x:c r="J91" s="192" t="n">
        <x:v>3</x:v>
      </x:c>
      <x:c r="K91" s="192" t="n">
        <x:v>8</x:v>
      </x:c>
      <x:c r="L91" s="192" t="n">
        <x:v>14</x:v>
      </x:c>
      <x:c r="M91" s="192" t="n">
        <x:v>4.8600001335</x:v>
      </x:c>
      <x:c r="N91" s="192" t="n">
        <x:v>250</x:v>
      </x:c>
      <x:c r="O91" s="192" t="n">
        <x:v>36</x:v>
      </x:c>
      <x:c r="P91" s="193" t="b">
        <x:v>0</x:v>
      </x:c>
      <x:c r="Q91" s="193" t="b">
        <x:v>0</x:v>
      </x:c>
      <x:c r="R91" s="193" t="b">
        <x:v>1</x:v>
      </x:c>
      <x:c r="S91" s="193" t="b">
        <x:v>0</x:v>
      </x:c>
      <x:c r="T91" s="192" t="n">
        <x:v>89</x:v>
      </x:c>
      <x:c r="U91" s="192" t="n">
        <x:v>1</x:v>
      </x:c>
      <x:c r="V91" s="200" t="n">
        <x:v>0.0111111111</x:v>
      </x:c>
      <x:c r="W91" s="203" t="n">
        <x:v>780</x:v>
      </x:c>
      <x:c r="X91" s="203" t="n">
        <x:v>785.0775768546</x:v>
      </x:c>
      <x:c r="Y91" s="203" t="n">
        <x:v>2029.7526518262</x:v>
      </x:c>
      <x:c r="Z91" s="193" t="b">
        <x:v>1</x:v>
      </x:c>
      <x:c r="AA91" s="193" t="b">
        <x:v>0</x:v>
      </x:c>
      <x:c r="AB91" s="193" t="b">
        <x:v>1</x:v>
      </x:c>
      <x:c r="AC91" s="193" t="b">
        <x:v>1</x:v>
      </x:c>
      <x:c r="AD91" s="193" t="b">
        <x:v>0</x:v>
      </x:c>
      <x:c r="AE91" s="193" t="b">
        <x:v>1</x:v>
      </x:c>
      <x:c r="AF91" s="193" t="b">
        <x:v>1</x:v>
      </x:c>
      <x:c r="AG91" s="193" t="b">
        <x:v>1</x:v>
      </x:c>
      <x:c r="AH91" s="193" t="b">
        <x:v>1</x:v>
      </x:c>
      <x:c r="AI91" s="193" t="b">
        <x:v>1</x:v>
      </x:c>
      <x:c r="AJ91" s="193" t="b">
        <x:v>1</x:v>
      </x:c>
    </x:row>
    <x:row r="92">
      <x:c r="A92" s="192" t="n">
        <x:v>1315954985293478400</x:v>
      </x:c>
      <x:c r="B92" s="192" t="str">
        <x:v>https://www.airbnb.com.br/rooms/1315954985293478319</x:v>
      </x:c>
      <x:c r="C92" s="192" t="str">
        <x:v>Apto Elegante c/ Vista Mar a 280m da Praia MHF1504</x:v>
      </x:c>
      <x:c r="D92" s="192" t="str">
        <x:v>Centro</x:v>
      </x:c>
      <x:c r="E92" s="192" t="n">
        <x:v>-27.0936468951</x:v>
      </x:c>
      <x:c r="F92" s="192" t="n">
        <x:v>-48.6130821638</x:v>
      </x:c>
      <x:c r="G92" s="192" t="str">
        <x:v>apartamento</x:v>
      </x:c>
      <x:c r="H92" s="192" t="n">
        <x:v>1</x:v>
      </x:c>
      <x:c r="I92" s="192" t="n">
        <x:v>1</x:v>
      </x:c>
      <x:c r="J92" s="192" t="n">
        <x:v>2</x:v>
      </x:c>
      <x:c r="K92" s="192" t="n">
        <x:v>4</x:v>
      </x:c>
      <x:c r="L92" s="192" t="n">
        <x:v>0</x:v>
      </x:c>
      <x:c r="M92" s="192"/>
      <x:c r="N92" s="192" t="n">
        <x:v>170</x:v>
      </x:c>
      <x:c r="O92" s="192" t="n">
        <x:v>0</x:v>
      </x:c>
      <x:c r="P92" s="193" t="b">
        <x:v>1</x:v>
      </x:c>
      <x:c r="Q92" s="193" t="b">
        <x:v>1</x:v>
      </x:c>
      <x:c r="R92" s="193" t="b">
        <x:v>0</x:v>
      </x:c>
      <x:c r="S92" s="193" t="b">
        <x:v>0</x:v>
      </x:c>
      <x:c r="T92" s="192" t="n">
        <x:v>83</x:v>
      </x:c>
      <x:c r="U92" s="192" t="n">
        <x:v>7</x:v>
      </x:c>
      <x:c r="V92" s="200" t="n">
        <x:v>0.0777777778</x:v>
      </x:c>
      <x:c r="W92" s="203" t="n">
        <x:v>660</x:v>
      </x:c>
      <x:c r="X92" s="203" t="n">
        <x:v>5663.3581205533</x:v>
      </x:c>
      <x:c r="Y92" s="203" t="n">
        <x:v>14642.1404741804</x:v>
      </x:c>
      <x:c r="Z92" s="193" t="b">
        <x:v>1</x:v>
      </x:c>
      <x:c r="AA92" s="193" t="b">
        <x:v>1</x:v>
      </x:c>
      <x:c r="AB92" s="193" t="b">
        <x:v>1</x:v>
      </x:c>
      <x:c r="AC92" s="193" t="b">
        <x:v>1</x:v>
      </x:c>
      <x:c r="AD92" s="193" t="b">
        <x:v>1</x:v>
      </x:c>
      <x:c r="AE92" s="193" t="b">
        <x:v>0</x:v>
      </x:c>
      <x:c r="AF92" s="193" t="b">
        <x:v>1</x:v>
      </x:c>
      <x:c r="AG92" s="193" t="b">
        <x:v>1</x:v>
      </x:c>
      <x:c r="AH92" s="193" t="b">
        <x:v>1</x:v>
      </x:c>
      <x:c r="AI92" s="193" t="b">
        <x:v>1</x:v>
      </x:c>
      <x:c r="AJ92" s="193" t="b">
        <x:v>0</x:v>
      </x:c>
    </x:row>
    <x:row r="93">
      <x:c r="A93" s="192" t="n">
        <x:v>850931966820064600</x:v>
      </x:c>
      <x:c r="B93" s="192" t="str">
        <x:v>https://www.airbnb.com.br/rooms/850931966820064700</x:v>
      </x:c>
      <x:c r="C93" s="192" t="str">
        <x:v>Apto completo 3 suítes em Meia Praia</x:v>
      </x:c>
      <x:c r="D93" s="192" t="str">
        <x:v>Meia Praia</x:v>
      </x:c>
      <x:c r="E93" s="192" t="n">
        <x:v>-27.1329994202</x:v>
      </x:c>
      <x:c r="F93" s="192" t="n">
        <x:v>-48.5970001221</x:v>
      </x:c>
      <x:c r="G93" s="192" t="str">
        <x:v>apartamento</x:v>
      </x:c>
      <x:c r="H93" s="192" t="n">
        <x:v>3</x:v>
      </x:c>
      <x:c r="I93" s="192" t="n">
        <x:v>3</x:v>
      </x:c>
      <x:c r="J93" s="192" t="n">
        <x:v>4</x:v>
      </x:c>
      <x:c r="K93" s="192" t="n">
        <x:v>7</x:v>
      </x:c>
      <x:c r="L93" s="192" t="n">
        <x:v>18</x:v>
      </x:c>
      <x:c r="M93" s="192" t="n">
        <x:v>5</x:v>
      </x:c>
      <x:c r="N93" s="192" t="n">
        <x:v>300</x:v>
      </x:c>
      <x:c r="O93" s="192" t="n">
        <x:v>26</x:v>
      </x:c>
      <x:c r="P93" s="193" t="b">
        <x:v>0</x:v>
      </x:c>
      <x:c r="Q93" s="193" t="b">
        <x:v>0</x:v>
      </x:c>
      <x:c r="R93" s="193" t="b">
        <x:v>1</x:v>
      </x:c>
      <x:c r="S93" s="193" t="b">
        <x:v>1</x:v>
      </x:c>
      <x:c r="T93" s="192" t="n">
        <x:v>40</x:v>
      </x:c>
      <x:c r="U93" s="192" t="n">
        <x:v>50</x:v>
      </x:c>
      <x:c r="V93" s="200" t="n">
        <x:v>0.5555555556</x:v>
      </x:c>
      <x:c r="W93" s="203" t="n">
        <x:v>720</x:v>
      </x:c>
      <x:c r="X93" s="203" t="n">
        <x:v>35876.975157731</x:v>
      </x:c>
      <x:c r="Y93" s="203" t="n">
        <x:v>92756.9295223837</x:v>
      </x:c>
      <x:c r="Z93" s="193" t="b">
        <x:v>1</x:v>
      </x:c>
      <x:c r="AA93" s="193" t="b">
        <x:v>0</x:v>
      </x:c>
      <x:c r="AB93" s="193" t="b">
        <x:v>1</x:v>
      </x:c>
      <x:c r="AC93" s="193" t="b">
        <x:v>1</x:v>
      </x:c>
      <x:c r="AD93" s="193" t="b">
        <x:v>1</x:v>
      </x:c>
      <x:c r="AE93" s="193" t="b">
        <x:v>1</x:v>
      </x:c>
      <x:c r="AF93" s="193" t="b">
        <x:v>1</x:v>
      </x:c>
      <x:c r="AG93" s="193" t="b">
        <x:v>1</x:v>
      </x:c>
      <x:c r="AH93" s="193" t="b">
        <x:v>1</x:v>
      </x:c>
      <x:c r="AI93" s="193" t="b">
        <x:v>1</x:v>
      </x:c>
      <x:c r="AJ93" s="193" t="b">
        <x:v>1</x:v>
      </x:c>
    </x:row>
    <x:row r="94">
      <x:c r="A94" s="192" t="n">
        <x:v>23779860</x:v>
      </x:c>
      <x:c r="B94" s="192" t="str">
        <x:v>https://www.airbnb.com.br/rooms/23779860</x:v>
      </x:c>
      <x:c r="C94" s="192" t="str">
        <x:v>Apartamento Itapema melhor localização</x:v>
      </x:c>
      <x:c r="D94" s="192" t="str">
        <x:v>Meia Praia</x:v>
      </x:c>
      <x:c r="E94" s="192" t="n">
        <x:v>-27.1265</x:v>
      </x:c>
      <x:c r="F94" s="192" t="n">
        <x:v>-48.60202</x:v>
      </x:c>
      <x:c r="G94" s="192" t="str">
        <x:v>apartamento</x:v>
      </x:c>
      <x:c r="H94" s="192" t="n">
        <x:v>3</x:v>
      </x:c>
      <x:c r="I94" s="192" t="n">
        <x:v>2</x:v>
      </x:c>
      <x:c r="J94" s="192" t="n">
        <x:v>4</x:v>
      </x:c>
      <x:c r="K94" s="192" t="n">
        <x:v>12</x:v>
      </x:c>
      <x:c r="L94" s="192" t="n">
        <x:v>14</x:v>
      </x:c>
      <x:c r="M94" s="192" t="n">
        <x:v>4.5700001717</x:v>
      </x:c>
      <x:c r="N94" s="192" t="n">
        <x:v>200</x:v>
      </x:c>
      <x:c r="O94" s="192" t="n">
        <x:v>11</x:v>
      </x:c>
      <x:c r="P94" s="193" t="b">
        <x:v>0</x:v>
      </x:c>
      <x:c r="Q94" s="193" t="b">
        <x:v>0</x:v>
      </x:c>
      <x:c r="R94" s="193" t="b">
        <x:v>0</x:v>
      </x:c>
      <x:c r="S94" s="193" t="b">
        <x:v>0</x:v>
      </x:c>
      <x:c r="T94" s="192" t="n">
        <x:v>32</x:v>
      </x:c>
      <x:c r="U94" s="192" t="n">
        <x:v>58</x:v>
      </x:c>
      <x:c r="V94" s="200" t="n">
        <x:v>0.6444444444</x:v>
      </x:c>
      <x:c r="W94" s="203" t="n">
        <x:v>300</x:v>
      </x:c>
      <x:c r="X94" s="203" t="n">
        <x:v>17828.3801658907</x:v>
      </x:c>
      <x:c r="Y94" s="203" t="n">
        <x:v>46093.7912205633</x:v>
      </x:c>
      <x:c r="Z94" s="193" t="b">
        <x:v>0</x:v>
      </x:c>
      <x:c r="AA94" s="193" t="b">
        <x:v>0</x:v>
      </x:c>
      <x:c r="AB94" s="193" t="b">
        <x:v>1</x:v>
      </x:c>
      <x:c r="AC94" s="193" t="b">
        <x:v>1</x:v>
      </x:c>
      <x:c r="AD94" s="193" t="b">
        <x:v>1</x:v>
      </x:c>
      <x:c r="AE94" s="193" t="b">
        <x:v>0</x:v>
      </x:c>
      <x:c r="AF94" s="193" t="b">
        <x:v>1</x:v>
      </x:c>
      <x:c r="AG94" s="193" t="b">
        <x:v>1</x:v>
      </x:c>
      <x:c r="AH94" s="193" t="b">
        <x:v>1</x:v>
      </x:c>
      <x:c r="AI94" s="193" t="b">
        <x:v>1</x:v>
      </x:c>
      <x:c r="AJ94" s="193" t="b">
        <x:v>1</x:v>
      </x:c>
    </x:row>
    <x:row r="95">
      <x:c r="A95" s="192" t="n">
        <x:v>53733977</x:v>
      </x:c>
      <x:c r="B95" s="192" t="str">
        <x:v>https://www.airbnb.com.br/rooms/53733977</x:v>
      </x:c>
      <x:c r="C95" s="192" t="str">
        <x:v>Apart. Meia Praia - 5 min Shopping Russi</x:v>
      </x:c>
      <x:c r="D95" s="192" t="str">
        <x:v>Meia Praia</x:v>
      </x:c>
      <x:c r="E95" s="192" t="n">
        <x:v>-27.13436</x:v>
      </x:c>
      <x:c r="F95" s="192" t="n">
        <x:v>-48.60539</x:v>
      </x:c>
      <x:c r="G95" s="192" t="str">
        <x:v>apartamento</x:v>
      </x:c>
      <x:c r="H95" s="192" t="n">
        <x:v>2</x:v>
      </x:c>
      <x:c r="I95" s="192" t="n">
        <x:v>2</x:v>
      </x:c>
      <x:c r="J95" s="192" t="n">
        <x:v>4</x:v>
      </x:c>
      <x:c r="K95" s="192" t="n">
        <x:v>4</x:v>
      </x:c>
      <x:c r="L95" s="192" t="n">
        <x:v>39</x:v>
      </x:c>
      <x:c r="M95" s="192" t="n">
        <x:v>4.9499998093</x:v>
      </x:c>
      <x:c r="N95" s="192" t="n">
        <x:v>220</x:v>
      </x:c>
      <x:c r="O95" s="192" t="n">
        <x:v>19</x:v>
      </x:c>
      <x:c r="P95" s="193" t="b">
        <x:v>1</x:v>
      </x:c>
      <x:c r="Q95" s="193" t="b">
        <x:v>0</x:v>
      </x:c>
      <x:c r="R95" s="193" t="b">
        <x:v>1</x:v>
      </x:c>
      <x:c r="S95" s="193" t="b">
        <x:v>1</x:v>
      </x:c>
      <x:c r="T95" s="192" t="n">
        <x:v>22</x:v>
      </x:c>
      <x:c r="U95" s="192" t="n">
        <x:v>68</x:v>
      </x:c>
      <x:c r="V95" s="200" t="n">
        <x:v>0.7555555556</x:v>
      </x:c>
      <x:c r="W95" s="203" t="n">
        <x:v>350</x:v>
      </x:c>
      <x:c r="X95" s="203" t="n">
        <x:v>23791.9622849764</x:v>
      </x:c>
      <x:c r="Y95" s="203" t="n">
        <x:v>61512.1358242827</x:v>
      </x:c>
      <x:c r="Z95" s="193" t="b">
        <x:v>1</x:v>
      </x:c>
      <x:c r="AA95" s="193" t="b">
        <x:v>0</x:v>
      </x:c>
      <x:c r="AB95" s="193" t="b">
        <x:v>1</x:v>
      </x:c>
      <x:c r="AC95" s="193" t="b">
        <x:v>1</x:v>
      </x:c>
      <x:c r="AD95" s="193" t="b">
        <x:v>1</x:v>
      </x:c>
      <x:c r="AE95" s="193" t="b">
        <x:v>1</x:v>
      </x:c>
      <x:c r="AF95" s="193" t="b">
        <x:v>1</x:v>
      </x:c>
      <x:c r="AG95" s="193" t="b">
        <x:v>1</x:v>
      </x:c>
      <x:c r="AH95" s="193" t="b">
        <x:v>1</x:v>
      </x:c>
      <x:c r="AI95" s="193" t="b">
        <x:v>1</x:v>
      </x:c>
      <x:c r="AJ95" s="193" t="b">
        <x:v>0</x:v>
      </x:c>
    </x:row>
    <x:row r="96">
      <x:c r="A96" s="192" t="n">
        <x:v>31059537</x:v>
      </x:c>
      <x:c r="B96" s="192" t="str">
        <x:v>https://www.airbnb.com.br/rooms/31059537</x:v>
      </x:c>
      <x:c r="C96" s="192" t="str">
        <x:v>★★★★★ Apt novo Itapema Beira Mar, 3 quartos, 2 vg</x:v>
      </x:c>
      <x:c r="D96" s="192" t="str">
        <x:v>Centro</x:v>
      </x:c>
      <x:c r="E96" s="192" t="n">
        <x:v>-27.10646</x:v>
      </x:c>
      <x:c r="F96" s="192" t="n">
        <x:v>-48.61335</x:v>
      </x:c>
      <x:c r="G96" s="192" t="str">
        <x:v>apartamento</x:v>
      </x:c>
      <x:c r="H96" s="192" t="n">
        <x:v>3</x:v>
      </x:c>
      <x:c r="I96" s="192" t="n">
        <x:v>2</x:v>
      </x:c>
      <x:c r="J96" s="192" t="n">
        <x:v>5</x:v>
      </x:c>
      <x:c r="K96" s="192" t="n">
        <x:v>8</x:v>
      </x:c>
      <x:c r="L96" s="192" t="n">
        <x:v>61</x:v>
      </x:c>
      <x:c r="M96" s="192" t="n">
        <x:v>4.9800000191</x:v>
      </x:c>
      <x:c r="N96" s="192" t="n">
        <x:v>250</x:v>
      </x:c>
      <x:c r="O96" s="192" t="n">
        <x:v>40</x:v>
      </x:c>
      <x:c r="P96" s="193" t="b">
        <x:v>1</x:v>
      </x:c>
      <x:c r="Q96" s="193" t="b">
        <x:v>0</x:v>
      </x:c>
      <x:c r="R96" s="193" t="b">
        <x:v>1</x:v>
      </x:c>
      <x:c r="S96" s="193" t="b">
        <x:v>1</x:v>
      </x:c>
      <x:c r="T96" s="192" t="n">
        <x:v>58</x:v>
      </x:c>
      <x:c r="U96" s="192" t="n">
        <x:v>32</x:v>
      </x:c>
      <x:c r="V96" s="200" t="n">
        <x:v>0.3555555556</x:v>
      </x:c>
      <x:c r="W96" s="203" t="n">
        <x:v>780.25</x:v>
      </x:c>
      <x:c r="X96" s="203" t="n">
        <x:v>24647.9211022267</x:v>
      </x:c>
      <x:c r="Y96" s="203" t="n">
        <x:v>63725.1460163821</x:v>
      </x:c>
      <x:c r="Z96" s="193" t="b">
        <x:v>1</x:v>
      </x:c>
      <x:c r="AA96" s="193" t="b">
        <x:v>0</x:v>
      </x:c>
      <x:c r="AB96" s="193" t="b">
        <x:v>1</x:v>
      </x:c>
      <x:c r="AC96" s="193" t="b">
        <x:v>1</x:v>
      </x:c>
      <x:c r="AD96" s="193" t="b">
        <x:v>1</x:v>
      </x:c>
      <x:c r="AE96" s="193" t="b">
        <x:v>1</x:v>
      </x:c>
      <x:c r="AF96" s="193" t="b">
        <x:v>1</x:v>
      </x:c>
      <x:c r="AG96" s="193" t="b">
        <x:v>1</x:v>
      </x:c>
      <x:c r="AH96" s="193" t="b">
        <x:v>1</x:v>
      </x:c>
      <x:c r="AI96" s="193" t="b">
        <x:v>1</x:v>
      </x:c>
      <x:c r="AJ96" s="193" t="b">
        <x:v>1</x:v>
      </x:c>
    </x:row>
    <x:row r="97">
      <x:c r="A97" s="192" t="n">
        <x:v>670778657683556500</x:v>
      </x:c>
      <x:c r="B97" s="192" t="str">
        <x:v>https://www.airbnb.com.br/rooms/670778657683556451</x:v>
      </x:c>
      <x:c r="C97" s="192" t="str">
        <x:v>Apartamento quadra mar Meia Praia – 3 suítes *135</x:v>
      </x:c>
      <x:c r="D97" s="192" t="str">
        <x:v>Meia Praia</x:v>
      </x:c>
      <x:c r="E97" s="192" t="n">
        <x:v>-27.1304644</x:v>
      </x:c>
      <x:c r="F97" s="192" t="n">
        <x:v>-48.5999387</x:v>
      </x:c>
      <x:c r="G97" s="192" t="str">
        <x:v>apartamento</x:v>
      </x:c>
      <x:c r="H97" s="192" t="n">
        <x:v>3</x:v>
      </x:c>
      <x:c r="I97" s="192" t="n">
        <x:v>4</x:v>
      </x:c>
      <x:c r="J97" s="192" t="n">
        <x:v>3</x:v>
      </x:c>
      <x:c r="K97" s="192" t="n">
        <x:v>8</x:v>
      </x:c>
      <x:c r="L97" s="192" t="n">
        <x:v>6</x:v>
      </x:c>
      <x:c r="M97" s="192" t="n">
        <x:v>5</x:v>
      </x:c>
      <x:c r="N97" s="192" t="n">
        <x:v>300</x:v>
      </x:c>
      <x:c r="O97" s="192" t="n">
        <x:v>21</x:v>
      </x:c>
      <x:c r="P97" s="193" t="b">
        <x:v>0</x:v>
      </x:c>
      <x:c r="Q97" s="193" t="b">
        <x:v>0</x:v>
      </x:c>
      <x:c r="R97" s="193" t="b">
        <x:v>1</x:v>
      </x:c>
      <x:c r="S97" s="193" t="b">
        <x:v>1</x:v>
      </x:c>
      <x:c r="T97" s="192" t="n">
        <x:v>26</x:v>
      </x:c>
      <x:c r="U97" s="192" t="n">
        <x:v>64</x:v>
      </x:c>
      <x:c r="V97" s="200" t="n">
        <x:v>0.7111111111</x:v>
      </x:c>
      <x:c r="W97" s="203" t="n">
        <x:v>736</x:v>
      </x:c>
      <x:c r="X97" s="203" t="n">
        <x:v>47428.4314538455</x:v>
      </x:c>
      <x:c r="Y97" s="203" t="n">
        <x:v>122622.2571546298</x:v>
      </x:c>
      <x:c r="Z97" s="193" t="b">
        <x:v>1</x:v>
      </x:c>
      <x:c r="AA97" s="193" t="b">
        <x:v>0</x:v>
      </x:c>
      <x:c r="AB97" s="193" t="b">
        <x:v>1</x:v>
      </x:c>
      <x:c r="AC97" s="193" t="b">
        <x:v>1</x:v>
      </x:c>
      <x:c r="AD97" s="193" t="b">
        <x:v>1</x:v>
      </x:c>
      <x:c r="AE97" s="193" t="b">
        <x:v>1</x:v>
      </x:c>
      <x:c r="AF97" s="193" t="b">
        <x:v>1</x:v>
      </x:c>
      <x:c r="AG97" s="193" t="b">
        <x:v>1</x:v>
      </x:c>
      <x:c r="AH97" s="193" t="b">
        <x:v>1</x:v>
      </x:c>
      <x:c r="AI97" s="193" t="b">
        <x:v>1</x:v>
      </x:c>
      <x:c r="AJ97" s="193" t="b">
        <x:v>1</x:v>
      </x:c>
    </x:row>
    <x:row r="98">
      <x:c r="A98" s="192" t="n">
        <x:v>1191386301072210000</x:v>
      </x:c>
      <x:c r="B98" s="192" t="str">
        <x:v>https://www.airbnb.com.br/rooms/1191386301072209798</x:v>
      </x:c>
      <x:c r="C98" s="192" t="str">
        <x:v>Apto Vista Mar em Edifício de Luxo MHF1903</x:v>
      </x:c>
      <x:c r="D98" s="192" t="str">
        <x:v>Centro</x:v>
      </x:c>
      <x:c r="E98" s="192" t="n">
        <x:v>-27.09306</x:v>
      </x:c>
      <x:c r="F98" s="192" t="n">
        <x:v>-48.61326</x:v>
      </x:c>
      <x:c r="G98" s="192" t="str">
        <x:v>apartamento</x:v>
      </x:c>
      <x:c r="H98" s="192" t="n">
        <x:v>1</x:v>
      </x:c>
      <x:c r="I98" s="192" t="n">
        <x:v>1</x:v>
      </x:c>
      <x:c r="J98" s="192" t="n">
        <x:v>2</x:v>
      </x:c>
      <x:c r="K98" s="192" t="n">
        <x:v>4</x:v>
      </x:c>
      <x:c r="L98" s="192" t="n">
        <x:v>22</x:v>
      </x:c>
      <x:c r="M98" s="192" t="n">
        <x:v>4.8600001335</x:v>
      </x:c>
      <x:c r="N98" s="192" t="n">
        <x:v>190</x:v>
      </x:c>
      <x:c r="O98" s="192" t="n">
        <x:v>0</x:v>
      </x:c>
      <x:c r="P98" s="193" t="b">
        <x:v>1</x:v>
      </x:c>
      <x:c r="Q98" s="193" t="b">
        <x:v>1</x:v>
      </x:c>
      <x:c r="R98" s="193" t="b">
        <x:v>1</x:v>
      </x:c>
      <x:c r="S98" s="193" t="b">
        <x:v>0</x:v>
      </x:c>
      <x:c r="T98" s="192" t="n">
        <x:v>69</x:v>
      </x:c>
      <x:c r="U98" s="192" t="n">
        <x:v>21</x:v>
      </x:c>
      <x:c r="V98" s="200" t="n">
        <x:v>0.2333333333</x:v>
      </x:c>
      <x:c r="W98" s="203" t="n">
        <x:v>495</x:v>
      </x:c>
      <x:c r="X98" s="203" t="n">
        <x:v>10295.7828757592</x:v>
      </x:c>
      <x:c r="Y98" s="203" t="n">
        <x:v>26618.888643369</x:v>
      </x:c>
      <x:c r="Z98" s="193" t="b">
        <x:v>1</x:v>
      </x:c>
      <x:c r="AA98" s="193" t="b">
        <x:v>1</x:v>
      </x:c>
      <x:c r="AB98" s="193" t="b">
        <x:v>1</x:v>
      </x:c>
      <x:c r="AC98" s="193" t="b">
        <x:v>0</x:v>
      </x:c>
      <x:c r="AD98" s="193" t="b">
        <x:v>1</x:v>
      </x:c>
      <x:c r="AE98" s="193" t="b">
        <x:v>1</x:v>
      </x:c>
      <x:c r="AF98" s="193" t="b">
        <x:v>1</x:v>
      </x:c>
      <x:c r="AG98" s="193" t="b">
        <x:v>1</x:v>
      </x:c>
      <x:c r="AH98" s="193" t="b">
        <x:v>1</x:v>
      </x:c>
      <x:c r="AI98" s="193" t="b">
        <x:v>1</x:v>
      </x:c>
      <x:c r="AJ98" s="193" t="b">
        <x:v>0</x:v>
      </x:c>
    </x:row>
    <x:row r="99">
      <x:c r="A99" s="192" t="n">
        <x:v>1208757710030861000</x:v>
      </x:c>
      <x:c r="B99" s="192" t="str">
        <x:v>https://www.airbnb.com.br/rooms/1208757710030861160</x:v>
      </x:c>
      <x:c r="C99" s="192" t="str">
        <x:v>Belo studio charmoso vista mar Itapema MHFB0604</x:v>
      </x:c>
      <x:c r="D99" s="192" t="str">
        <x:v>Centro</x:v>
      </x:c>
      <x:c r="E99" s="192" t="n">
        <x:v>-27.09231</x:v>
      </x:c>
      <x:c r="F99" s="192" t="n">
        <x:v>-48.61455</x:v>
      </x:c>
      <x:c r="G99" s="192" t="str">
        <x:v>apartamento</x:v>
      </x:c>
      <x:c r="H99" s="192" t="n">
        <x:v>1</x:v>
      </x:c>
      <x:c r="I99" s="192" t="n">
        <x:v>1</x:v>
      </x:c>
      <x:c r="J99" s="192" t="n">
        <x:v>1</x:v>
      </x:c>
      <x:c r="K99" s="192" t="n">
        <x:v>2</x:v>
      </x:c>
      <x:c r="L99" s="192" t="n">
        <x:v>4</x:v>
      </x:c>
      <x:c r="M99" s="192" t="n">
        <x:v>5</x:v>
      </x:c>
      <x:c r="N99" s="192" t="n">
        <x:v>150</x:v>
      </x:c>
      <x:c r="O99" s="192" t="n">
        <x:v>0</x:v>
      </x:c>
      <x:c r="P99" s="193" t="b">
        <x:v>1</x:v>
      </x:c>
      <x:c r="Q99" s="193" t="b">
        <x:v>1</x:v>
      </x:c>
      <x:c r="R99" s="193" t="b">
        <x:v>0</x:v>
      </x:c>
      <x:c r="S99" s="193" t="b">
        <x:v>0</x:v>
      </x:c>
      <x:c r="T99" s="192" t="n">
        <x:v>62</x:v>
      </x:c>
      <x:c r="U99" s="192" t="n">
        <x:v>28</x:v>
      </x:c>
      <x:c r="V99" s="200" t="n">
        <x:v>0.3111111111</x:v>
      </x:c>
      <x:c r="W99" s="203" t="n">
        <x:v>372</x:v>
      </x:c>
      <x:c r="X99" s="203" t="n">
        <x:v>10368.1240693301</x:v>
      </x:c>
      <x:c r="Y99" s="203" t="n">
        <x:v>26805.9207709139</x:v>
      </x:c>
      <x:c r="Z99" s="193" t="b">
        <x:v>1</x:v>
      </x:c>
      <x:c r="AA99" s="193" t="b">
        <x:v>1</x:v>
      </x:c>
      <x:c r="AB99" s="193" t="b">
        <x:v>1</x:v>
      </x:c>
      <x:c r="AC99" s="193" t="b">
        <x:v>1</x:v>
      </x:c>
      <x:c r="AD99" s="193" t="b">
        <x:v>1</x:v>
      </x:c>
      <x:c r="AE99" s="193" t="b">
        <x:v>0</x:v>
      </x:c>
      <x:c r="AF99" s="193" t="b">
        <x:v>1</x:v>
      </x:c>
      <x:c r="AG99" s="193" t="b">
        <x:v>1</x:v>
      </x:c>
      <x:c r="AH99" s="193" t="b">
        <x:v>1</x:v>
      </x:c>
      <x:c r="AI99" s="193" t="b">
        <x:v>0</x:v>
      </x:c>
      <x:c r="AJ99" s="193" t="b">
        <x:v>0</x:v>
      </x:c>
    </x:row>
    <x:row r="100">
      <x:c r="A100" s="192" t="n">
        <x:v>47172145</x:v>
      </x:c>
      <x:c r="B100" s="192" t="str">
        <x:v>https://www.airbnb.com.br/rooms/47172145</x:v>
      </x:c>
      <x:c r="C100" s="192" t="str">
        <x:v>Apto no centro de Itapema 3 Suites, 2 vagas</x:v>
      </x:c>
      <x:c r="D100" s="192" t="str">
        <x:v>Centro</x:v>
      </x:c>
      <x:c r="E100" s="192" t="n">
        <x:v>-27.0956</x:v>
      </x:c>
      <x:c r="F100" s="192" t="n">
        <x:v>-48.61805</x:v>
      </x:c>
      <x:c r="G100" s="192" t="str">
        <x:v>apartamento</x:v>
      </x:c>
      <x:c r="H100" s="192" t="n">
        <x:v>3</x:v>
      </x:c>
      <x:c r="I100" s="192" t="n">
        <x:v>3</x:v>
      </x:c>
      <x:c r="J100" s="192" t="n">
        <x:v>4</x:v>
      </x:c>
      <x:c r="K100" s="192" t="n">
        <x:v>9</x:v>
      </x:c>
      <x:c r="L100" s="192" t="n">
        <x:v>5</x:v>
      </x:c>
      <x:c r="M100" s="192" t="n">
        <x:v>5</x:v>
      </x:c>
      <x:c r="N100" s="192" t="n">
        <x:v>300</x:v>
      </x:c>
      <x:c r="O100" s="192" t="n">
        <x:v>32</x:v>
      </x:c>
      <x:c r="P100" s="193" t="b">
        <x:v>0</x:v>
      </x:c>
      <x:c r="Q100" s="193" t="b">
        <x:v>0</x:v>
      </x:c>
      <x:c r="R100" s="193" t="b">
        <x:v>0</x:v>
      </x:c>
      <x:c r="S100" s="193" t="b">
        <x:v>0</x:v>
      </x:c>
      <x:c r="T100" s="192" t="n">
        <x:v>60</x:v>
      </x:c>
      <x:c r="U100" s="192" t="n">
        <x:v>30</x:v>
      </x:c>
      <x:c r="V100" s="200" t="n">
        <x:v>0.3333333333</x:v>
      </x:c>
      <x:c r="W100" s="203" t="n">
        <x:v>501.5</x:v>
      </x:c>
      <x:c r="X100" s="203" t="n">
        <x:v>15812.6393476964</x:v>
      </x:c>
      <x:c r="Y100" s="203" t="n">
        <x:v>40882.2613135234</x:v>
      </x:c>
      <x:c r="Z100" s="193" t="b">
        <x:v>1</x:v>
      </x:c>
      <x:c r="AA100" s="193" t="b">
        <x:v>0</x:v>
      </x:c>
      <x:c r="AB100" s="193" t="b">
        <x:v>1</x:v>
      </x:c>
      <x:c r="AC100" s="193" t="b">
        <x:v>1</x:v>
      </x:c>
      <x:c r="AD100" s="193" t="b">
        <x:v>1</x:v>
      </x:c>
      <x:c r="AE100" s="193" t="b">
        <x:v>1</x:v>
      </x:c>
      <x:c r="AF100" s="193" t="b">
        <x:v>1</x:v>
      </x:c>
      <x:c r="AG100" s="193" t="b">
        <x:v>1</x:v>
      </x:c>
      <x:c r="AH100" s="193" t="b">
        <x:v>1</x:v>
      </x:c>
      <x:c r="AI100" s="193" t="b">
        <x:v>1</x:v>
      </x:c>
      <x:c r="AJ100" s="193" t="b">
        <x:v>0</x:v>
      </x:c>
    </x:row>
    <x:row r="101">
      <x:c r="A101" s="192" t="n">
        <x:v>40892344</x:v>
      </x:c>
      <x:c r="B101" s="192" t="str">
        <x:v>https://www.airbnb.com.br/rooms/40892344</x:v>
      </x:c>
      <x:c r="C101" s="192" t="str">
        <x:v>Apto de frente Av Nereu Ramos na quadra do mar!</x:v>
      </x:c>
      <x:c r="D101" s="192" t="str">
        <x:v>Meia Praia</x:v>
      </x:c>
      <x:c r="E101" s="192" t="n">
        <x:v>-27.1310501099</x:v>
      </x:c>
      <x:c r="F101" s="192" t="n">
        <x:v>-48.5999183655</x:v>
      </x:c>
      <x:c r="G101" s="192" t="str">
        <x:v>apartamento</x:v>
      </x:c>
      <x:c r="H101" s="192" t="n">
        <x:v>3</x:v>
      </x:c>
      <x:c r="I101" s="192" t="n">
        <x:v>2</x:v>
      </x:c>
      <x:c r="J101" s="192" t="n">
        <x:v>3</x:v>
      </x:c>
      <x:c r="K101" s="192" t="n">
        <x:v>8</x:v>
      </x:c>
      <x:c r="L101" s="192" t="n">
        <x:v>38</x:v>
      </x:c>
      <x:c r="M101" s="192" t="n">
        <x:v>4.8200001717</x:v>
      </x:c>
      <x:c r="N101" s="192" t="n">
        <x:v>350</x:v>
      </x:c>
      <x:c r="O101" s="192" t="n">
        <x:v>42</x:v>
      </x:c>
      <x:c r="P101" s="193" t="b">
        <x:v>1</x:v>
      </x:c>
      <x:c r="Q101" s="193" t="b">
        <x:v>0</x:v>
      </x:c>
      <x:c r="R101" s="193" t="b">
        <x:v>1</x:v>
      </x:c>
      <x:c r="S101" s="193" t="b">
        <x:v>1</x:v>
      </x:c>
      <x:c r="T101" s="192" t="n">
        <x:v>55</x:v>
      </x:c>
      <x:c r="U101" s="192" t="n">
        <x:v>35</x:v>
      </x:c>
      <x:c r="V101" s="200" t="n">
        <x:v>0.3888888889</x:v>
      </x:c>
      <x:c r="W101" s="203" t="n">
        <x:v>401.6</x:v>
      </x:c>
      <x:c r="X101" s="203" t="n">
        <x:v>14804.7619626931</x:v>
      </x:c>
      <x:c r="Y101" s="203" t="n">
        <x:v>38276.4783243794</x:v>
      </x:c>
      <x:c r="Z101" s="193" t="b">
        <x:v>1</x:v>
      </x:c>
      <x:c r="AA101" s="193" t="b">
        <x:v>0</x:v>
      </x:c>
      <x:c r="AB101" s="193" t="b">
        <x:v>1</x:v>
      </x:c>
      <x:c r="AC101" s="193" t="b">
        <x:v>1</x:v>
      </x:c>
      <x:c r="AD101" s="193" t="b">
        <x:v>1</x:v>
      </x:c>
      <x:c r="AE101" s="193" t="b">
        <x:v>1</x:v>
      </x:c>
      <x:c r="AF101" s="193" t="b">
        <x:v>1</x:v>
      </x:c>
      <x:c r="AG101" s="193" t="b">
        <x:v>1</x:v>
      </x:c>
      <x:c r="AH101" s="193" t="b">
        <x:v>1</x:v>
      </x:c>
      <x:c r="AI101" s="193" t="b">
        <x:v>1</x:v>
      </x:c>
      <x:c r="AJ101" s="193" t="b">
        <x:v>1</x:v>
      </x:c>
    </x:row>
    <x:row r="102">
      <x:c r="A102" s="192" t="n">
        <x:v>35481220</x:v>
      </x:c>
      <x:c r="B102" s="192" t="str">
        <x:v>https://www.airbnb.com.br/rooms/35481220</x:v>
      </x:c>
      <x:c r="C102" s="192" t="str">
        <x:v>Meia Praia/Aconchegante/150m praia/100%Climatizado</x:v>
      </x:c>
      <x:c r="D102" s="192" t="str">
        <x:v>Meia Praia</x:v>
      </x:c>
      <x:c r="E102" s="192" t="n">
        <x:v>-27.14024</x:v>
      </x:c>
      <x:c r="F102" s="192" t="n">
        <x:v>-48.59128</x:v>
      </x:c>
      <x:c r="G102" s="192" t="str">
        <x:v>apartamento</x:v>
      </x:c>
      <x:c r="H102" s="192" t="n">
        <x:v>3</x:v>
      </x:c>
      <x:c r="I102" s="192" t="n">
        <x:v>3</x:v>
      </x:c>
      <x:c r="J102" s="192" t="n">
        <x:v>3</x:v>
      </x:c>
      <x:c r="K102" s="192" t="n">
        <x:v>6</x:v>
      </x:c>
      <x:c r="L102" s="192" t="n">
        <x:v>17</x:v>
      </x:c>
      <x:c r="M102" s="192" t="n">
        <x:v>4.9400000572</x:v>
      </x:c>
      <x:c r="N102" s="192" t="n">
        <x:v>300</x:v>
      </x:c>
      <x:c r="O102" s="192" t="n">
        <x:v>19</x:v>
      </x:c>
      <x:c r="P102" s="193" t="b">
        <x:v>0</x:v>
      </x:c>
      <x:c r="Q102" s="193" t="b">
        <x:v>0</x:v>
      </x:c>
      <x:c r="R102" s="193" t="b">
        <x:v>1</x:v>
      </x:c>
      <x:c r="S102" s="193" t="b">
        <x:v>0</x:v>
      </x:c>
      <x:c r="T102" s="192" t="n">
        <x:v>60</x:v>
      </x:c>
      <x:c r="U102" s="192" t="n">
        <x:v>30</x:v>
      </x:c>
      <x:c r="V102" s="200" t="n">
        <x:v>0.3333333333</x:v>
      </x:c>
      <x:c r="W102" s="203" t="n">
        <x:v>648.42855</x:v>
      </x:c>
      <x:c r="X102" s="203" t="n">
        <x:v>19997.6268452007</x:v>
      </x:c>
      <x:c r="Y102" s="203" t="n">
        <x:v>51702.1977393625</x:v>
      </x:c>
      <x:c r="Z102" s="193" t="b">
        <x:v>1</x:v>
      </x:c>
      <x:c r="AA102" s="193" t="b">
        <x:v>0</x:v>
      </x:c>
      <x:c r="AB102" s="193" t="b">
        <x:v>1</x:v>
      </x:c>
      <x:c r="AC102" s="193" t="b">
        <x:v>1</x:v>
      </x:c>
      <x:c r="AD102" s="193" t="b">
        <x:v>1</x:v>
      </x:c>
      <x:c r="AE102" s="193" t="b">
        <x:v>0</x:v>
      </x:c>
      <x:c r="AF102" s="193" t="b">
        <x:v>1</x:v>
      </x:c>
      <x:c r="AG102" s="193" t="b">
        <x:v>1</x:v>
      </x:c>
      <x:c r="AH102" s="193" t="b">
        <x:v>1</x:v>
      </x:c>
      <x:c r="AI102" s="193" t="b">
        <x:v>1</x:v>
      </x:c>
      <x:c r="AJ102" s="193" t="b">
        <x:v>1</x:v>
      </x:c>
    </x:row>
    <x:row r="103">
      <x:c r="A103" s="192" t="n">
        <x:v>1274533646308060200</x:v>
      </x:c>
      <x:c r="B103" s="192" t="str">
        <x:v>https://www.airbnb.com.br/rooms/1274533646308060247</x:v>
      </x:c>
      <x:c r="C103" s="192" t="str">
        <x:v>Apto c/ churrasqueira 500m da Praia EPI0606</x:v>
      </x:c>
      <x:c r="D103" s="192" t="str">
        <x:v>Morretes</x:v>
      </x:c>
      <x:c r="E103" s="192" t="n">
        <x:v>-27.1194992</x:v>
      </x:c>
      <x:c r="F103" s="192" t="n">
        <x:v>-48.6112395</x:v>
      </x:c>
      <x:c r="G103" s="192" t="str">
        <x:v>apartamento</x:v>
      </x:c>
      <x:c r="H103" s="192" t="n">
        <x:v>2</x:v>
      </x:c>
      <x:c r="I103" s="192" t="n">
        <x:v>2</x:v>
      </x:c>
      <x:c r="J103" s="192" t="n">
        <x:v>2</x:v>
      </x:c>
      <x:c r="K103" s="192" t="n">
        <x:v>4</x:v>
      </x:c>
      <x:c r="L103" s="192" t="n">
        <x:v>4</x:v>
      </x:c>
      <x:c r="M103" s="192" t="n">
        <x:v>5</x:v>
      </x:c>
      <x:c r="N103" s="192" t="n">
        <x:v>369</x:v>
      </x:c>
      <x:c r="O103" s="192" t="n">
        <x:v>0</x:v>
      </x:c>
      <x:c r="P103" s="193" t="b">
        <x:v>1</x:v>
      </x:c>
      <x:c r="Q103" s="193" t="b">
        <x:v>1</x:v>
      </x:c>
      <x:c r="R103" s="193" t="b">
        <x:v>0</x:v>
      </x:c>
      <x:c r="S103" s="193" t="b">
        <x:v>0</x:v>
      </x:c>
      <x:c r="T103" s="192" t="n">
        <x:v>81</x:v>
      </x:c>
      <x:c r="U103" s="192" t="n">
        <x:v>9</x:v>
      </x:c>
      <x:c r="V103" s="200" t="n">
        <x:v>0.1</x:v>
      </x:c>
      <x:c r="W103" s="203" t="n">
        <x:v>471</x:v>
      </x:c>
      <x:c r="X103" s="203" t="n">
        <x:v>4257.0238984574</x:v>
      </x:c>
      <x:c r="Y103" s="203" t="n">
        <x:v>11006.1805374701</x:v>
      </x:c>
      <x:c r="Z103" s="193" t="b">
        <x:v>1</x:v>
      </x:c>
      <x:c r="AA103" s="193" t="b">
        <x:v>0</x:v>
      </x:c>
      <x:c r="AB103" s="193" t="b">
        <x:v>1</x:v>
      </x:c>
      <x:c r="AC103" s="193" t="b">
        <x:v>1</x:v>
      </x:c>
      <x:c r="AD103" s="193" t="b">
        <x:v>1</x:v>
      </x:c>
      <x:c r="AE103" s="193" t="b">
        <x:v>0</x:v>
      </x:c>
      <x:c r="AF103" s="193" t="b">
        <x:v>1</x:v>
      </x:c>
      <x:c r="AG103" s="193" t="b">
        <x:v>1</x:v>
      </x:c>
      <x:c r="AH103" s="193" t="b">
        <x:v>1</x:v>
      </x:c>
      <x:c r="AI103" s="193" t="b">
        <x:v>1</x:v>
      </x:c>
      <x:c r="AJ103" s="193" t="b">
        <x:v>1</x:v>
      </x:c>
    </x:row>
    <x:row r="104">
      <x:c r="A104" s="192" t="n">
        <x:v>48109229</x:v>
      </x:c>
      <x:c r="B104" s="192" t="str">
        <x:v>https://www.airbnb.com.br/rooms/48109229</x:v>
      </x:c>
      <x:c r="C104" s="192" t="str">
        <x:v>QUADRA MAR, faz tudo apé!TOP!</x:v>
      </x:c>
      <x:c r="D104" s="192" t="str">
        <x:v>Meia Praia</x:v>
      </x:c>
      <x:c r="E104" s="192" t="n">
        <x:v>-27.13648</x:v>
      </x:c>
      <x:c r="F104" s="192" t="n">
        <x:v>-48.59504</x:v>
      </x:c>
      <x:c r="G104" s="192" t="str">
        <x:v>apartamento</x:v>
      </x:c>
      <x:c r="H104" s="192" t="n">
        <x:v>2</x:v>
      </x:c>
      <x:c r="I104" s="192" t="n">
        <x:v>2</x:v>
      </x:c>
      <x:c r="J104" s="192" t="n">
        <x:v>3</x:v>
      </x:c>
      <x:c r="K104" s="192" t="n">
        <x:v>6</x:v>
      </x:c>
      <x:c r="L104" s="192" t="n">
        <x:v>15</x:v>
      </x:c>
      <x:c r="M104" s="192" t="n">
        <x:v>4.6700000763</x:v>
      </x:c>
      <x:c r="N104" s="192" t="n">
        <x:v>180</x:v>
      </x:c>
      <x:c r="O104" s="192" t="n">
        <x:v>20</x:v>
      </x:c>
      <x:c r="P104" s="193" t="b">
        <x:v>0</x:v>
      </x:c>
      <x:c r="Q104" s="193" t="b">
        <x:v>0</x:v>
      </x:c>
      <x:c r="R104" s="193" t="b">
        <x:v>0</x:v>
      </x:c>
      <x:c r="S104" s="193" t="b">
        <x:v>0</x:v>
      </x:c>
      <x:c r="T104" s="192" t="n">
        <x:v>73</x:v>
      </x:c>
      <x:c r="U104" s="192" t="n">
        <x:v>17</x:v>
      </x:c>
      <x:c r="V104" s="200" t="n">
        <x:v>0.1888888889</x:v>
      </x:c>
      <x:c r="W104" s="203" t="n">
        <x:v>480</x:v>
      </x:c>
      <x:c r="X104" s="203" t="n">
        <x:v>8129.0242199977</x:v>
      </x:c>
      <x:c r="Y104" s="203" t="n">
        <x:v>21016.9147021191</x:v>
      </x:c>
      <x:c r="Z104" s="193" t="b">
        <x:v>1</x:v>
      </x:c>
      <x:c r="AA104" s="193" t="b">
        <x:v>0</x:v>
      </x:c>
      <x:c r="AB104" s="193" t="b">
        <x:v>1</x:v>
      </x:c>
      <x:c r="AC104" s="193" t="b">
        <x:v>1</x:v>
      </x:c>
      <x:c r="AD104" s="193" t="b">
        <x:v>1</x:v>
      </x:c>
      <x:c r="AE104" s="193" t="b">
        <x:v>1</x:v>
      </x:c>
      <x:c r="AF104" s="193" t="b">
        <x:v>1</x:v>
      </x:c>
      <x:c r="AG104" s="193" t="b">
        <x:v>1</x:v>
      </x:c>
      <x:c r="AH104" s="193" t="b">
        <x:v>1</x:v>
      </x:c>
      <x:c r="AI104" s="193" t="b">
        <x:v>1</x:v>
      </x:c>
      <x:c r="AJ104" s="193" t="b">
        <x:v>1</x:v>
      </x:c>
    </x:row>
    <x:row r="105">
      <x:c r="A105" s="192" t="n">
        <x:v>778933432062496600</x:v>
      </x:c>
      <x:c r="B105" s="192" t="str">
        <x:v>https://www.airbnb.com.br/rooms/778933432062496662</x:v>
      </x:c>
      <x:c r="C105" s="192" t="str">
        <x:v>Apto 1 por andar, 14°, 3suítes, R252, próx a praia</x:v>
      </x:c>
      <x:c r="D105" s="192" t="str">
        <x:v>Meia Praia</x:v>
      </x:c>
      <x:c r="E105" s="192" t="n">
        <x:v>-27.1299991608</x:v>
      </x:c>
      <x:c r="F105" s="192" t="n">
        <x:v>-48.6030006409</x:v>
      </x:c>
      <x:c r="G105" s="192" t="str">
        <x:v>apartamento</x:v>
      </x:c>
      <x:c r="H105" s="192" t="n">
        <x:v>3</x:v>
      </x:c>
      <x:c r="I105" s="192" t="n">
        <x:v>4</x:v>
      </x:c>
      <x:c r="J105" s="192" t="n">
        <x:v>4</x:v>
      </x:c>
      <x:c r="K105" s="192" t="n">
        <x:v>6</x:v>
      </x:c>
      <x:c r="L105" s="192" t="n">
        <x:v>15</x:v>
      </x:c>
      <x:c r="M105" s="192" t="n">
        <x:v>5</x:v>
      </x:c>
      <x:c r="N105" s="192" t="n">
        <x:v>300</x:v>
      </x:c>
      <x:c r="O105" s="192" t="n">
        <x:v>15</x:v>
      </x:c>
      <x:c r="P105" s="193" t="b">
        <x:v>1</x:v>
      </x:c>
      <x:c r="Q105" s="193" t="b">
        <x:v>0</x:v>
      </x:c>
      <x:c r="R105" s="193" t="b">
        <x:v>1</x:v>
      </x:c>
      <x:c r="S105" s="193" t="b">
        <x:v>0</x:v>
      </x:c>
      <x:c r="T105" s="192" t="n">
        <x:v>70</x:v>
      </x:c>
      <x:c r="U105" s="192" t="n">
        <x:v>20</x:v>
      </x:c>
      <x:c r="V105" s="200" t="n">
        <x:v>0.2222222222</x:v>
      </x:c>
      <x:c r="W105" s="203" t="n">
        <x:v>950</x:v>
      </x:c>
      <x:c r="X105" s="203" t="n">
        <x:v>20046.3556985031</x:v>
      </x:c>
      <x:c r="Y105" s="203" t="n">
        <x:v>51828.1821288383</x:v>
      </x:c>
      <x:c r="Z105" s="193" t="b">
        <x:v>1</x:v>
      </x:c>
      <x:c r="AA105" s="193" t="b">
        <x:v>0</x:v>
      </x:c>
      <x:c r="AB105" s="193" t="b">
        <x:v>1</x:v>
      </x:c>
      <x:c r="AC105" s="193" t="b">
        <x:v>1</x:v>
      </x:c>
      <x:c r="AD105" s="193" t="b">
        <x:v>1</x:v>
      </x:c>
      <x:c r="AE105" s="193" t="b">
        <x:v>1</x:v>
      </x:c>
      <x:c r="AF105" s="193" t="b">
        <x:v>1</x:v>
      </x:c>
      <x:c r="AG105" s="193" t="b">
        <x:v>1</x:v>
      </x:c>
      <x:c r="AH105" s="193" t="b">
        <x:v>1</x:v>
      </x:c>
      <x:c r="AI105" s="193" t="b">
        <x:v>1</x:v>
      </x:c>
      <x:c r="AJ105" s="193" t="b">
        <x:v>1</x:v>
      </x:c>
    </x:row>
    <x:row r="106">
      <x:c r="A106" s="192" t="n">
        <x:v>47909482</x:v>
      </x:c>
      <x:c r="B106" s="192" t="str">
        <x:v>https://www.airbnb.com.br/rooms/47909482</x:v>
      </x:c>
      <x:c r="C106" s="192" t="str">
        <x:v>Apto 3 suítes, ar, Wi-Fi/2 vagas 40 m praia</x:v>
      </x:c>
      <x:c r="D106" s="192" t="str">
        <x:v>Meia Praia</x:v>
      </x:c>
      <x:c r="E106" s="192" t="n">
        <x:v>-27.13404</x:v>
      </x:c>
      <x:c r="F106" s="192" t="n">
        <x:v>-48.59595</x:v>
      </x:c>
      <x:c r="G106" s="192" t="str">
        <x:v>apartamento</x:v>
      </x:c>
      <x:c r="H106" s="192" t="n">
        <x:v>3</x:v>
      </x:c>
      <x:c r="I106" s="192" t="n">
        <x:v>3</x:v>
      </x:c>
      <x:c r="J106" s="192" t="n">
        <x:v>6</x:v>
      </x:c>
      <x:c r="K106" s="192" t="n">
        <x:v>12</x:v>
      </x:c>
      <x:c r="L106" s="192" t="n">
        <x:v>26</x:v>
      </x:c>
      <x:c r="M106" s="192" t="n">
        <x:v>5</x:v>
      </x:c>
      <x:c r="N106" s="192" t="n">
        <x:v>350</x:v>
      </x:c>
      <x:c r="O106" s="192" t="n">
        <x:v>43</x:v>
      </x:c>
      <x:c r="P106" s="193" t="b">
        <x:v>1</x:v>
      </x:c>
      <x:c r="Q106" s="193" t="b">
        <x:v>0</x:v>
      </x:c>
      <x:c r="R106" s="193" t="b">
        <x:v>1</x:v>
      </x:c>
      <x:c r="S106" s="193" t="b">
        <x:v>1</x:v>
      </x:c>
      <x:c r="T106" s="192" t="n">
        <x:v>64</x:v>
      </x:c>
      <x:c r="U106" s="192" t="n">
        <x:v>26</x:v>
      </x:c>
      <x:c r="V106" s="200" t="n">
        <x:v>0.2888888889</x:v>
      </x:c>
      <x:c r="W106" s="203" t="n">
        <x:v>820</x:v>
      </x:c>
      <x:c r="X106" s="203" t="n">
        <x:v>20934.1995163922</x:v>
      </x:c>
      <x:c r="Y106" s="203" t="n">
        <x:v>54123.6283330057</x:v>
      </x:c>
      <x:c r="Z106" s="193" t="b">
        <x:v>1</x:v>
      </x:c>
      <x:c r="AA106" s="193" t="b">
        <x:v>0</x:v>
      </x:c>
      <x:c r="AB106" s="193" t="b">
        <x:v>1</x:v>
      </x:c>
      <x:c r="AC106" s="193" t="b">
        <x:v>1</x:v>
      </x:c>
      <x:c r="AD106" s="193" t="b">
        <x:v>1</x:v>
      </x:c>
      <x:c r="AE106" s="193" t="b">
        <x:v>1</x:v>
      </x:c>
      <x:c r="AF106" s="193" t="b">
        <x:v>1</x:v>
      </x:c>
      <x:c r="AG106" s="193" t="b">
        <x:v>1</x:v>
      </x:c>
      <x:c r="AH106" s="193" t="b">
        <x:v>1</x:v>
      </x:c>
      <x:c r="AI106" s="193" t="b">
        <x:v>1</x:v>
      </x:c>
      <x:c r="AJ106" s="193" t="b">
        <x:v>1</x:v>
      </x:c>
    </x:row>
    <x:row r="107">
      <x:c r="A107" s="192" t="n">
        <x:v>1052490589225547500</x:v>
      </x:c>
      <x:c r="B107" s="192" t="str">
        <x:v>https://www.airbnb.com.br/rooms/1052490589225547467</x:v>
      </x:c>
      <x:c r="C107" s="192" t="str">
        <x:v>Apartamento quadra mar Rua 283</x:v>
      </x:c>
      <x:c r="D107" s="192" t="str">
        <x:v>Meia Praia</x:v>
      </x:c>
      <x:c r="E107" s="192" t="n">
        <x:v>-27.1359996796</x:v>
      </x:c>
      <x:c r="F107" s="192" t="n">
        <x:v>-48.59400177</x:v>
      </x:c>
      <x:c r="G107" s="192" t="str">
        <x:v>apartamento</x:v>
      </x:c>
      <x:c r="H107" s="192" t="n">
        <x:v>3</x:v>
      </x:c>
      <x:c r="I107" s="192" t="n">
        <x:v>2</x:v>
      </x:c>
      <x:c r="J107" s="192" t="n">
        <x:v>6</x:v>
      </x:c>
      <x:c r="K107" s="192" t="n">
        <x:v>8</x:v>
      </x:c>
      <x:c r="L107" s="192" t="n">
        <x:v>16</x:v>
      </x:c>
      <x:c r="M107" s="192" t="n">
        <x:v>5</x:v>
      </x:c>
      <x:c r="N107" s="192" t="n">
        <x:v>290</x:v>
      </x:c>
      <x:c r="O107" s="192" t="n">
        <x:v>25</x:v>
      </x:c>
      <x:c r="P107" s="193" t="b">
        <x:v>0</x:v>
      </x:c>
      <x:c r="Q107" s="193" t="b">
        <x:v>0</x:v>
      </x:c>
      <x:c r="R107" s="193" t="b">
        <x:v>1</x:v>
      </x:c>
      <x:c r="S107" s="193" t="b">
        <x:v>1</x:v>
      </x:c>
      <x:c r="T107" s="192" t="n">
        <x:v>67</x:v>
      </x:c>
      <x:c r="U107" s="192" t="n">
        <x:v>23</x:v>
      </x:c>
      <x:c r="V107" s="200" t="n">
        <x:v>0.2555555556</x:v>
      </x:c>
      <x:c r="W107" s="203" t="n">
        <x:v>700</x:v>
      </x:c>
      <x:c r="X107" s="203" t="n">
        <x:v>15979.5976440276</x:v>
      </x:c>
      <x:c r="Y107" s="203" t="n">
        <x:v>41313.9180754965</x:v>
      </x:c>
      <x:c r="Z107" s="193" t="b">
        <x:v>1</x:v>
      </x:c>
      <x:c r="AA107" s="193" t="b">
        <x:v>0</x:v>
      </x:c>
      <x:c r="AB107" s="193" t="b">
        <x:v>1</x:v>
      </x:c>
      <x:c r="AC107" s="193" t="b">
        <x:v>1</x:v>
      </x:c>
      <x:c r="AD107" s="193" t="b">
        <x:v>1</x:v>
      </x:c>
      <x:c r="AE107" s="193" t="b">
        <x:v>0</x:v>
      </x:c>
      <x:c r="AF107" s="193" t="b">
        <x:v>1</x:v>
      </x:c>
      <x:c r="AG107" s="193" t="b">
        <x:v>1</x:v>
      </x:c>
      <x:c r="AH107" s="193" t="b">
        <x:v>1</x:v>
      </x:c>
      <x:c r="AI107" s="193" t="b">
        <x:v>1</x:v>
      </x:c>
      <x:c r="AJ107" s="193" t="b">
        <x:v>0</x:v>
      </x:c>
    </x:row>
    <x:row r="108">
      <x:c r="A108" s="192" t="n">
        <x:v>801611117719633500</x:v>
      </x:c>
      <x:c r="B108" s="192" t="str">
        <x:v>https://www.airbnb.com.br/rooms/801611117719633492</x:v>
      </x:c>
      <x:c r="C108" s="192" t="str">
        <x:v>Apartamento Quadra do Mar</x:v>
      </x:c>
      <x:c r="D108" s="192" t="str">
        <x:v>Meia Praia</x:v>
      </x:c>
      <x:c r="E108" s="192" t="n">
        <x:v>-27.1380004883</x:v>
      </x:c>
      <x:c r="F108" s="192" t="n">
        <x:v>-48.5929985046</x:v>
      </x:c>
      <x:c r="G108" s="192" t="str">
        <x:v>apartamento</x:v>
      </x:c>
      <x:c r="H108" s="192" t="n">
        <x:v>2</x:v>
      </x:c>
      <x:c r="I108" s="192" t="n">
        <x:v>2</x:v>
      </x:c>
      <x:c r="J108" s="192" t="n">
        <x:v>2</x:v>
      </x:c>
      <x:c r="K108" s="192" t="n">
        <x:v>6</x:v>
      </x:c>
      <x:c r="L108" s="192" t="n">
        <x:v>9</x:v>
      </x:c>
      <x:c r="M108" s="192" t="n">
        <x:v>5</x:v>
      </x:c>
      <x:c r="N108" s="192" t="n">
        <x:v>250</x:v>
      </x:c>
      <x:c r="O108" s="192" t="n">
        <x:v>26</x:v>
      </x:c>
      <x:c r="P108" s="193" t="b">
        <x:v>0</x:v>
      </x:c>
      <x:c r="Q108" s="193" t="b">
        <x:v>0</x:v>
      </x:c>
      <x:c r="R108" s="193" t="b">
        <x:v>1</x:v>
      </x:c>
      <x:c r="S108" s="193" t="b">
        <x:v>0</x:v>
      </x:c>
      <x:c r="T108" s="192" t="n">
        <x:v>57</x:v>
      </x:c>
      <x:c r="U108" s="192" t="n">
        <x:v>33</x:v>
      </x:c>
      <x:c r="V108" s="200" t="n">
        <x:v>0.3666666667</x:v>
      </x:c>
      <x:c r="W108" s="203" t="n">
        <x:v>400</x:v>
      </x:c>
      <x:c r="X108" s="203" t="n">
        <x:v>13116.7829362129</x:v>
      </x:c>
      <x:c r="Y108" s="203" t="n">
        <x:v>33912.3492163338</x:v>
      </x:c>
      <x:c r="Z108" s="193" t="b">
        <x:v>1</x:v>
      </x:c>
      <x:c r="AA108" s="193" t="b">
        <x:v>0</x:v>
      </x:c>
      <x:c r="AB108" s="193" t="b">
        <x:v>1</x:v>
      </x:c>
      <x:c r="AC108" s="193" t="b">
        <x:v>1</x:v>
      </x:c>
      <x:c r="AD108" s="193" t="b">
        <x:v>1</x:v>
      </x:c>
      <x:c r="AE108" s="193" t="b">
        <x:v>1</x:v>
      </x:c>
      <x:c r="AF108" s="193" t="b">
        <x:v>1</x:v>
      </x:c>
      <x:c r="AG108" s="193" t="b">
        <x:v>1</x:v>
      </x:c>
      <x:c r="AH108" s="193" t="b">
        <x:v>1</x:v>
      </x:c>
      <x:c r="AI108" s="193" t="b">
        <x:v>1</x:v>
      </x:c>
      <x:c r="AJ108" s="193" t="b">
        <x:v>1</x:v>
      </x:c>
    </x:row>
    <x:row r="109">
      <x:c r="A109" s="192" t="n">
        <x:v>40023421</x:v>
      </x:c>
      <x:c r="B109" s="192" t="str">
        <x:v>https://www.airbnb.com.br/rooms/40023421</x:v>
      </x:c>
      <x:c r="C109" s="192" t="str">
        <x:v>IMPERDÍVEL!!!! Apartamento novo e moderno</x:v>
      </x:c>
      <x:c r="D109" s="192" t="str">
        <x:v>Morretes</x:v>
      </x:c>
      <x:c r="E109" s="192" t="n">
        <x:v>-27.11765</x:v>
      </x:c>
      <x:c r="F109" s="192" t="n">
        <x:v>-48.61065</x:v>
      </x:c>
      <x:c r="G109" s="192" t="str">
        <x:v>apartamento</x:v>
      </x:c>
      <x:c r="H109" s="192" t="n">
        <x:v>2</x:v>
      </x:c>
      <x:c r="I109" s="192" t="n">
        <x:v>2</x:v>
      </x:c>
      <x:c r="J109" s="192" t="n">
        <x:v>3</x:v>
      </x:c>
      <x:c r="K109" s="192" t="n">
        <x:v>6</x:v>
      </x:c>
      <x:c r="L109" s="192" t="n">
        <x:v>11</x:v>
      </x:c>
      <x:c r="M109" s="192" t="n">
        <x:v>4.7300000191</x:v>
      </x:c>
      <x:c r="N109" s="192" t="n">
        <x:v>280</x:v>
      </x:c>
      <x:c r="O109" s="192" t="n">
        <x:v>48</x:v>
      </x:c>
      <x:c r="P109" s="193" t="b">
        <x:v>0</x:v>
      </x:c>
      <x:c r="Q109" s="193" t="b">
        <x:v>0</x:v>
      </x:c>
      <x:c r="R109" s="193" t="b">
        <x:v>0</x:v>
      </x:c>
      <x:c r="S109" s="193" t="b">
        <x:v>0</x:v>
      </x:c>
      <x:c r="T109" s="192" t="n">
        <x:v>77</x:v>
      </x:c>
      <x:c r="U109" s="192" t="n">
        <x:v>13</x:v>
      </x:c>
      <x:c r="V109" s="200" t="n">
        <x:v>0.1444444444</x:v>
      </x:c>
      <x:c r="W109" s="203" t="n">
        <x:v>399</x:v>
      </x:c>
      <x:c r="X109" s="203" t="n">
        <x:v>5233.2408283558</x:v>
      </x:c>
      <x:c r="Y109" s="203" t="n">
        <x:v>13530.1080583114</x:v>
      </x:c>
      <x:c r="Z109" s="193" t="b">
        <x:v>1</x:v>
      </x:c>
      <x:c r="AA109" s="193" t="b">
        <x:v>0</x:v>
      </x:c>
      <x:c r="AB109" s="193" t="b">
        <x:v>1</x:v>
      </x:c>
      <x:c r="AC109" s="193" t="b">
        <x:v>1</x:v>
      </x:c>
      <x:c r="AD109" s="193" t="b">
        <x:v>1</x:v>
      </x:c>
      <x:c r="AE109" s="193" t="b">
        <x:v>1</x:v>
      </x:c>
      <x:c r="AF109" s="193" t="b">
        <x:v>0</x:v>
      </x:c>
      <x:c r="AG109" s="193" t="b">
        <x:v>1</x:v>
      </x:c>
      <x:c r="AH109" s="193" t="b">
        <x:v>1</x:v>
      </x:c>
      <x:c r="AI109" s="193" t="b">
        <x:v>1</x:v>
      </x:c>
      <x:c r="AJ109" s="193" t="b">
        <x:v>1</x:v>
      </x:c>
    </x:row>
    <x:row r="110">
      <x:c r="A110" s="192" t="n">
        <x:v>1282585098065468000</x:v>
      </x:c>
      <x:c r="B110" s="192" t="str">
        <x:v>https://www.airbnb.com.br/rooms/1282585098065467787</x:v>
      </x:c>
      <x:c r="C110" s="192" t="str">
        <x:v>Estúdio elegante vista mar 280m da Praia MHFB0903</x:v>
      </x:c>
      <x:c r="D110" s="192" t="str">
        <x:v>Centro</x:v>
      </x:c>
      <x:c r="E110" s="192" t="n">
        <x:v>-27.0936893</x:v>
      </x:c>
      <x:c r="F110" s="192" t="n">
        <x:v>-48.6131638</x:v>
      </x:c>
      <x:c r="G110" s="192" t="str">
        <x:v>apartamento</x:v>
      </x:c>
      <x:c r="H110" s="192" t="n">
        <x:v>1</x:v>
      </x:c>
      <x:c r="I110" s="192" t="n">
        <x:v>1</x:v>
      </x:c>
      <x:c r="J110" s="192" t="n">
        <x:v>1</x:v>
      </x:c>
      <x:c r="K110" s="192" t="n">
        <x:v>2</x:v>
      </x:c>
      <x:c r="L110" s="192" t="n">
        <x:v>7</x:v>
      </x:c>
      <x:c r="M110" s="192" t="n">
        <x:v>5</x:v>
      </x:c>
      <x:c r="N110" s="192" t="n">
        <x:v>150</x:v>
      </x:c>
      <x:c r="O110" s="192" t="n">
        <x:v>0</x:v>
      </x:c>
      <x:c r="P110" s="193" t="b">
        <x:v>1</x:v>
      </x:c>
      <x:c r="Q110" s="193" t="b">
        <x:v>1</x:v>
      </x:c>
      <x:c r="R110" s="193" t="b">
        <x:v>1</x:v>
      </x:c>
      <x:c r="S110" s="193" t="b">
        <x:v>0</x:v>
      </x:c>
      <x:c r="T110" s="192" t="n">
        <x:v>64</x:v>
      </x:c>
      <x:c r="U110" s="192" t="n">
        <x:v>26</x:v>
      </x:c>
      <x:c r="V110" s="200" t="n">
        <x:v>0.2888888889</x:v>
      </x:c>
      <x:c r="W110" s="203" t="n">
        <x:v>385</x:v>
      </x:c>
      <x:c r="X110" s="203" t="n">
        <x:v>10067.329505417</x:v>
      </x:c>
      <x:c r="Y110" s="203" t="n">
        <x:v>26028.2414921301</x:v>
      </x:c>
      <x:c r="Z110" s="193" t="b">
        <x:v>1</x:v>
      </x:c>
      <x:c r="AA110" s="193" t="b">
        <x:v>1</x:v>
      </x:c>
      <x:c r="AB110" s="193" t="b">
        <x:v>1</x:v>
      </x:c>
      <x:c r="AC110" s="193" t="b">
        <x:v>1</x:v>
      </x:c>
      <x:c r="AD110" s="193" t="b">
        <x:v>1</x:v>
      </x:c>
      <x:c r="AE110" s="193" t="b">
        <x:v>1</x:v>
      </x:c>
      <x:c r="AF110" s="193" t="b">
        <x:v>1</x:v>
      </x:c>
      <x:c r="AG110" s="193" t="b">
        <x:v>1</x:v>
      </x:c>
      <x:c r="AH110" s="193" t="b">
        <x:v>1</x:v>
      </x:c>
      <x:c r="AI110" s="193" t="b">
        <x:v>1</x:v>
      </x:c>
      <x:c r="AJ110" s="193" t="b">
        <x:v>0</x:v>
      </x:c>
    </x:row>
    <x:row r="111">
      <x:c r="A111" s="192" t="n">
        <x:v>1207992119242236000</x:v>
      </x:c>
      <x:c r="B111" s="192" t="str">
        <x:v>https://www.airbnb.com.br/rooms/1207992119242235910</x:v>
      </x:c>
      <x:c r="C111" s="192" t="str">
        <x:v>Estúdio Equipado com Vista Mar em Itapema MHFB0506</x:v>
      </x:c>
      <x:c r="D111" s="192" t="str">
        <x:v>Centro</x:v>
      </x:c>
      <x:c r="E111" s="192" t="n">
        <x:v>-27.09306</x:v>
      </x:c>
      <x:c r="F111" s="192" t="n">
        <x:v>-48.61326</x:v>
      </x:c>
      <x:c r="G111" s="192" t="str">
        <x:v>apartamento</x:v>
      </x:c>
      <x:c r="H111" s="192" t="n">
        <x:v>1</x:v>
      </x:c>
      <x:c r="I111" s="192" t="n">
        <x:v>1</x:v>
      </x:c>
      <x:c r="J111" s="192" t="n">
        <x:v>1</x:v>
      </x:c>
      <x:c r="K111" s="192" t="n">
        <x:v>2</x:v>
      </x:c>
      <x:c r="L111" s="192" t="n">
        <x:v>3</x:v>
      </x:c>
      <x:c r="M111" s="192" t="n">
        <x:v>5</x:v>
      </x:c>
      <x:c r="N111" s="192" t="n">
        <x:v>150</x:v>
      </x:c>
      <x:c r="O111" s="192" t="n">
        <x:v>0</x:v>
      </x:c>
      <x:c r="P111" s="193" t="b">
        <x:v>1</x:v>
      </x:c>
      <x:c r="Q111" s="193" t="b">
        <x:v>1</x:v>
      </x:c>
      <x:c r="R111" s="193" t="b">
        <x:v>0</x:v>
      </x:c>
      <x:c r="S111" s="193" t="b">
        <x:v>0</x:v>
      </x:c>
      <x:c r="T111" s="192" t="n">
        <x:v>73</x:v>
      </x:c>
      <x:c r="U111" s="192" t="n">
        <x:v>17</x:v>
      </x:c>
      <x:c r="V111" s="200" t="n">
        <x:v>0.1888888889</x:v>
      </x:c>
      <x:c r="W111" s="203" t="n">
        <x:v>379</x:v>
      </x:c>
      <x:c r="X111" s="203" t="n">
        <x:v>6363.6026604236</x:v>
      </x:c>
      <x:c r="Y111" s="203" t="n">
        <x:v>16452.5643783035</x:v>
      </x:c>
      <x:c r="Z111" s="193" t="b">
        <x:v>1</x:v>
      </x:c>
      <x:c r="AA111" s="193" t="b">
        <x:v>1</x:v>
      </x:c>
      <x:c r="AB111" s="193" t="b">
        <x:v>1</x:v>
      </x:c>
      <x:c r="AC111" s="193" t="b">
        <x:v>1</x:v>
      </x:c>
      <x:c r="AD111" s="193" t="b">
        <x:v>1</x:v>
      </x:c>
      <x:c r="AE111" s="193" t="b">
        <x:v>0</x:v>
      </x:c>
      <x:c r="AF111" s="193" t="b">
        <x:v>1</x:v>
      </x:c>
      <x:c r="AG111" s="193" t="b">
        <x:v>1</x:v>
      </x:c>
      <x:c r="AH111" s="193" t="b">
        <x:v>1</x:v>
      </x:c>
      <x:c r="AI111" s="193" t="b">
        <x:v>0</x:v>
      </x:c>
      <x:c r="AJ111" s="193" t="b">
        <x:v>0</x:v>
      </x:c>
    </x:row>
    <x:row r="112">
      <x:c r="A112" s="192" t="n">
        <x:v>51453135</x:v>
      </x:c>
      <x:c r="B112" s="192" t="str">
        <x:v>https://www.airbnb.com.br/rooms/51453135</x:v>
      </x:c>
      <x:c r="C112" s="192" t="str">
        <x:v>Apto amplo e aconchegante perto do mar.</x:v>
      </x:c>
      <x:c r="D112" s="192" t="str">
        <x:v>Meia Praia</x:v>
      </x:c>
      <x:c r="E112" s="192" t="n">
        <x:v>-27.12209</x:v>
      </x:c>
      <x:c r="F112" s="192" t="n">
        <x:v>-48.60704</x:v>
      </x:c>
      <x:c r="G112" s="192" t="str">
        <x:v>apartamento</x:v>
      </x:c>
      <x:c r="H112" s="192" t="n">
        <x:v>3</x:v>
      </x:c>
      <x:c r="I112" s="192" t="n">
        <x:v>2</x:v>
      </x:c>
      <x:c r="J112" s="192" t="n">
        <x:v>5</x:v>
      </x:c>
      <x:c r="K112" s="192" t="n">
        <x:v>8</x:v>
      </x:c>
      <x:c r="L112" s="192" t="n">
        <x:v>13</x:v>
      </x:c>
      <x:c r="M112" s="192" t="n">
        <x:v>4.8499999046</x:v>
      </x:c>
      <x:c r="N112" s="192" t="n">
        <x:v>300</x:v>
      </x:c>
      <x:c r="O112" s="192" t="n">
        <x:v>23</x:v>
      </x:c>
      <x:c r="P112" s="193" t="b">
        <x:v>0</x:v>
      </x:c>
      <x:c r="Q112" s="193" t="b">
        <x:v>0</x:v>
      </x:c>
      <x:c r="R112" s="193" t="b">
        <x:v>1</x:v>
      </x:c>
      <x:c r="S112" s="193" t="b">
        <x:v>1</x:v>
      </x:c>
      <x:c r="T112" s="192" t="n">
        <x:v>55</x:v>
      </x:c>
      <x:c r="U112" s="192" t="n">
        <x:v>35</x:v>
      </x:c>
      <x:c r="V112" s="200" t="n">
        <x:v>0.3888888889</x:v>
      </x:c>
      <x:c r="W112" s="203" t="n">
        <x:v>500</x:v>
      </x:c>
      <x:c r="X112" s="203" t="n">
        <x:v>17429.0628597561</x:v>
      </x:c>
      <x:c r="Y112" s="203" t="n">
        <x:v>45061.3896019945</x:v>
      </x:c>
      <x:c r="Z112" s="193" t="b">
        <x:v>1</x:v>
      </x:c>
      <x:c r="AA112" s="193" t="b">
        <x:v>0</x:v>
      </x:c>
      <x:c r="AB112" s="193" t="b">
        <x:v>1</x:v>
      </x:c>
      <x:c r="AC112" s="193" t="b">
        <x:v>1</x:v>
      </x:c>
      <x:c r="AD112" s="193" t="b">
        <x:v>1</x:v>
      </x:c>
      <x:c r="AE112" s="193" t="b">
        <x:v>0</x:v>
      </x:c>
      <x:c r="AF112" s="193" t="b">
        <x:v>1</x:v>
      </x:c>
      <x:c r="AG112" s="193" t="b">
        <x:v>1</x:v>
      </x:c>
      <x:c r="AH112" s="193" t="b">
        <x:v>1</x:v>
      </x:c>
      <x:c r="AI112" s="193" t="b">
        <x:v>1</x:v>
      </x:c>
      <x:c r="AJ112" s="193" t="b">
        <x:v>1</x:v>
      </x:c>
    </x:row>
    <x:row r="113">
      <x:c r="A113" s="192" t="n">
        <x:v>41227471</x:v>
      </x:c>
      <x:c r="B113" s="192" t="str">
        <x:v>https://www.airbnb.com.br/rooms/41227471</x:v>
      </x:c>
      <x:c r="C113" s="192" t="str">
        <x:v>Apartamento a 400m da praia com 3 dormitórios</x:v>
      </x:c>
      <x:c r="D113" s="192" t="str">
        <x:v>Meia Praia</x:v>
      </x:c>
      <x:c r="E113" s="192" t="n">
        <x:v>-27.13434</x:v>
      </x:c>
      <x:c r="F113" s="192" t="n">
        <x:v>-48.59926</x:v>
      </x:c>
      <x:c r="G113" s="192" t="str">
        <x:v>apartamento</x:v>
      </x:c>
      <x:c r="H113" s="192" t="n">
        <x:v>3</x:v>
      </x:c>
      <x:c r="I113" s="192" t="n">
        <x:v>2</x:v>
      </x:c>
      <x:c r="J113" s="192" t="n">
        <x:v>4</x:v>
      </x:c>
      <x:c r="K113" s="192" t="n">
        <x:v>7</x:v>
      </x:c>
      <x:c r="L113" s="192" t="n">
        <x:v>34</x:v>
      </x:c>
      <x:c r="M113" s="192" t="n">
        <x:v>5</x:v>
      </x:c>
      <x:c r="N113" s="192" t="n">
        <x:v>300</x:v>
      </x:c>
      <x:c r="O113" s="192" t="n">
        <x:v>16</x:v>
      </x:c>
      <x:c r="P113" s="193" t="b">
        <x:v>0</x:v>
      </x:c>
      <x:c r="Q113" s="193" t="b">
        <x:v>0</x:v>
      </x:c>
      <x:c r="R113" s="193" t="b">
        <x:v>1</x:v>
      </x:c>
      <x:c r="S113" s="193" t="b">
        <x:v>1</x:v>
      </x:c>
      <x:c r="T113" s="192" t="n">
        <x:v>72</x:v>
      </x:c>
      <x:c r="U113" s="192" t="n">
        <x:v>18</x:v>
      </x:c>
      <x:c r="V113" s="200" t="n">
        <x:v>0.2</x:v>
      </x:c>
      <x:c r="W113" s="203" t="n">
        <x:v>610</x:v>
      </x:c>
      <x:c r="X113" s="203" t="n">
        <x:v>10926.7863079991</x:v>
      </x:c>
      <x:c r="Y113" s="203" t="n">
        <x:v>28250.295433806</x:v>
      </x:c>
      <x:c r="Z113" s="193" t="b">
        <x:v>1</x:v>
      </x:c>
      <x:c r="AA113" s="193" t="b">
        <x:v>0</x:v>
      </x:c>
      <x:c r="AB113" s="193" t="b">
        <x:v>1</x:v>
      </x:c>
      <x:c r="AC113" s="193" t="b">
        <x:v>1</x:v>
      </x:c>
      <x:c r="AD113" s="193" t="b">
        <x:v>0</x:v>
      </x:c>
      <x:c r="AE113" s="193" t="b">
        <x:v>0</x:v>
      </x:c>
      <x:c r="AF113" s="193" t="b">
        <x:v>1</x:v>
      </x:c>
      <x:c r="AG113" s="193" t="b">
        <x:v>1</x:v>
      </x:c>
      <x:c r="AH113" s="193" t="b">
        <x:v>1</x:v>
      </x:c>
      <x:c r="AI113" s="193" t="b">
        <x:v>1</x:v>
      </x:c>
      <x:c r="AJ113" s="193" t="b">
        <x:v>0</x:v>
      </x:c>
    </x:row>
    <x:row r="114">
      <x:c r="A114" s="192" t="n">
        <x:v>16105751</x:v>
      </x:c>
      <x:c r="B114" s="192" t="str">
        <x:v>https://www.airbnb.com.br/rooms/16105751</x:v>
      </x:c>
      <x:c r="C114" s="192" t="str">
        <x:v>Apartamento em Itapema  pertinho de tudo!</x:v>
      </x:c>
      <x:c r="D114" s="192" t="str">
        <x:v>Centro</x:v>
      </x:c>
      <x:c r="E114" s="192" t="n">
        <x:v>-27.10033</x:v>
      </x:c>
      <x:c r="F114" s="192" t="n">
        <x:v>-48.61512</x:v>
      </x:c>
      <x:c r="G114" s="192" t="str">
        <x:v>apartamento</x:v>
      </x:c>
      <x:c r="H114" s="192" t="n">
        <x:v>2</x:v>
      </x:c>
      <x:c r="I114" s="192" t="n">
        <x:v>2</x:v>
      </x:c>
      <x:c r="J114" s="192" t="n">
        <x:v>2</x:v>
      </x:c>
      <x:c r="K114" s="192" t="n">
        <x:v>4</x:v>
      </x:c>
      <x:c r="L114" s="192" t="n">
        <x:v>138</x:v>
      </x:c>
      <x:c r="M114" s="192" t="n">
        <x:v>4.8600001335</x:v>
      </x:c>
      <x:c r="N114" s="192" t="n">
        <x:v>250</x:v>
      </x:c>
      <x:c r="O114" s="192" t="n">
        <x:v>19</x:v>
      </x:c>
      <x:c r="P114" s="193" t="b">
        <x:v>1</x:v>
      </x:c>
      <x:c r="Q114" s="193" t="b">
        <x:v>0</x:v>
      </x:c>
      <x:c r="R114" s="193" t="b">
        <x:v>1</x:v>
      </x:c>
      <x:c r="S114" s="193" t="b">
        <x:v>1</x:v>
      </x:c>
      <x:c r="T114" s="192" t="n">
        <x:v>31</x:v>
      </x:c>
      <x:c r="U114" s="192" t="n">
        <x:v>59</x:v>
      </x:c>
      <x:c r="V114" s="200" t="n">
        <x:v>0.6555555556</x:v>
      </x:c>
      <x:c r="W114" s="203" t="n">
        <x:v>250</x:v>
      </x:c>
      <x:c r="X114" s="203" t="n">
        <x:v>15134.8616439237</x:v>
      </x:c>
      <x:c r="Y114" s="203" t="n">
        <x:v>39129.9235418943</x:v>
      </x:c>
      <x:c r="Z114" s="193" t="b">
        <x:v>1</x:v>
      </x:c>
      <x:c r="AA114" s="193" t="b">
        <x:v>0</x:v>
      </x:c>
      <x:c r="AB114" s="193" t="b">
        <x:v>1</x:v>
      </x:c>
      <x:c r="AC114" s="193" t="b">
        <x:v>1</x:v>
      </x:c>
      <x:c r="AD114" s="193" t="b">
        <x:v>0</x:v>
      </x:c>
      <x:c r="AE114" s="193" t="b">
        <x:v>1</x:v>
      </x:c>
      <x:c r="AF114" s="193" t="b">
        <x:v>1</x:v>
      </x:c>
      <x:c r="AG114" s="193" t="b">
        <x:v>1</x:v>
      </x:c>
      <x:c r="AH114" s="193" t="b">
        <x:v>1</x:v>
      </x:c>
      <x:c r="AI114" s="193" t="b">
        <x:v>1</x:v>
      </x:c>
      <x:c r="AJ114" s="193" t="b">
        <x:v>0</x:v>
      </x:c>
    </x:row>
    <x:row r="115">
      <x:c r="A115" s="192" t="n">
        <x:v>47000276</x:v>
      </x:c>
      <x:c r="B115" s="192" t="str">
        <x:v>https://www.airbnb.com.br/rooms/47000276</x:v>
      </x:c>
      <x:c r="C115" s="192" t="str">
        <x:v>Apartamento de Cobertura, Frente mar c/ 02 suítes</x:v>
      </x:c>
      <x:c r="D115" s="192" t="str">
        <x:v>Meia Praia</x:v>
      </x:c>
      <x:c r="E115" s="192" t="n">
        <x:v>-27.13907</x:v>
      </x:c>
      <x:c r="F115" s="192" t="n">
        <x:v>-48.59049</x:v>
      </x:c>
      <x:c r="G115" s="192" t="str">
        <x:v>apartamento</x:v>
      </x:c>
      <x:c r="H115" s="192" t="n">
        <x:v>3</x:v>
      </x:c>
      <x:c r="I115" s="192" t="n">
        <x:v>3</x:v>
      </x:c>
      <x:c r="J115" s="192" t="n">
        <x:v>6</x:v>
      </x:c>
      <x:c r="K115" s="192" t="n">
        <x:v>8</x:v>
      </x:c>
      <x:c r="L115" s="192" t="n">
        <x:v>28</x:v>
      </x:c>
      <x:c r="M115" s="192" t="n">
        <x:v>4.8200001717</x:v>
      </x:c>
      <x:c r="N115" s="192" t="n">
        <x:v>390</x:v>
      </x:c>
      <x:c r="O115" s="192" t="n">
        <x:v>4</x:v>
      </x:c>
      <x:c r="P115" s="193" t="b">
        <x:v>0</x:v>
      </x:c>
      <x:c r="Q115" s="193" t="b">
        <x:v>0</x:v>
      </x:c>
      <x:c r="R115" s="193" t="b">
        <x:v>0</x:v>
      </x:c>
      <x:c r="S115" s="193" t="b">
        <x:v>0</x:v>
      </x:c>
      <x:c r="T115" s="192" t="n">
        <x:v>42</x:v>
      </x:c>
      <x:c r="U115" s="192" t="n">
        <x:v>48</x:v>
      </x:c>
      <x:c r="V115" s="200" t="n">
        <x:v>0.5333333333</x:v>
      </x:c>
      <x:c r="W115" s="203" t="n">
        <x:v>500</x:v>
      </x:c>
      <x:c r="X115" s="203" t="n">
        <x:v>24597.3329900287</x:v>
      </x:c>
      <x:c r="Y115" s="203" t="n">
        <x:v>63594.35466797</x:v>
      </x:c>
      <x:c r="Z115" s="193" t="b">
        <x:v>1</x:v>
      </x:c>
      <x:c r="AA115" s="193" t="b">
        <x:v>0</x:v>
      </x:c>
      <x:c r="AB115" s="193" t="b">
        <x:v>1</x:v>
      </x:c>
      <x:c r="AC115" s="193" t="b">
        <x:v>1</x:v>
      </x:c>
      <x:c r="AD115" s="193" t="b">
        <x:v>1</x:v>
      </x:c>
      <x:c r="AE115" s="193" t="b">
        <x:v>0</x:v>
      </x:c>
      <x:c r="AF115" s="193" t="b">
        <x:v>0</x:v>
      </x:c>
      <x:c r="AG115" s="193" t="b">
        <x:v>1</x:v>
      </x:c>
      <x:c r="AH115" s="193" t="b">
        <x:v>1</x:v>
      </x:c>
      <x:c r="AI115" s="193" t="b">
        <x:v>1</x:v>
      </x:c>
      <x:c r="AJ115" s="193" t="b">
        <x:v>0</x:v>
      </x:c>
    </x:row>
    <x:row r="116">
      <x:c r="A116" s="192" t="n">
        <x:v>31543199</x:v>
      </x:c>
      <x:c r="B116" s="192" t="str">
        <x:v>https://www.airbnb.com.br/rooms/31543199</x:v>
      </x:c>
      <x:c r="C116" s="192" t="str">
        <x:v>Ótimo apto 3 suites, 2 garagens, 75 m da praia, ar</x:v>
      </x:c>
      <x:c r="D116" s="192" t="str">
        <x:v>Meia Praia</x:v>
      </x:c>
      <x:c r="E116" s="192" t="n">
        <x:v>-27.13332</x:v>
      </x:c>
      <x:c r="F116" s="192" t="n">
        <x:v>-48.59783</x:v>
      </x:c>
      <x:c r="G116" s="192" t="str">
        <x:v>apartamento</x:v>
      </x:c>
      <x:c r="H116" s="192" t="n">
        <x:v>3</x:v>
      </x:c>
      <x:c r="I116" s="192" t="n">
        <x:v>3</x:v>
      </x:c>
      <x:c r="J116" s="192" t="n">
        <x:v>4</x:v>
      </x:c>
      <x:c r="K116" s="192" t="n">
        <x:v>7</x:v>
      </x:c>
      <x:c r="L116" s="192" t="n">
        <x:v>27</x:v>
      </x:c>
      <x:c r="M116" s="192" t="n">
        <x:v>5</x:v>
      </x:c>
      <x:c r="N116" s="192" t="n">
        <x:v>200</x:v>
      </x:c>
      <x:c r="O116" s="192" t="n">
        <x:v>15</x:v>
      </x:c>
      <x:c r="P116" s="193" t="b">
        <x:v>0</x:v>
      </x:c>
      <x:c r="Q116" s="193" t="b">
        <x:v>0</x:v>
      </x:c>
      <x:c r="R116" s="193" t="b">
        <x:v>1</x:v>
      </x:c>
      <x:c r="S116" s="193" t="b">
        <x:v>0</x:v>
      </x:c>
      <x:c r="T116" s="192" t="n">
        <x:v>44</x:v>
      </x:c>
      <x:c r="U116" s="192" t="n">
        <x:v>46</x:v>
      </x:c>
      <x:c r="V116" s="200" t="n">
        <x:v>0.5111111111</x:v>
      </x:c>
      <x:c r="W116" s="203" t="n">
        <x:v>687.5</x:v>
      </x:c>
      <x:c r="X116" s="203" t="n">
        <x:v>31481.5510670801</x:v>
      </x:c>
      <x:c r="Y116" s="203" t="n">
        <x:v>81392.9268213465</x:v>
      </x:c>
      <x:c r="Z116" s="193" t="b">
        <x:v>0</x:v>
      </x:c>
      <x:c r="AA116" s="193" t="b">
        <x:v>0</x:v>
      </x:c>
      <x:c r="AB116" s="193" t="b">
        <x:v>1</x:v>
      </x:c>
      <x:c r="AC116" s="193" t="b">
        <x:v>1</x:v>
      </x:c>
      <x:c r="AD116" s="193" t="b">
        <x:v>1</x:v>
      </x:c>
      <x:c r="AE116" s="193" t="b">
        <x:v>1</x:v>
      </x:c>
      <x:c r="AF116" s="193" t="b">
        <x:v>1</x:v>
      </x:c>
      <x:c r="AG116" s="193" t="b">
        <x:v>1</x:v>
      </x:c>
      <x:c r="AH116" s="193" t="b">
        <x:v>1</x:v>
      </x:c>
      <x:c r="AI116" s="193" t="b">
        <x:v>1</x:v>
      </x:c>
      <x:c r="AJ116" s="193" t="b">
        <x:v>1</x:v>
      </x:c>
    </x:row>
    <x:row r="117">
      <x:c r="A117" s="192" t="n">
        <x:v>1277103969415516400</x:v>
      </x:c>
      <x:c r="B117" s="192" t="str">
        <x:v>https://www.airbnb.com.br/rooms/1277103969415516416</x:v>
      </x:c>
      <x:c r="C117" s="192" t="str">
        <x:v>Alugo apartamento em Itapema</x:v>
      </x:c>
      <x:c r="D117" s="192" t="str">
        <x:v>Morretes</x:v>
      </x:c>
      <x:c r="E117" s="192" t="n">
        <x:v>-27.1155301999</x:v>
      </x:c>
      <x:c r="F117" s="192" t="n">
        <x:v>-48.6109929532</x:v>
      </x:c>
      <x:c r="G117" s="192" t="str">
        <x:v>apartamento</x:v>
      </x:c>
      <x:c r="H117" s="192" t="n">
        <x:v>2</x:v>
      </x:c>
      <x:c r="I117" s="192" t="n">
        <x:v>2</x:v>
      </x:c>
      <x:c r="J117" s="192" t="n">
        <x:v>4</x:v>
      </x:c>
      <x:c r="K117" s="192" t="n">
        <x:v>8</x:v>
      </x:c>
      <x:c r="L117" s="192" t="n">
        <x:v>8</x:v>
      </x:c>
      <x:c r="M117" s="192" t="n">
        <x:v>5</x:v>
      </x:c>
      <x:c r="N117" s="192" t="n">
        <x:v>100</x:v>
      </x:c>
      <x:c r="O117" s="192" t="n">
        <x:v>0</x:v>
      </x:c>
      <x:c r="P117" s="193" t="b">
        <x:v>0</x:v>
      </x:c>
      <x:c r="Q117" s="193" t="b">
        <x:v>0</x:v>
      </x:c>
      <x:c r="R117" s="193" t="b">
        <x:v>1</x:v>
      </x:c>
      <x:c r="S117" s="193" t="b">
        <x:v>1</x:v>
      </x:c>
      <x:c r="T117" s="192" t="n">
        <x:v>54</x:v>
      </x:c>
      <x:c r="U117" s="192" t="n">
        <x:v>36</x:v>
      </x:c>
      <x:c r="V117" s="200" t="n">
        <x:v>0.4</x:v>
      </x:c>
      <x:c r="W117" s="203" t="n">
        <x:v>470</x:v>
      </x:c>
      <x:c r="X117" s="203" t="n">
        <x:v>17722.9026317581</x:v>
      </x:c>
      <x:c r="Y117" s="203" t="n">
        <x:v>45821.0878458578</x:v>
      </x:c>
      <x:c r="Z117" s="193" t="b">
        <x:v>1</x:v>
      </x:c>
      <x:c r="AA117" s="193" t="b">
        <x:v>1</x:v>
      </x:c>
      <x:c r="AB117" s="193" t="b">
        <x:v>1</x:v>
      </x:c>
      <x:c r="AC117" s="193" t="b">
        <x:v>1</x:v>
      </x:c>
      <x:c r="AD117" s="193" t="b">
        <x:v>0</x:v>
      </x:c>
      <x:c r="AE117" s="193" t="b">
        <x:v>1</x:v>
      </x:c>
      <x:c r="AF117" s="193" t="b">
        <x:v>1</x:v>
      </x:c>
      <x:c r="AG117" s="193" t="b">
        <x:v>1</x:v>
      </x:c>
      <x:c r="AH117" s="193" t="b">
        <x:v>1</x:v>
      </x:c>
      <x:c r="AI117" s="193" t="b">
        <x:v>1</x:v>
      </x:c>
      <x:c r="AJ117" s="193" t="b">
        <x:v>0</x:v>
      </x:c>
    </x:row>
    <x:row r="118">
      <x:c r="A118" s="192" t="n">
        <x:v>1216602433904805000</x:v>
      </x:c>
      <x:c r="B118" s="192" t="str">
        <x:v>https://www.airbnb.com.br/rooms/1216602433904805187</x:v>
      </x:c>
      <x:c r="C118" s="192" t="str">
        <x:v>Apto bem equipado c/ vista mar em Itapema MHF1804</x:v>
      </x:c>
      <x:c r="D118" s="192" t="str">
        <x:v>Centro</x:v>
      </x:c>
      <x:c r="E118" s="192" t="n">
        <x:v>-27.09231</x:v>
      </x:c>
      <x:c r="F118" s="192" t="n">
        <x:v>-48.61455</x:v>
      </x:c>
      <x:c r="G118" s="192" t="str">
        <x:v>apartamento</x:v>
      </x:c>
      <x:c r="H118" s="192" t="n">
        <x:v>1</x:v>
      </x:c>
      <x:c r="I118" s="192" t="n">
        <x:v>1</x:v>
      </x:c>
      <x:c r="J118" s="192" t="n">
        <x:v>2</x:v>
      </x:c>
      <x:c r="K118" s="192" t="n">
        <x:v>4</x:v>
      </x:c>
      <x:c r="L118" s="192" t="n">
        <x:v>10</x:v>
      </x:c>
      <x:c r="M118" s="192" t="n">
        <x:v>4.5999999046</x:v>
      </x:c>
      <x:c r="N118" s="192" t="n">
        <x:v>190</x:v>
      </x:c>
      <x:c r="O118" s="192" t="n">
        <x:v>0</x:v>
      </x:c>
      <x:c r="P118" s="193" t="b">
        <x:v>1</x:v>
      </x:c>
      <x:c r="Q118" s="193" t="b">
        <x:v>1</x:v>
      </x:c>
      <x:c r="R118" s="193" t="b">
        <x:v>0</x:v>
      </x:c>
      <x:c r="S118" s="193" t="b">
        <x:v>0</x:v>
      </x:c>
      <x:c r="T118" s="192" t="n">
        <x:v>63</x:v>
      </x:c>
      <x:c r="U118" s="192" t="n">
        <x:v>27</x:v>
      </x:c>
      <x:c r="V118" s="200" t="n">
        <x:v>0.3</x:v>
      </x:c>
      <x:c r="W118" s="203" t="n">
        <x:v>471</x:v>
      </x:c>
      <x:c r="X118" s="203" t="n">
        <x:v>13257.6517336476</x:v>
      </x:c>
      <x:c r="Y118" s="203" t="n">
        <x:v>34276.5537530347</x:v>
      </x:c>
      <x:c r="Z118" s="193" t="b">
        <x:v>1</x:v>
      </x:c>
      <x:c r="AA118" s="193" t="b">
        <x:v>1</x:v>
      </x:c>
      <x:c r="AB118" s="193" t="b">
        <x:v>1</x:v>
      </x:c>
      <x:c r="AC118" s="193" t="b">
        <x:v>1</x:v>
      </x:c>
      <x:c r="AD118" s="193" t="b">
        <x:v>1</x:v>
      </x:c>
      <x:c r="AE118" s="193" t="b">
        <x:v>1</x:v>
      </x:c>
      <x:c r="AF118" s="193" t="b">
        <x:v>1</x:v>
      </x:c>
      <x:c r="AG118" s="193" t="b">
        <x:v>1</x:v>
      </x:c>
      <x:c r="AH118" s="193" t="b">
        <x:v>1</x:v>
      </x:c>
      <x:c r="AI118" s="193" t="b">
        <x:v>1</x:v>
      </x:c>
      <x:c r="AJ118" s="193" t="b">
        <x:v>0</x:v>
      </x:c>
    </x:row>
    <x:row r="119">
      <x:c r="A119" s="192" t="n">
        <x:v>32371924</x:v>
      </x:c>
      <x:c r="B119" s="192" t="str">
        <x:v>https://www.airbnb.com.br/rooms/32371924</x:v>
      </x:c>
      <x:c r="C119" s="192" t="str">
        <x:v>Itapema Beira Mar, “Pé na areia”!</x:v>
      </x:c>
      <x:c r="D119" s="192" t="str">
        <x:v>Centro</x:v>
      </x:c>
      <x:c r="E119" s="192" t="n">
        <x:v>-27.1050300598</x:v>
      </x:c>
      <x:c r="F119" s="192" t="n">
        <x:v>-48.6139183044</x:v>
      </x:c>
      <x:c r="G119" s="192" t="str">
        <x:v>apartamento</x:v>
      </x:c>
      <x:c r="H119" s="192" t="n">
        <x:v>3</x:v>
      </x:c>
      <x:c r="I119" s="192" t="n">
        <x:v>2</x:v>
      </x:c>
      <x:c r="J119" s="192" t="n">
        <x:v>5</x:v>
      </x:c>
      <x:c r="K119" s="192" t="n">
        <x:v>8</x:v>
      </x:c>
      <x:c r="L119" s="192" t="n">
        <x:v>30</x:v>
      </x:c>
      <x:c r="M119" s="192" t="n">
        <x:v>4.9299998283</x:v>
      </x:c>
      <x:c r="N119" s="192" t="n">
        <x:v>250</x:v>
      </x:c>
      <x:c r="O119" s="192" t="n">
        <x:v>56</x:v>
      </x:c>
      <x:c r="P119" s="193" t="b">
        <x:v>1</x:v>
      </x:c>
      <x:c r="Q119" s="193" t="b">
        <x:v>0</x:v>
      </x:c>
      <x:c r="R119" s="193" t="b">
        <x:v>1</x:v>
      </x:c>
      <x:c r="S119" s="193" t="b">
        <x:v>1</x:v>
      </x:c>
      <x:c r="T119" s="192" t="n">
        <x:v>31</x:v>
      </x:c>
      <x:c r="U119" s="192" t="n">
        <x:v>59</x:v>
      </x:c>
      <x:c r="V119" s="200" t="n">
        <x:v>0.6555555556</x:v>
      </x:c>
      <x:c r="W119" s="203" t="n">
        <x:v>518</x:v>
      </x:c>
      <x:c r="X119" s="203" t="n">
        <x:v>31447.3305748608</x:v>
      </x:c>
      <x:c r="Y119" s="203" t="n">
        <x:v>81304.4525904214</x:v>
      </x:c>
      <x:c r="Z119" s="193" t="b">
        <x:v>0</x:v>
      </x:c>
      <x:c r="AA119" s="193" t="b">
        <x:v>0</x:v>
      </x:c>
      <x:c r="AB119" s="193" t="b">
        <x:v>1</x:v>
      </x:c>
      <x:c r="AC119" s="193" t="b">
        <x:v>1</x:v>
      </x:c>
      <x:c r="AD119" s="193" t="b">
        <x:v>1</x:v>
      </x:c>
      <x:c r="AE119" s="193" t="b">
        <x:v>1</x:v>
      </x:c>
      <x:c r="AF119" s="193" t="b">
        <x:v>1</x:v>
      </x:c>
      <x:c r="AG119" s="193" t="b">
        <x:v>1</x:v>
      </x:c>
      <x:c r="AH119" s="193" t="b">
        <x:v>1</x:v>
      </x:c>
      <x:c r="AI119" s="193" t="b">
        <x:v>1</x:v>
      </x:c>
      <x:c r="AJ119" s="193" t="b">
        <x:v>1</x:v>
      </x:c>
    </x:row>
    <x:row r="120">
      <x:c r="A120" s="192" t="n">
        <x:v>622878708674009200</x:v>
      </x:c>
      <x:c r="B120" s="192" t="str">
        <x:v>https://www.airbnb.com.br/rooms/622878708674009200</x:v>
      </x:c>
      <x:c r="C120" s="192" t="str">
        <x:v>Apartamento encantador com vaga de garagem.</x:v>
      </x:c>
      <x:c r="D120" s="192" t="str">
        <x:v>Meia Praia</x:v>
      </x:c>
      <x:c r="E120" s="192" t="n">
        <x:v>-27.13289</x:v>
      </x:c>
      <x:c r="F120" s="192" t="n">
        <x:v>-48.59809</x:v>
      </x:c>
      <x:c r="G120" s="192" t="str">
        <x:v>apartamento</x:v>
      </x:c>
      <x:c r="H120" s="192" t="n">
        <x:v>2</x:v>
      </x:c>
      <x:c r="I120" s="192" t="n">
        <x:v>2</x:v>
      </x:c>
      <x:c r="J120" s="192" t="n">
        <x:v>7</x:v>
      </x:c>
      <x:c r="K120" s="192" t="n">
        <x:v>8</x:v>
      </x:c>
      <x:c r="L120" s="192" t="n">
        <x:v>5</x:v>
      </x:c>
      <x:c r="M120" s="192" t="n">
        <x:v>5</x:v>
      </x:c>
      <x:c r="N120" s="192" t="n">
        <x:v>300</x:v>
      </x:c>
      <x:c r="O120" s="192" t="n">
        <x:v>13</x:v>
      </x:c>
      <x:c r="P120" s="193" t="b">
        <x:v>0</x:v>
      </x:c>
      <x:c r="Q120" s="193" t="b">
        <x:v>0</x:v>
      </x:c>
      <x:c r="R120" s="193" t="b">
        <x:v>1</x:v>
      </x:c>
      <x:c r="S120" s="193" t="b">
        <x:v>0</x:v>
      </x:c>
      <x:c r="T120" s="192" t="n">
        <x:v>74</x:v>
      </x:c>
      <x:c r="U120" s="192" t="n">
        <x:v>16</x:v>
      </x:c>
      <x:c r="V120" s="200" t="n">
        <x:v>0.1777777778</x:v>
      </x:c>
      <x:c r="W120" s="203" t="n">
        <x:v>650</x:v>
      </x:c>
      <x:c r="X120" s="203" t="n">
        <x:v>10272.6071487247</x:v>
      </x:c>
      <x:c r="Y120" s="203" t="n">
        <x:v>26558.9697324321</x:v>
      </x:c>
      <x:c r="Z120" s="193" t="b">
        <x:v>1</x:v>
      </x:c>
      <x:c r="AA120" s="193" t="b">
        <x:v>0</x:v>
      </x:c>
      <x:c r="AB120" s="193" t="b">
        <x:v>1</x:v>
      </x:c>
      <x:c r="AC120" s="193" t="b">
        <x:v>1</x:v>
      </x:c>
      <x:c r="AD120" s="193" t="b">
        <x:v>1</x:v>
      </x:c>
      <x:c r="AE120" s="193" t="b">
        <x:v>1</x:v>
      </x:c>
      <x:c r="AF120" s="193" t="b">
        <x:v>1</x:v>
      </x:c>
      <x:c r="AG120" s="193" t="b">
        <x:v>1</x:v>
      </x:c>
      <x:c r="AH120" s="193" t="b">
        <x:v>1</x:v>
      </x:c>
      <x:c r="AI120" s="193" t="b">
        <x:v>1</x:v>
      </x:c>
      <x:c r="AJ120" s="193" t="b">
        <x:v>1</x:v>
      </x:c>
    </x:row>
    <x:row r="121">
      <x:c r="A121" s="192" t="n">
        <x:v>725867973010290800</x:v>
      </x:c>
      <x:c r="B121" s="192" t="str">
        <x:v>https://www.airbnb.com.br/rooms/725867973010290782</x:v>
      </x:c>
      <x:c r="C121" s="192" t="str">
        <x:v>Sua casa fora de casa-pertinho do mar!</x:v>
      </x:c>
      <x:c r="D121" s="192" t="str">
        <x:v>Meia Praia</x:v>
      </x:c>
      <x:c r="E121" s="192" t="n">
        <x:v>-27.1405391693</x:v>
      </x:c>
      <x:c r="F121" s="192" t="n">
        <x:v>-48.5942497253</x:v>
      </x:c>
      <x:c r="G121" s="192" t="str">
        <x:v>apartamento</x:v>
      </x:c>
      <x:c r="H121" s="192" t="n">
        <x:v>2</x:v>
      </x:c>
      <x:c r="I121" s="192" t="n">
        <x:v>2</x:v>
      </x:c>
      <x:c r="J121" s="192" t="n">
        <x:v>4</x:v>
      </x:c>
      <x:c r="K121" s="192" t="n">
        <x:v>6</x:v>
      </x:c>
      <x:c r="L121" s="192" t="n">
        <x:v>26</x:v>
      </x:c>
      <x:c r="M121" s="192" t="n">
        <x:v>5</x:v>
      </x:c>
      <x:c r="N121" s="192" t="n">
        <x:v>300</x:v>
      </x:c>
      <x:c r="O121" s="192" t="n">
        <x:v>46</x:v>
      </x:c>
      <x:c r="P121" s="193" t="b">
        <x:v>0</x:v>
      </x:c>
      <x:c r="Q121" s="193" t="b">
        <x:v>0</x:v>
      </x:c>
      <x:c r="R121" s="193" t="b">
        <x:v>1</x:v>
      </x:c>
      <x:c r="S121" s="193" t="b">
        <x:v>1</x:v>
      </x:c>
      <x:c r="T121" s="192" t="n">
        <x:v>64</x:v>
      </x:c>
      <x:c r="U121" s="192" t="n">
        <x:v>26</x:v>
      </x:c>
      <x:c r="V121" s="200" t="n">
        <x:v>0.2888888889</x:v>
      </x:c>
      <x:c r="W121" s="203" t="n">
        <x:v>480</x:v>
      </x:c>
      <x:c r="X121" s="203" t="n">
        <x:v>12332.4855013339</x:v>
      </x:c>
      <x:c r="Y121" s="203" t="n">
        <x:v>31884.6135565736</x:v>
      </x:c>
      <x:c r="Z121" s="193" t="b">
        <x:v>1</x:v>
      </x:c>
      <x:c r="AA121" s="193" t="b">
        <x:v>0</x:v>
      </x:c>
      <x:c r="AB121" s="193" t="b">
        <x:v>1</x:v>
      </x:c>
      <x:c r="AC121" s="193" t="b">
        <x:v>1</x:v>
      </x:c>
      <x:c r="AD121" s="193" t="b">
        <x:v>1</x:v>
      </x:c>
      <x:c r="AE121" s="193" t="b">
        <x:v>1</x:v>
      </x:c>
      <x:c r="AF121" s="193" t="b">
        <x:v>1</x:v>
      </x:c>
      <x:c r="AG121" s="193" t="b">
        <x:v>1</x:v>
      </x:c>
      <x:c r="AH121" s="193" t="b">
        <x:v>1</x:v>
      </x:c>
      <x:c r="AI121" s="193" t="b">
        <x:v>1</x:v>
      </x:c>
      <x:c r="AJ121" s="193" t="b">
        <x:v>1</x:v>
      </x:c>
    </x:row>
    <x:row r="122">
      <x:c r="A122" s="192" t="n">
        <x:v>32766950</x:v>
      </x:c>
      <x:c r="B122" s="192" t="str">
        <x:v>https://www.airbnb.com.br/rooms/32766950</x:v>
      </x:c>
      <x:c r="C122" s="192" t="str">
        <x:v>Apartamento 2 quartos Centro Itapema com Starlink</x:v>
      </x:c>
      <x:c r="D122" s="192" t="str">
        <x:v>Centro</x:v>
      </x:c>
      <x:c r="E122" s="192" t="n">
        <x:v>-27.09755</x:v>
      </x:c>
      <x:c r="F122" s="192" t="n">
        <x:v>-48.6148</x:v>
      </x:c>
      <x:c r="G122" s="192" t="str">
        <x:v>apartamento</x:v>
      </x:c>
      <x:c r="H122" s="192" t="n">
        <x:v>2</x:v>
      </x:c>
      <x:c r="I122" s="192" t="n">
        <x:v>2</x:v>
      </x:c>
      <x:c r="J122" s="192" t="n">
        <x:v>4</x:v>
      </x:c>
      <x:c r="K122" s="192" t="n">
        <x:v>6</x:v>
      </x:c>
      <x:c r="L122" s="192" t="n">
        <x:v>11</x:v>
      </x:c>
      <x:c r="M122" s="192" t="n">
        <x:v>4.8200001717</x:v>
      </x:c>
      <x:c r="N122" s="192" t="n">
        <x:v>250</x:v>
      </x:c>
      <x:c r="O122" s="192" t="n">
        <x:v>14</x:v>
      </x:c>
      <x:c r="P122" s="193" t="b">
        <x:v>0</x:v>
      </x:c>
      <x:c r="Q122" s="193" t="b">
        <x:v>0</x:v>
      </x:c>
      <x:c r="R122" s="193" t="b">
        <x:v>0</x:v>
      </x:c>
      <x:c r="S122" s="193" t="b">
        <x:v>0</x:v>
      </x:c>
      <x:c r="T122" s="192" t="n">
        <x:v>48</x:v>
      </x:c>
      <x:c r="U122" s="192" t="n">
        <x:v>42</x:v>
      </x:c>
      <x:c r="V122" s="200" t="n">
        <x:v>0.4666666667</x:v>
      </x:c>
      <x:c r="W122" s="203" t="n">
        <x:v>300</x:v>
      </x:c>
      <x:c r="X122" s="203" t="n">
        <x:v>13224.8223989379</x:v>
      </x:c>
      <x:c r="Y122" s="203" t="n">
        <x:v>34191.6762439207</x:v>
      </x:c>
      <x:c r="Z122" s="193" t="b">
        <x:v>1</x:v>
      </x:c>
      <x:c r="AA122" s="193" t="b">
        <x:v>0</x:v>
      </x:c>
      <x:c r="AB122" s="193" t="b">
        <x:v>1</x:v>
      </x:c>
      <x:c r="AC122" s="193" t="b">
        <x:v>1</x:v>
      </x:c>
      <x:c r="AD122" s="193" t="b">
        <x:v>0</x:v>
      </x:c>
      <x:c r="AE122" s="193" t="b">
        <x:v>1</x:v>
      </x:c>
      <x:c r="AF122" s="193" t="b">
        <x:v>0</x:v>
      </x:c>
      <x:c r="AG122" s="193" t="b">
        <x:v>1</x:v>
      </x:c>
      <x:c r="AH122" s="193" t="b">
        <x:v>1</x:v>
      </x:c>
      <x:c r="AI122" s="193" t="b">
        <x:v>1</x:v>
      </x:c>
      <x:c r="AJ122" s="193" t="b">
        <x:v>0</x:v>
      </x:c>
    </x:row>
    <x:row r="123">
      <x:c r="A123" s="192" t="n">
        <x:v>1249919049392818400</x:v>
      </x:c>
      <x:c r="B123" s="192" t="str">
        <x:v>https://www.airbnb.com.br/rooms/1249919049392818339</x:v>
      </x:c>
      <x:c r="C123" s="192" t="str">
        <x:v>Aproveite Itapema a 350m da praia! – IFT0709</x:v>
      </x:c>
      <x:c r="D123" s="192" t="str">
        <x:v>Meia Praia</x:v>
      </x:c>
      <x:c r="E123" s="192" t="n">
        <x:v>-27.1276039</x:v>
      </x:c>
      <x:c r="F123" s="192" t="n">
        <x:v>-48.6052271</x:v>
      </x:c>
      <x:c r="G123" s="192" t="str">
        <x:v>apartamento</x:v>
      </x:c>
      <x:c r="H123" s="192" t="n">
        <x:v>1</x:v>
      </x:c>
      <x:c r="I123" s="192" t="n">
        <x:v>1</x:v>
      </x:c>
      <x:c r="J123" s="192" t="n">
        <x:v>1</x:v>
      </x:c>
      <x:c r="K123" s="192" t="n">
        <x:v>2</x:v>
      </x:c>
      <x:c r="L123" s="192" t="n">
        <x:v>9</x:v>
      </x:c>
      <x:c r="M123" s="192" t="n">
        <x:v>5</x:v>
      </x:c>
      <x:c r="N123" s="192" t="n">
        <x:v>250</x:v>
      </x:c>
      <x:c r="O123" s="192" t="n">
        <x:v>0</x:v>
      </x:c>
      <x:c r="P123" s="193" t="b">
        <x:v>1</x:v>
      </x:c>
      <x:c r="Q123" s="193" t="b">
        <x:v>1</x:v>
      </x:c>
      <x:c r="R123" s="193" t="b">
        <x:v>1</x:v>
      </x:c>
      <x:c r="S123" s="193" t="b">
        <x:v>0</x:v>
      </x:c>
      <x:c r="T123" s="192" t="n">
        <x:v>74</x:v>
      </x:c>
      <x:c r="U123" s="192" t="n">
        <x:v>16</x:v>
      </x:c>
      <x:c r="V123" s="200" t="n">
        <x:v>0.1777777778</x:v>
      </x:c>
      <x:c r="W123" s="203" t="n">
        <x:v>516</x:v>
      </x:c>
      <x:c r="X123" s="203" t="n">
        <x:v>8206.9589394402</x:v>
      </x:c>
      <x:c r="Y123" s="203" t="n">
        <x:v>21218.4084246777</x:v>
      </x:c>
      <x:c r="Z123" s="193" t="b">
        <x:v>1</x:v>
      </x:c>
      <x:c r="AA123" s="193" t="b">
        <x:v>1</x:v>
      </x:c>
      <x:c r="AB123" s="193" t="b">
        <x:v>1</x:v>
      </x:c>
      <x:c r="AC123" s="193" t="b">
        <x:v>1</x:v>
      </x:c>
      <x:c r="AD123" s="193" t="b">
        <x:v>1</x:v>
      </x:c>
      <x:c r="AE123" s="193" t="b">
        <x:v>0</x:v>
      </x:c>
      <x:c r="AF123" s="193" t="b">
        <x:v>0</x:v>
      </x:c>
      <x:c r="AG123" s="193" t="b">
        <x:v>0</x:v>
      </x:c>
      <x:c r="AH123" s="193" t="b">
        <x:v>1</x:v>
      </x:c>
      <x:c r="AI123" s="193" t="b">
        <x:v>1</x:v>
      </x:c>
      <x:c r="AJ123" s="193" t="b">
        <x:v>0</x:v>
      </x:c>
    </x:row>
    <x:row r="124">
      <x:c r="A124" s="192" t="n">
        <x:v>46936020</x:v>
      </x:c>
      <x:c r="B124" s="192" t="str">
        <x:v>https://www.airbnb.com.br/rooms/46936020</x:v>
      </x:c>
      <x:c r="C124" s="192" t="str">
        <x:v>Apartamento novo vista linda a 4 minutos da praia</x:v>
      </x:c>
      <x:c r="D124" s="192" t="str">
        <x:v>Morretes</x:v>
      </x:c>
      <x:c r="E124" s="192" t="n">
        <x:v>-27.11841</x:v>
      </x:c>
      <x:c r="F124" s="192" t="n">
        <x:v>-48.60977</x:v>
      </x:c>
      <x:c r="G124" s="192" t="str">
        <x:v>apartamento</x:v>
      </x:c>
      <x:c r="H124" s="192" t="n">
        <x:v>2</x:v>
      </x:c>
      <x:c r="I124" s="192" t="n">
        <x:v>2</x:v>
      </x:c>
      <x:c r="J124" s="192" t="n">
        <x:v>3</x:v>
      </x:c>
      <x:c r="K124" s="192" t="n">
        <x:v>6</x:v>
      </x:c>
      <x:c r="L124" s="192" t="n">
        <x:v>68</x:v>
      </x:c>
      <x:c r="M124" s="192" t="n">
        <x:v>4.9899997711</x:v>
      </x:c>
      <x:c r="N124" s="192" t="n">
        <x:v>200</x:v>
      </x:c>
      <x:c r="O124" s="192" t="n">
        <x:v>21</x:v>
      </x:c>
      <x:c r="P124" s="193" t="b">
        <x:v>1</x:v>
      </x:c>
      <x:c r="Q124" s="193" t="b">
        <x:v>0</x:v>
      </x:c>
      <x:c r="R124" s="193" t="b">
        <x:v>1</x:v>
      </x:c>
      <x:c r="S124" s="193" t="b">
        <x:v>1</x:v>
      </x:c>
      <x:c r="T124" s="192" t="n">
        <x:v>54</x:v>
      </x:c>
      <x:c r="U124" s="192" t="n">
        <x:v>36</x:v>
      </x:c>
      <x:c r="V124" s="200" t="n">
        <x:v>0.4</x:v>
      </x:c>
      <x:c r="W124" s="203" t="n">
        <x:v>380</x:v>
      </x:c>
      <x:c r="X124" s="203" t="n">
        <x:v>13868.500023304</x:v>
      </x:c>
      <x:c r="Y124" s="203" t="n">
        <x:v>35855.8511019172</x:v>
      </x:c>
      <x:c r="Z124" s="193" t="b">
        <x:v>1</x:v>
      </x:c>
      <x:c r="AA124" s="193" t="b">
        <x:v>0</x:v>
      </x:c>
      <x:c r="AB124" s="193" t="b">
        <x:v>1</x:v>
      </x:c>
      <x:c r="AC124" s="193" t="b">
        <x:v>1</x:v>
      </x:c>
      <x:c r="AD124" s="193" t="b">
        <x:v>1</x:v>
      </x:c>
      <x:c r="AE124" s="193" t="b">
        <x:v>1</x:v>
      </x:c>
      <x:c r="AF124" s="193" t="b">
        <x:v>1</x:v>
      </x:c>
      <x:c r="AG124" s="193" t="b">
        <x:v>1</x:v>
      </x:c>
      <x:c r="AH124" s="193" t="b">
        <x:v>1</x:v>
      </x:c>
      <x:c r="AI124" s="193" t="b">
        <x:v>1</x:v>
      </x:c>
      <x:c r="AJ124" s="193" t="b">
        <x:v>1</x:v>
      </x:c>
    </x:row>
    <x:row r="125">
      <x:c r="A125" s="192" t="n">
        <x:v>1005860682746801000</x:v>
      </x:c>
      <x:c r="B125" s="192" t="str">
        <x:v>https://www.airbnb.com.br/rooms/1005860682746801029</x:v>
      </x:c>
      <x:c r="C125" s="192" t="str">
        <x:v>Apê1104 - Seu refúgio em Itapema</x:v>
      </x:c>
      <x:c r="D125" s="192" t="str">
        <x:v>Morretes</x:v>
      </x:c>
      <x:c r="E125" s="192" t="n">
        <x:v>-27.1180000305</x:v>
      </x:c>
      <x:c r="F125" s="192" t="n">
        <x:v>-48.6150016785</x:v>
      </x:c>
      <x:c r="G125" s="192" t="str">
        <x:v>apartamento</x:v>
      </x:c>
      <x:c r="H125" s="192" t="n">
        <x:v>2</x:v>
      </x:c>
      <x:c r="I125" s="192" t="n">
        <x:v>2</x:v>
      </x:c>
      <x:c r="J125" s="192" t="n">
        <x:v>2</x:v>
      </x:c>
      <x:c r="K125" s="192" t="n">
        <x:v>6</x:v>
      </x:c>
      <x:c r="L125" s="192" t="n">
        <x:v>10</x:v>
      </x:c>
      <x:c r="M125" s="192" t="n">
        <x:v>4.9000000954</x:v>
      </x:c>
      <x:c r="N125" s="192" t="n">
        <x:v>200</x:v>
      </x:c>
      <x:c r="O125" s="192" t="n">
        <x:v>18</x:v>
      </x:c>
      <x:c r="P125" s="193" t="b">
        <x:v>0</x:v>
      </x:c>
      <x:c r="Q125" s="193" t="b">
        <x:v>0</x:v>
      </x:c>
      <x:c r="R125" s="193" t="b">
        <x:v>1</x:v>
      </x:c>
      <x:c r="S125" s="193" t="b">
        <x:v>1</x:v>
      </x:c>
      <x:c r="T125" s="192" t="n">
        <x:v>66</x:v>
      </x:c>
      <x:c r="U125" s="192" t="n">
        <x:v>24</x:v>
      </x:c>
      <x:c r="V125" s="200" t="n">
        <x:v>0.2666666667</x:v>
      </x:c>
      <x:c r="W125" s="203" t="n">
        <x:v>385</x:v>
      </x:c>
      <x:c r="X125" s="203" t="n">
        <x:v>9767.323515873</x:v>
      </x:c>
      <x:c r="Y125" s="203" t="n">
        <x:v>25252.6010066634</x:v>
      </x:c>
      <x:c r="Z125" s="193" t="b">
        <x:v>1</x:v>
      </x:c>
      <x:c r="AA125" s="193" t="b">
        <x:v>0</x:v>
      </x:c>
      <x:c r="AB125" s="193" t="b">
        <x:v>1</x:v>
      </x:c>
      <x:c r="AC125" s="193" t="b">
        <x:v>1</x:v>
      </x:c>
      <x:c r="AD125" s="193" t="b">
        <x:v>1</x:v>
      </x:c>
      <x:c r="AE125" s="193" t="b">
        <x:v>1</x:v>
      </x:c>
      <x:c r="AF125" s="193" t="b">
        <x:v>1</x:v>
      </x:c>
      <x:c r="AG125" s="193" t="b">
        <x:v>1</x:v>
      </x:c>
      <x:c r="AH125" s="193" t="b">
        <x:v>1</x:v>
      </x:c>
      <x:c r="AI125" s="193" t="b">
        <x:v>1</x:v>
      </x:c>
      <x:c r="AJ125" s="193" t="b">
        <x:v>1</x:v>
      </x:c>
    </x:row>
    <x:row r="126">
      <x:c r="A126" s="192" t="n">
        <x:v>21025393</x:v>
      </x:c>
      <x:c r="B126" s="192" t="str">
        <x:v>https://www.airbnb.com.br/rooms/21025393</x:v>
      </x:c>
      <x:c r="C126" s="192" t="str">
        <x:v>Apartamento em Meia Praia - 50 m do mar!</x:v>
      </x:c>
      <x:c r="D126" s="192" t="str">
        <x:v>Meia Praia</x:v>
      </x:c>
      <x:c r="E126" s="192" t="n">
        <x:v>-27.11835</x:v>
      </x:c>
      <x:c r="F126" s="192" t="n">
        <x:v>-48.60785</x:v>
      </x:c>
      <x:c r="G126" s="192" t="str">
        <x:v>apartamento</x:v>
      </x:c>
      <x:c r="H126" s="192" t="n">
        <x:v>3</x:v>
      </x:c>
      <x:c r="I126" s="192" t="n">
        <x:v>3</x:v>
      </x:c>
      <x:c r="J126" s="192" t="n">
        <x:v>5</x:v>
      </x:c>
      <x:c r="K126" s="192" t="n">
        <x:v>6</x:v>
      </x:c>
      <x:c r="L126" s="192" t="n">
        <x:v>23</x:v>
      </x:c>
      <x:c r="M126" s="192" t="n">
        <x:v>4.9099998474</x:v>
      </x:c>
      <x:c r="N126" s="192" t="n">
        <x:v>250</x:v>
      </x:c>
      <x:c r="O126" s="192" t="n">
        <x:v>22</x:v>
      </x:c>
      <x:c r="P126" s="193" t="b">
        <x:v>0</x:v>
      </x:c>
      <x:c r="Q126" s="193" t="b">
        <x:v>0</x:v>
      </x:c>
      <x:c r="R126" s="193" t="b">
        <x:v>1</x:v>
      </x:c>
      <x:c r="S126" s="193" t="b">
        <x:v>0</x:v>
      </x:c>
      <x:c r="T126" s="192" t="n">
        <x:v>36</x:v>
      </x:c>
      <x:c r="U126" s="192" t="n">
        <x:v>54</x:v>
      </x:c>
      <x:c r="V126" s="200" t="n">
        <x:v>0.6</x:v>
      </x:c>
      <x:c r="W126" s="203" t="n">
        <x:v>700</x:v>
      </x:c>
      <x:c r="X126" s="203" t="n">
        <x:v>36772.2440541974</x:v>
      </x:c>
      <x:c r="Y126" s="203" t="n">
        <x:v>95071.5726484563</x:v>
      </x:c>
      <x:c r="Z126" s="193" t="b">
        <x:v>1</x:v>
      </x:c>
      <x:c r="AA126" s="193" t="b">
        <x:v>0</x:v>
      </x:c>
      <x:c r="AB126" s="193" t="b">
        <x:v>1</x:v>
      </x:c>
      <x:c r="AC126" s="193" t="b">
        <x:v>1</x:v>
      </x:c>
      <x:c r="AD126" s="193" t="b">
        <x:v>1</x:v>
      </x:c>
      <x:c r="AE126" s="193" t="b">
        <x:v>1</x:v>
      </x:c>
      <x:c r="AF126" s="193" t="b">
        <x:v>0</x:v>
      </x:c>
      <x:c r="AG126" s="193" t="b">
        <x:v>1</x:v>
      </x:c>
      <x:c r="AH126" s="193" t="b">
        <x:v>1</x:v>
      </x:c>
      <x:c r="AI126" s="193" t="b">
        <x:v>1</x:v>
      </x:c>
      <x:c r="AJ126" s="193" t="b">
        <x:v>0</x:v>
      </x:c>
    </x:row>
    <x:row r="127">
      <x:c r="A127" s="192" t="n">
        <x:v>1042032092670718700</x:v>
      </x:c>
      <x:c r="B127" s="192" t="str">
        <x:v>https://www.airbnb.com.br/rooms/1042032092670718662</x:v>
      </x:c>
      <x:c r="C127" s="192" t="str">
        <x:v>Infinity tower flat - Meia Praia</x:v>
      </x:c>
      <x:c r="D127" s="192" t="str">
        <x:v>Meia Praia</x:v>
      </x:c>
      <x:c r="E127" s="192" t="n">
        <x:v>-27.1280002594</x:v>
      </x:c>
      <x:c r="F127" s="192" t="n">
        <x:v>-48.6049995422</x:v>
      </x:c>
      <x:c r="G127" s="192" t="str">
        <x:v>apartamento</x:v>
      </x:c>
      <x:c r="H127" s="192" t="n">
        <x:v>1</x:v>
      </x:c>
      <x:c r="I127" s="192" t="n">
        <x:v>1</x:v>
      </x:c>
      <x:c r="J127" s="192" t="n">
        <x:v>1</x:v>
      </x:c>
      <x:c r="K127" s="192" t="n">
        <x:v>4</x:v>
      </x:c>
      <x:c r="L127" s="192" t="n">
        <x:v>11</x:v>
      </x:c>
      <x:c r="M127" s="192" t="n">
        <x:v>4.9099998474</x:v>
      </x:c>
      <x:c r="N127" s="192" t="n">
        <x:v>140</x:v>
      </x:c>
      <x:c r="O127" s="192" t="n">
        <x:v>29</x:v>
      </x:c>
      <x:c r="P127" s="193" t="b">
        <x:v>0</x:v>
      </x:c>
      <x:c r="Q127" s="193" t="b">
        <x:v>0</x:v>
      </x:c>
      <x:c r="R127" s="193" t="b">
        <x:v>1</x:v>
      </x:c>
      <x:c r="S127" s="193" t="b">
        <x:v>0</x:v>
      </x:c>
      <x:c r="T127" s="192" t="n">
        <x:v>25</x:v>
      </x:c>
      <x:c r="U127" s="192" t="n">
        <x:v>65</x:v>
      </x:c>
      <x:c r="V127" s="200" t="n">
        <x:v>0.7222222222</x:v>
      </x:c>
      <x:c r="W127" s="203" t="n">
        <x:v>385</x:v>
      </x:c>
      <x:c r="X127" s="203" t="n">
        <x:v>25474.5880144269</x:v>
      </x:c>
      <x:c r="Y127" s="203" t="n">
        <x:v>65862.4244289661</x:v>
      </x:c>
      <x:c r="Z127" s="193" t="b">
        <x:v>1</x:v>
      </x:c>
      <x:c r="AA127" s="193" t="b">
        <x:v>1</x:v>
      </x:c>
      <x:c r="AB127" s="193" t="b">
        <x:v>1</x:v>
      </x:c>
      <x:c r="AC127" s="193" t="b">
        <x:v>1</x:v>
      </x:c>
      <x:c r="AD127" s="193" t="b">
        <x:v>0</x:v>
      </x:c>
      <x:c r="AE127" s="193" t="b">
        <x:v>0</x:v>
      </x:c>
      <x:c r="AF127" s="193" t="b">
        <x:v>0</x:v>
      </x:c>
      <x:c r="AG127" s="193" t="b">
        <x:v>1</x:v>
      </x:c>
      <x:c r="AH127" s="193" t="b">
        <x:v>1</x:v>
      </x:c>
      <x:c r="AI127" s="193" t="b">
        <x:v>1</x:v>
      </x:c>
      <x:c r="AJ127" s="193" t="b">
        <x:v>0</x:v>
      </x:c>
    </x:row>
    <x:row r="128">
      <x:c r="A128" s="192" t="n">
        <x:v>1197195878719681800</x:v>
      </x:c>
      <x:c r="B128" s="192" t="str">
        <x:v>https://www.airbnb.com.br/rooms/1197195878719681680</x:v>
      </x:c>
      <x:c r="C128" s="192" t="str">
        <x:v>Estúdio cômodo vista mar em Itapema MHFB1204</x:v>
      </x:c>
      <x:c r="D128" s="192" t="str">
        <x:v>Centro</x:v>
      </x:c>
      <x:c r="E128" s="192" t="n">
        <x:v>-27.0931</x:v>
      </x:c>
      <x:c r="F128" s="192" t="n">
        <x:v>-48.6133</x:v>
      </x:c>
      <x:c r="G128" s="192" t="str">
        <x:v>apartamento</x:v>
      </x:c>
      <x:c r="H128" s="192" t="n">
        <x:v>1</x:v>
      </x:c>
      <x:c r="I128" s="192" t="n">
        <x:v>1</x:v>
      </x:c>
      <x:c r="J128" s="192" t="n">
        <x:v>1</x:v>
      </x:c>
      <x:c r="K128" s="192" t="n">
        <x:v>3</x:v>
      </x:c>
      <x:c r="L128" s="192" t="n">
        <x:v>16</x:v>
      </x:c>
      <x:c r="M128" s="192" t="n">
        <x:v>4.5599999428</x:v>
      </x:c>
      <x:c r="N128" s="192" t="n">
        <x:v>160</x:v>
      </x:c>
      <x:c r="O128" s="192" t="n">
        <x:v>0</x:v>
      </x:c>
      <x:c r="P128" s="193" t="b">
        <x:v>1</x:v>
      </x:c>
      <x:c r="Q128" s="193" t="b">
        <x:v>1</x:v>
      </x:c>
      <x:c r="R128" s="193" t="b">
        <x:v>0</x:v>
      </x:c>
      <x:c r="S128" s="193" t="b">
        <x:v>0</x:v>
      </x:c>
      <x:c r="T128" s="192" t="n">
        <x:v>64</x:v>
      </x:c>
      <x:c r="U128" s="192" t="n">
        <x:v>26</x:v>
      </x:c>
      <x:c r="V128" s="200" t="n">
        <x:v>0.2888888889</x:v>
      </x:c>
      <x:c r="W128" s="203" t="n">
        <x:v>384</x:v>
      </x:c>
      <x:c r="X128" s="203" t="n">
        <x:v>9904.3351418939</x:v>
      </x:c>
      <x:c r="Y128" s="203" t="n">
        <x:v>25606.8331481047</x:v>
      </x:c>
      <x:c r="Z128" s="193" t="b">
        <x:v>1</x:v>
      </x:c>
      <x:c r="AA128" s="193" t="b">
        <x:v>1</x:v>
      </x:c>
      <x:c r="AB128" s="193" t="b">
        <x:v>1</x:v>
      </x:c>
      <x:c r="AC128" s="193" t="b">
        <x:v>1</x:v>
      </x:c>
      <x:c r="AD128" s="193" t="b">
        <x:v>1</x:v>
      </x:c>
      <x:c r="AE128" s="193" t="b">
        <x:v>0</x:v>
      </x:c>
      <x:c r="AF128" s="193" t="b">
        <x:v>1</x:v>
      </x:c>
      <x:c r="AG128" s="193" t="b">
        <x:v>1</x:v>
      </x:c>
      <x:c r="AH128" s="193" t="b">
        <x:v>1</x:v>
      </x:c>
      <x:c r="AI128" s="193" t="b">
        <x:v>0</x:v>
      </x:c>
      <x:c r="AJ128" s="193" t="b">
        <x:v>0</x:v>
      </x:c>
    </x:row>
    <x:row r="129">
      <x:c r="A129" s="192" t="n">
        <x:v>1304403734260231700</x:v>
      </x:c>
      <x:c r="B129" s="192" t="str">
        <x:v>https://www.airbnb.com.br/rooms/1304403734260231676</x:v>
      </x:c>
      <x:c r="C129" s="192" t="str">
        <x:v>Apartamento Charmoso a 750m da Praia - RVN2003</x:v>
      </x:c>
      <x:c r="D129" s="192" t="str">
        <x:v>Tabuleiro dos Oliveiras</x:v>
      </x:c>
      <x:c r="E129" s="192" t="n">
        <x:v>-27.1071015</x:v>
      </x:c>
      <x:c r="F129" s="192" t="n">
        <x:v>-48.6171918</x:v>
      </x:c>
      <x:c r="G129" s="192" t="str">
        <x:v>apartamento</x:v>
      </x:c>
      <x:c r="H129" s="192" t="n">
        <x:v>2</x:v>
      </x:c>
      <x:c r="I129" s="192" t="n">
        <x:v>2</x:v>
      </x:c>
      <x:c r="J129" s="192" t="n">
        <x:v>3</x:v>
      </x:c>
      <x:c r="K129" s="192" t="n">
        <x:v>4</x:v>
      </x:c>
      <x:c r="L129" s="192" t="n">
        <x:v>1</x:v>
      </x:c>
      <x:c r="M129" s="192" t="n">
        <x:v>4</x:v>
      </x:c>
      <x:c r="N129" s="192" t="n">
        <x:v>215</x:v>
      </x:c>
      <x:c r="O129" s="192" t="n">
        <x:v>0</x:v>
      </x:c>
      <x:c r="P129" s="193" t="b">
        <x:v>1</x:v>
      </x:c>
      <x:c r="Q129" s="193" t="b">
        <x:v>1</x:v>
      </x:c>
      <x:c r="R129" s="193" t="b">
        <x:v>0</x:v>
      </x:c>
      <x:c r="S129" s="193" t="b">
        <x:v>0</x:v>
      </x:c>
      <x:c r="T129" s="192" t="n">
        <x:v>68</x:v>
      </x:c>
      <x:c r="U129" s="192" t="n">
        <x:v>22</x:v>
      </x:c>
      <x:c r="V129" s="200" t="n">
        <x:v>0.2444444444</x:v>
      </x:c>
      <x:c r="W129" s="203" t="n">
        <x:v>523</x:v>
      </x:c>
      <x:c r="X129" s="203" t="n">
        <x:v>11813.5909070775</x:v>
      </x:c>
      <x:c r="Y129" s="203" t="n">
        <x:v>30543.05482434</x:v>
      </x:c>
      <x:c r="Z129" s="193" t="b">
        <x:v>1</x:v>
      </x:c>
      <x:c r="AA129" s="193" t="b">
        <x:v>0</x:v>
      </x:c>
      <x:c r="AB129" s="193" t="b">
        <x:v>1</x:v>
      </x:c>
      <x:c r="AC129" s="193" t="b">
        <x:v>1</x:v>
      </x:c>
      <x:c r="AD129" s="193" t="b">
        <x:v>1</x:v>
      </x:c>
      <x:c r="AE129" s="193" t="b">
        <x:v>0</x:v>
      </x:c>
      <x:c r="AF129" s="193" t="b">
        <x:v>1</x:v>
      </x:c>
      <x:c r="AG129" s="193" t="b">
        <x:v>1</x:v>
      </x:c>
      <x:c r="AH129" s="193" t="b">
        <x:v>1</x:v>
      </x:c>
      <x:c r="AI129" s="193" t="b">
        <x:v>1</x:v>
      </x:c>
      <x:c r="AJ129" s="193" t="b">
        <x:v>1</x:v>
      </x:c>
    </x:row>
    <x:row r="130">
      <x:c r="A130" s="192" t="n">
        <x:v>1182018398755268900</x:v>
      </x:c>
      <x:c r="B130" s="192" t="str">
        <x:v>https://www.airbnb.com.br/rooms/1182018398755268829</x:v>
      </x:c>
      <x:c r="C130" s="192" t="str">
        <x:v>Apto novo c/ Churrasq/ e Vista para o Mar MHF0908</x:v>
      </x:c>
      <x:c r="D130" s="192" t="str">
        <x:v>Centro</x:v>
      </x:c>
      <x:c r="E130" s="192" t="n">
        <x:v>-27.0936893</x:v>
      </x:c>
      <x:c r="F130" s="192" t="n">
        <x:v>-48.6131638</x:v>
      </x:c>
      <x:c r="G130" s="192" t="str">
        <x:v>apartamento</x:v>
      </x:c>
      <x:c r="H130" s="192" t="n">
        <x:v>2</x:v>
      </x:c>
      <x:c r="I130" s="192" t="n">
        <x:v>1</x:v>
      </x:c>
      <x:c r="J130" s="192" t="n">
        <x:v>3</x:v>
      </x:c>
      <x:c r="K130" s="192" t="n">
        <x:v>6</x:v>
      </x:c>
      <x:c r="L130" s="192" t="n">
        <x:v>13</x:v>
      </x:c>
      <x:c r="M130" s="192" t="n">
        <x:v>5</x:v>
      </x:c>
      <x:c r="N130" s="192" t="n">
        <x:v>240</x:v>
      </x:c>
      <x:c r="O130" s="192" t="n">
        <x:v>0</x:v>
      </x:c>
      <x:c r="P130" s="193" t="b">
        <x:v>1</x:v>
      </x:c>
      <x:c r="Q130" s="193" t="b">
        <x:v>1</x:v>
      </x:c>
      <x:c r="R130" s="193" t="b">
        <x:v>1</x:v>
      </x:c>
      <x:c r="S130" s="193" t="b">
        <x:v>0</x:v>
      </x:c>
      <x:c r="T130" s="192" t="n">
        <x:v>61</x:v>
      </x:c>
      <x:c r="U130" s="192" t="n">
        <x:v>29</x:v>
      </x:c>
      <x:c r="V130" s="200" t="n">
        <x:v>0.3222222222</x:v>
      </x:c>
      <x:c r="W130" s="203" t="n">
        <x:v>627</x:v>
      </x:c>
      <x:c r="X130" s="203" t="n">
        <x:v>19234.4217213955</x:v>
      </x:c>
      <x:c r="Y130" s="203" t="n">
        <x:v>49728.9944921914</x:v>
      </x:c>
      <x:c r="Z130" s="193" t="b">
        <x:v>1</x:v>
      </x:c>
      <x:c r="AA130" s="193" t="b">
        <x:v>1</x:v>
      </x:c>
      <x:c r="AB130" s="193" t="b">
        <x:v>1</x:v>
      </x:c>
      <x:c r="AC130" s="193" t="b">
        <x:v>1</x:v>
      </x:c>
      <x:c r="AD130" s="193" t="b">
        <x:v>1</x:v>
      </x:c>
      <x:c r="AE130" s="193" t="b">
        <x:v>0</x:v>
      </x:c>
      <x:c r="AF130" s="193" t="b">
        <x:v>1</x:v>
      </x:c>
      <x:c r="AG130" s="193" t="b">
        <x:v>1</x:v>
      </x:c>
      <x:c r="AH130" s="193" t="b">
        <x:v>1</x:v>
      </x:c>
      <x:c r="AI130" s="193" t="b">
        <x:v>1</x:v>
      </x:c>
      <x:c r="AJ130" s="193" t="b">
        <x:v>0</x:v>
      </x:c>
    </x:row>
    <x:row r="131">
      <x:c r="A131" s="192" t="n">
        <x:v>1011115904222911900</x:v>
      </x:c>
      <x:c r="B131" s="192" t="str">
        <x:v>https://www.airbnb.com.br/rooms/1011115904222911872</x:v>
      </x:c>
      <x:c r="C131" s="192" t="str">
        <x:v>NOVO e aconchegante, 400metros do mar! MEIA PRAIA!</x:v>
      </x:c>
      <x:c r="D131" s="192" t="str">
        <x:v>Meia Praia</x:v>
      </x:c>
      <x:c r="E131" s="192" t="n">
        <x:v>-27.1350002289</x:v>
      </x:c>
      <x:c r="F131" s="192" t="n">
        <x:v>-48.5999984741</x:v>
      </x:c>
      <x:c r="G131" s="192" t="str">
        <x:v>apartamento</x:v>
      </x:c>
      <x:c r="H131" s="192" t="n">
        <x:v>3</x:v>
      </x:c>
      <x:c r="I131" s="192" t="n">
        <x:v>2</x:v>
      </x:c>
      <x:c r="J131" s="192" t="n">
        <x:v>3</x:v>
      </x:c>
      <x:c r="K131" s="192" t="n">
        <x:v>6</x:v>
      </x:c>
      <x:c r="L131" s="192" t="n">
        <x:v>15</x:v>
      </x:c>
      <x:c r="M131" s="192" t="n">
        <x:v>5</x:v>
      </x:c>
      <x:c r="N131" s="192" t="n">
        <x:v>350</x:v>
      </x:c>
      <x:c r="O131" s="192" t="n">
        <x:v>43</x:v>
      </x:c>
      <x:c r="P131" s="193" t="b">
        <x:v>0</x:v>
      </x:c>
      <x:c r="Q131" s="193" t="b">
        <x:v>0</x:v>
      </x:c>
      <x:c r="R131" s="193" t="b">
        <x:v>1</x:v>
      </x:c>
      <x:c r="S131" s="193" t="b">
        <x:v>1</x:v>
      </x:c>
      <x:c r="T131" s="192" t="n">
        <x:v>67</x:v>
      </x:c>
      <x:c r="U131" s="192" t="n">
        <x:v>23</x:v>
      </x:c>
      <x:c r="V131" s="200" t="n">
        <x:v>0.2555555556</x:v>
      </x:c>
      <x:c r="W131" s="203" t="n">
        <x:v>700</x:v>
      </x:c>
      <x:c r="X131" s="203" t="n">
        <x:v>16218.4626622327</x:v>
      </x:c>
      <x:c r="Y131" s="203" t="n">
        <x:v>41931.4836746476</x:v>
      </x:c>
      <x:c r="Z131" s="193" t="b">
        <x:v>1</x:v>
      </x:c>
      <x:c r="AA131" s="193" t="b">
        <x:v>0</x:v>
      </x:c>
      <x:c r="AB131" s="193" t="b">
        <x:v>1</x:v>
      </x:c>
      <x:c r="AC131" s="193" t="b">
        <x:v>1</x:v>
      </x:c>
      <x:c r="AD131" s="193" t="b">
        <x:v>1</x:v>
      </x:c>
      <x:c r="AE131" s="193" t="b">
        <x:v>1</x:v>
      </x:c>
      <x:c r="AF131" s="193" t="b">
        <x:v>1</x:v>
      </x:c>
      <x:c r="AG131" s="193" t="b">
        <x:v>1</x:v>
      </x:c>
      <x:c r="AH131" s="193" t="b">
        <x:v>1</x:v>
      </x:c>
      <x:c r="AI131" s="193" t="b">
        <x:v>1</x:v>
      </x:c>
      <x:c r="AJ131" s="193" t="b">
        <x:v>0</x:v>
      </x:c>
    </x:row>
    <x:row r="132">
      <x:c r="A132" s="192" t="n">
        <x:v>32990586</x:v>
      </x:c>
      <x:c r="B132" s="192" t="str">
        <x:v>https://www.airbnb.com.br/rooms/32990586</x:v>
      </x:c>
      <x:c r="C132" s="192" t="str">
        <x:v>Frente mar! Completo! (Meia-Praia-SC)</x:v>
      </x:c>
      <x:c r="D132" s="192" t="str">
        <x:v>Meia Praia</x:v>
      </x:c>
      <x:c r="E132" s="192" t="n">
        <x:v>-27.13829</x:v>
      </x:c>
      <x:c r="F132" s="192" t="n">
        <x:v>-48.5921</x:v>
      </x:c>
      <x:c r="G132" s="192" t="str">
        <x:v>apartamento</x:v>
      </x:c>
      <x:c r="H132" s="192" t="n">
        <x:v>3</x:v>
      </x:c>
      <x:c r="I132" s="192" t="n">
        <x:v>2</x:v>
      </x:c>
      <x:c r="J132" s="192" t="n">
        <x:v>5</x:v>
      </x:c>
      <x:c r="K132" s="192" t="n">
        <x:v>6</x:v>
      </x:c>
      <x:c r="L132" s="192" t="n">
        <x:v>23</x:v>
      </x:c>
      <x:c r="M132" s="192" t="n">
        <x:v>4.9600000381</x:v>
      </x:c>
      <x:c r="N132" s="192" t="n">
        <x:v>350</x:v>
      </x:c>
      <x:c r="O132" s="192" t="n">
        <x:v>23</x:v>
      </x:c>
      <x:c r="P132" s="193" t="b">
        <x:v>0</x:v>
      </x:c>
      <x:c r="Q132" s="193" t="b">
        <x:v>0</x:v>
      </x:c>
      <x:c r="R132" s="193" t="b">
        <x:v>1</x:v>
      </x:c>
      <x:c r="S132" s="193" t="b">
        <x:v>0</x:v>
      </x:c>
      <x:c r="T132" s="192" t="n">
        <x:v>67</x:v>
      </x:c>
      <x:c r="U132" s="192" t="n">
        <x:v>23</x:v>
      </x:c>
      <x:c r="V132" s="200" t="n">
        <x:v>0.2555555556</x:v>
      </x:c>
      <x:c r="W132" s="203" t="n">
        <x:v>950</x:v>
      </x:c>
      <x:c r="X132" s="203" t="n">
        <x:v>21259.2496480013</x:v>
      </x:c>
      <x:c r="Y132" s="203" t="n">
        <x:v>54964.0183607699</x:v>
      </x:c>
      <x:c r="Z132" s="193" t="b">
        <x:v>1</x:v>
      </x:c>
      <x:c r="AA132" s="193" t="b">
        <x:v>0</x:v>
      </x:c>
      <x:c r="AB132" s="193" t="b">
        <x:v>1</x:v>
      </x:c>
      <x:c r="AC132" s="193" t="b">
        <x:v>1</x:v>
      </x:c>
      <x:c r="AD132" s="193" t="b">
        <x:v>1</x:v>
      </x:c>
      <x:c r="AE132" s="193" t="b">
        <x:v>1</x:v>
      </x:c>
      <x:c r="AF132" s="193" t="b">
        <x:v>1</x:v>
      </x:c>
      <x:c r="AG132" s="193" t="b">
        <x:v>1</x:v>
      </x:c>
      <x:c r="AH132" s="193" t="b">
        <x:v>1</x:v>
      </x:c>
      <x:c r="AI132" s="193" t="b">
        <x:v>1</x:v>
      </x:c>
      <x:c r="AJ132" s="193" t="b">
        <x:v>1</x:v>
      </x:c>
    </x:row>
    <x:row r="133">
      <x:c r="A133" s="192" t="n">
        <x:v>21454457</x:v>
      </x:c>
      <x:c r="B133" s="192" t="str">
        <x:v>https://www.airbnb.com.br/rooms/21454457</x:v>
      </x:c>
      <x:c r="C133" s="192" t="str">
        <x:v>Aconchegante apartamento em Meia Praia</x:v>
      </x:c>
      <x:c r="D133" s="192" t="str">
        <x:v>Meia Praia</x:v>
      </x:c>
      <x:c r="E133" s="192" t="n">
        <x:v>-27.1315097809</x:v>
      </x:c>
      <x:c r="F133" s="192" t="n">
        <x:v>-48.6043395996</x:v>
      </x:c>
      <x:c r="G133" s="192" t="str">
        <x:v>apartamento</x:v>
      </x:c>
      <x:c r="H133" s="192" t="n">
        <x:v>2</x:v>
      </x:c>
      <x:c r="I133" s="192" t="n">
        <x:v>1</x:v>
      </x:c>
      <x:c r="J133" s="192" t="n">
        <x:v>2</x:v>
      </x:c>
      <x:c r="K133" s="192" t="n">
        <x:v>5</x:v>
      </x:c>
      <x:c r="L133" s="192" t="n">
        <x:v>57</x:v>
      </x:c>
      <x:c r="M133" s="192" t="n">
        <x:v>4.8099999428</x:v>
      </x:c>
      <x:c r="N133" s="192" t="n">
        <x:v>320</x:v>
      </x:c>
      <x:c r="O133" s="192" t="n">
        <x:v>39</x:v>
      </x:c>
      <x:c r="P133" s="193" t="b">
        <x:v>0</x:v>
      </x:c>
      <x:c r="Q133" s="193" t="b">
        <x:v>0</x:v>
      </x:c>
      <x:c r="R133" s="193" t="b">
        <x:v>1</x:v>
      </x:c>
      <x:c r="S133" s="193" t="b">
        <x:v>1</x:v>
      </x:c>
      <x:c r="T133" s="192" t="n">
        <x:v>8</x:v>
      </x:c>
      <x:c r="U133" s="192" t="n">
        <x:v>82</x:v>
      </x:c>
      <x:c r="V133" s="200" t="n">
        <x:v>0.9111111111</x:v>
      </x:c>
      <x:c r="W133" s="203" t="n">
        <x:v>236</x:v>
      </x:c>
      <x:c r="X133" s="203" t="n">
        <x:v>19358.536022331</x:v>
      </x:c>
      <x:c r="Y133" s="203" t="n">
        <x:v>50049.8816744015</x:v>
      </x:c>
      <x:c r="Z133" s="193" t="b">
        <x:v>1</x:v>
      </x:c>
      <x:c r="AA133" s="193" t="b">
        <x:v>0</x:v>
      </x:c>
      <x:c r="AB133" s="193" t="b">
        <x:v>1</x:v>
      </x:c>
      <x:c r="AC133" s="193" t="b">
        <x:v>1</x:v>
      </x:c>
      <x:c r="AD133" s="193" t="b">
        <x:v>1</x:v>
      </x:c>
      <x:c r="AE133" s="193" t="b">
        <x:v>0</x:v>
      </x:c>
      <x:c r="AF133" s="193" t="b">
        <x:v>1</x:v>
      </x:c>
      <x:c r="AG133" s="193" t="b">
        <x:v>1</x:v>
      </x:c>
      <x:c r="AH133" s="193" t="b">
        <x:v>1</x:v>
      </x:c>
      <x:c r="AI133" s="193" t="b">
        <x:v>1</x:v>
      </x:c>
      <x:c r="AJ133" s="193" t="b">
        <x:v>1</x:v>
      </x:c>
    </x:row>
    <x:row r="134">
      <x:c r="A134" s="192" t="n">
        <x:v>828036946101813400</x:v>
      </x:c>
      <x:c r="B134" s="192" t="str">
        <x:v>https://www.airbnb.com.br/rooms/828036946101813387</x:v>
      </x:c>
      <x:c r="C134" s="192" t="str">
        <x:v>Apartamento com vista mar, 2 dormitórios, garagem.</x:v>
      </x:c>
      <x:c r="D134" s="192" t="str">
        <x:v>Morretes</x:v>
      </x:c>
      <x:c r="E134" s="192" t="n">
        <x:v>-27.1176223755</x:v>
      </x:c>
      <x:c r="F134" s="192" t="n">
        <x:v>-48.6096763611</x:v>
      </x:c>
      <x:c r="G134" s="192" t="str">
        <x:v>apartamento</x:v>
      </x:c>
      <x:c r="H134" s="192" t="n">
        <x:v>2</x:v>
      </x:c>
      <x:c r="I134" s="192" t="n">
        <x:v>2</x:v>
      </x:c>
      <x:c r="J134" s="192" t="n">
        <x:v>4</x:v>
      </x:c>
      <x:c r="K134" s="192" t="n">
        <x:v>6</x:v>
      </x:c>
      <x:c r="L134" s="192" t="n">
        <x:v>12</x:v>
      </x:c>
      <x:c r="M134" s="192" t="n">
        <x:v>5</x:v>
      </x:c>
      <x:c r="N134" s="192" t="n">
        <x:v>260</x:v>
      </x:c>
      <x:c r="O134" s="192" t="n">
        <x:v>18</x:v>
      </x:c>
      <x:c r="P134" s="193" t="b">
        <x:v>0</x:v>
      </x:c>
      <x:c r="Q134" s="193" t="b">
        <x:v>0</x:v>
      </x:c>
      <x:c r="R134" s="193" t="b">
        <x:v>1</x:v>
      </x:c>
      <x:c r="S134" s="193" t="b">
        <x:v>1</x:v>
      </x:c>
      <x:c r="T134" s="192" t="n">
        <x:v>24</x:v>
      </x:c>
      <x:c r="U134" s="192" t="n">
        <x:v>66</x:v>
      </x:c>
      <x:c r="V134" s="200" t="n">
        <x:v>0.7333333333</x:v>
      </x:c>
      <x:c r="W134" s="203" t="n">
        <x:v>251.25</x:v>
      </x:c>
      <x:c r="X134" s="203" t="n">
        <x:v>16497.5249345177</x:v>
      </x:c>
      <x:c r="Y134" s="203" t="n">
        <x:v>42652.9759244511</x:v>
      </x:c>
      <x:c r="Z134" s="193" t="b">
        <x:v>0</x:v>
      </x:c>
      <x:c r="AA134" s="193" t="b">
        <x:v>0</x:v>
      </x:c>
      <x:c r="AB134" s="193" t="b">
        <x:v>1</x:v>
      </x:c>
      <x:c r="AC134" s="193" t="b">
        <x:v>1</x:v>
      </x:c>
      <x:c r="AD134" s="193" t="b">
        <x:v>1</x:v>
      </x:c>
      <x:c r="AE134" s="193" t="b">
        <x:v>1</x:v>
      </x:c>
      <x:c r="AF134" s="193" t="b">
        <x:v>1</x:v>
      </x:c>
      <x:c r="AG134" s="193" t="b">
        <x:v>1</x:v>
      </x:c>
      <x:c r="AH134" s="193" t="b">
        <x:v>1</x:v>
      </x:c>
      <x:c r="AI134" s="193" t="b">
        <x:v>1</x:v>
      </x:c>
      <x:c r="AJ134" s="193" t="b">
        <x:v>1</x:v>
      </x:c>
    </x:row>
    <x:row r="135">
      <x:c r="A135" s="192" t="n">
        <x:v>1063807278503566100</x:v>
      </x:c>
      <x:c r="B135" s="192" t="str">
        <x:v>https://www.airbnb.com.br/rooms/1063807278503566143</x:v>
      </x:c>
      <x:c r="C135" s="192" t="str">
        <x:v>Pés na areia! O melhor lugar para suas férias!</x:v>
      </x:c>
      <x:c r="D135" s="192" t="str">
        <x:v>Centro</x:v>
      </x:c>
      <x:c r="E135" s="192" t="n">
        <x:v>-27.09824</x:v>
      </x:c>
      <x:c r="F135" s="192" t="n">
        <x:v>-48.61373</x:v>
      </x:c>
      <x:c r="G135" s="192" t="str">
        <x:v>apartamento</x:v>
      </x:c>
      <x:c r="H135" s="192" t="n">
        <x:v>2</x:v>
      </x:c>
      <x:c r="I135" s="192" t="n">
        <x:v>2</x:v>
      </x:c>
      <x:c r="J135" s="192" t="n">
        <x:v>3</x:v>
      </x:c>
      <x:c r="K135" s="192" t="n">
        <x:v>6</x:v>
      </x:c>
      <x:c r="L135" s="192" t="n">
        <x:v>5</x:v>
      </x:c>
      <x:c r="M135" s="192" t="n">
        <x:v>5</x:v>
      </x:c>
      <x:c r="N135" s="192" t="n">
        <x:v>280</x:v>
      </x:c>
      <x:c r="O135" s="192" t="n">
        <x:v>28</x:v>
      </x:c>
      <x:c r="P135" s="193" t="b">
        <x:v>0</x:v>
      </x:c>
      <x:c r="Q135" s="193" t="b">
        <x:v>0</x:v>
      </x:c>
      <x:c r="R135" s="193" t="b">
        <x:v>1</x:v>
      </x:c>
      <x:c r="S135" s="193" t="b">
        <x:v>1</x:v>
      </x:c>
      <x:c r="T135" s="192" t="n">
        <x:v>49</x:v>
      </x:c>
      <x:c r="U135" s="192" t="n">
        <x:v>41</x:v>
      </x:c>
      <x:c r="V135" s="200" t="n">
        <x:v>0.4555555556</x:v>
      </x:c>
      <x:c r="W135" s="203" t="n">
        <x:v>480</x:v>
      </x:c>
      <x:c r="X135" s="203" t="n">
        <x:v>20347.9269304286</x:v>
      </x:c>
      <x:c r="Y135" s="203" t="n">
        <x:v>52607.8694180457</x:v>
      </x:c>
      <x:c r="Z135" s="193" t="b">
        <x:v>1</x:v>
      </x:c>
      <x:c r="AA135" s="193" t="b">
        <x:v>0</x:v>
      </x:c>
      <x:c r="AB135" s="193" t="b">
        <x:v>1</x:v>
      </x:c>
      <x:c r="AC135" s="193" t="b">
        <x:v>1</x:v>
      </x:c>
      <x:c r="AD135" s="193" t="b">
        <x:v>1</x:v>
      </x:c>
      <x:c r="AE135" s="193" t="b">
        <x:v>1</x:v>
      </x:c>
      <x:c r="AF135" s="193" t="b">
        <x:v>0</x:v>
      </x:c>
      <x:c r="AG135" s="193" t="b">
        <x:v>1</x:v>
      </x:c>
      <x:c r="AH135" s="193" t="b">
        <x:v>1</x:v>
      </x:c>
      <x:c r="AI135" s="193" t="b">
        <x:v>1</x:v>
      </x:c>
      <x:c r="AJ135" s="193" t="b">
        <x:v>1</x:v>
      </x:c>
    </x:row>
    <x:row r="136">
      <x:c r="A136" s="192" t="n">
        <x:v>53325047</x:v>
      </x:c>
      <x:c r="B136" s="192" t="str">
        <x:v>https://www.airbnb.com.br/rooms/53325047</x:v>
      </x:c>
      <x:c r="C136" s="192" t="str">
        <x:v>Apto a 80m do mar na melhor região da Meia Praia</x:v>
      </x:c>
      <x:c r="D136" s="192" t="str">
        <x:v>Meia Praia</x:v>
      </x:c>
      <x:c r="E136" s="192" t="n">
        <x:v>-27.12604</x:v>
      </x:c>
      <x:c r="F136" s="192" t="n">
        <x:v>-48.6031</x:v>
      </x:c>
      <x:c r="G136" s="192" t="str">
        <x:v>apartamento</x:v>
      </x:c>
      <x:c r="H136" s="192" t="n">
        <x:v>2</x:v>
      </x:c>
      <x:c r="I136" s="192" t="n">
        <x:v>2</x:v>
      </x:c>
      <x:c r="J136" s="192" t="n">
        <x:v>2</x:v>
      </x:c>
      <x:c r="K136" s="192" t="n">
        <x:v>6</x:v>
      </x:c>
      <x:c r="L136" s="192" t="n">
        <x:v>20</x:v>
      </x:c>
      <x:c r="M136" s="192" t="n">
        <x:v>4.9000000954</x:v>
      </x:c>
      <x:c r="N136" s="192" t="n">
        <x:v>250</x:v>
      </x:c>
      <x:c r="O136" s="192" t="n">
        <x:v>38</x:v>
      </x:c>
      <x:c r="P136" s="193" t="b">
        <x:v>1</x:v>
      </x:c>
      <x:c r="Q136" s="193" t="b">
        <x:v>0</x:v>
      </x:c>
      <x:c r="R136" s="193" t="b">
        <x:v>1</x:v>
      </x:c>
      <x:c r="S136" s="193" t="b">
        <x:v>1</x:v>
      </x:c>
      <x:c r="T136" s="192" t="n">
        <x:v>41</x:v>
      </x:c>
      <x:c r="U136" s="192" t="n">
        <x:v>49</x:v>
      </x:c>
      <x:c r="V136" s="200" t="n">
        <x:v>0.5444444444</x:v>
      </x:c>
      <x:c r="W136" s="203" t="n">
        <x:v>450</x:v>
      </x:c>
      <x:c r="X136" s="203" t="n">
        <x:v>22601.7263128525</x:v>
      </x:c>
      <x:c r="Y136" s="203" t="n">
        <x:v>58434.8799046874</x:v>
      </x:c>
      <x:c r="Z136" s="193" t="b">
        <x:v>1</x:v>
      </x:c>
      <x:c r="AA136" s="193" t="b">
        <x:v>0</x:v>
      </x:c>
      <x:c r="AB136" s="193" t="b">
        <x:v>1</x:v>
      </x:c>
      <x:c r="AC136" s="193" t="b">
        <x:v>1</x:v>
      </x:c>
      <x:c r="AD136" s="193" t="b">
        <x:v>1</x:v>
      </x:c>
      <x:c r="AE136" s="193" t="b">
        <x:v>1</x:v>
      </x:c>
      <x:c r="AF136" s="193" t="b">
        <x:v>1</x:v>
      </x:c>
      <x:c r="AG136" s="193" t="b">
        <x:v>1</x:v>
      </x:c>
      <x:c r="AH136" s="193" t="b">
        <x:v>1</x:v>
      </x:c>
      <x:c r="AI136" s="193" t="b">
        <x:v>1</x:v>
      </x:c>
      <x:c r="AJ136" s="193" t="b">
        <x:v>1</x:v>
      </x:c>
    </x:row>
    <x:row r="137">
      <x:c r="A137" s="192" t="n">
        <x:v>873255393900331800</x:v>
      </x:c>
      <x:c r="B137" s="192" t="str">
        <x:v>https://www.airbnb.com.br/rooms/873255393900331818</x:v>
      </x:c>
      <x:c r="C137" s="192" t="str">
        <x:v>Amplo Apartamento Central! c/ Churrasqueira</x:v>
      </x:c>
      <x:c r="D137" s="192" t="str">
        <x:v>Meia Praia</x:v>
      </x:c>
      <x:c r="E137" s="192" t="n">
        <x:v>-27.1329994202</x:v>
      </x:c>
      <x:c r="F137" s="192" t="n">
        <x:v>-48.6020011902</x:v>
      </x:c>
      <x:c r="G137" s="192" t="str">
        <x:v>apartamento</x:v>
      </x:c>
      <x:c r="H137" s="192" t="n">
        <x:v>3</x:v>
      </x:c>
      <x:c r="I137" s="192" t="n">
        <x:v>2</x:v>
      </x:c>
      <x:c r="J137" s="192" t="n">
        <x:v>3</x:v>
      </x:c>
      <x:c r="K137" s="192" t="n">
        <x:v>6</x:v>
      </x:c>
      <x:c r="L137" s="192" t="n">
        <x:v>20</x:v>
      </x:c>
      <x:c r="M137" s="192" t="n">
        <x:v>4.75</x:v>
      </x:c>
      <x:c r="N137" s="192" t="n">
        <x:v>200</x:v>
      </x:c>
      <x:c r="O137" s="192" t="n">
        <x:v>36</x:v>
      </x:c>
      <x:c r="P137" s="193" t="b">
        <x:v>1</x:v>
      </x:c>
      <x:c r="Q137" s="193" t="b">
        <x:v>1</x:v>
      </x:c>
      <x:c r="R137" s="193" t="b">
        <x:v>0</x:v>
      </x:c>
      <x:c r="S137" s="193" t="b">
        <x:v>1</x:v>
      </x:c>
      <x:c r="T137" s="192" t="n">
        <x:v>71</x:v>
      </x:c>
      <x:c r="U137" s="192" t="n">
        <x:v>19</x:v>
      </x:c>
      <x:c r="V137" s="200" t="n">
        <x:v>0.2111111111</x:v>
      </x:c>
      <x:c r="W137" s="203" t="n">
        <x:v>533</x:v>
      </x:c>
      <x:c r="X137" s="203" t="n">
        <x:v>10100.8565882971</x:v>
      </x:c>
      <x:c r="Y137" s="203" t="n">
        <x:v>26114.9229709932</x:v>
      </x:c>
      <x:c r="Z137" s="193" t="b">
        <x:v>1</x:v>
      </x:c>
      <x:c r="AA137" s="193" t="b">
        <x:v>0</x:v>
      </x:c>
      <x:c r="AB137" s="193" t="b">
        <x:v>1</x:v>
      </x:c>
      <x:c r="AC137" s="193" t="b">
        <x:v>1</x:v>
      </x:c>
      <x:c r="AD137" s="193" t="b">
        <x:v>1</x:v>
      </x:c>
      <x:c r="AE137" s="193" t="b">
        <x:v>0</x:v>
      </x:c>
      <x:c r="AF137" s="193" t="b">
        <x:v>1</x:v>
      </x:c>
      <x:c r="AG137" s="193" t="b">
        <x:v>1</x:v>
      </x:c>
      <x:c r="AH137" s="193" t="b">
        <x:v>1</x:v>
      </x:c>
      <x:c r="AI137" s="193" t="b">
        <x:v>1</x:v>
      </x:c>
      <x:c r="AJ137" s="193" t="b">
        <x:v>1</x:v>
      </x:c>
    </x:row>
    <x:row r="138">
      <x:c r="A138" s="192" t="n">
        <x:v>53113087</x:v>
      </x:c>
      <x:c r="B138" s="192" t="str">
        <x:v>https://www.airbnb.com.br/rooms/53113087</x:v>
      </x:c>
      <x:c r="C138" s="192" t="str">
        <x:v>Apto amplo no coração da meia praia</x:v>
      </x:c>
      <x:c r="D138" s="192" t="str">
        <x:v>Meia Praia</x:v>
      </x:c>
      <x:c r="E138" s="192" t="n">
        <x:v>-27.12912</x:v>
      </x:c>
      <x:c r="F138" s="192" t="n">
        <x:v>-48.60299</x:v>
      </x:c>
      <x:c r="G138" s="192" t="str">
        <x:v>apartamento</x:v>
      </x:c>
      <x:c r="H138" s="192" t="n">
        <x:v>3</x:v>
      </x:c>
      <x:c r="I138" s="192" t="n">
        <x:v>2</x:v>
      </x:c>
      <x:c r="J138" s="192" t="n">
        <x:v>3</x:v>
      </x:c>
      <x:c r="K138" s="192" t="n">
        <x:v>8</x:v>
      </x:c>
      <x:c r="L138" s="192" t="n">
        <x:v>12</x:v>
      </x:c>
      <x:c r="M138" s="192" t="n">
        <x:v>5</x:v>
      </x:c>
      <x:c r="N138" s="192" t="n">
        <x:v>300</x:v>
      </x:c>
      <x:c r="O138" s="192" t="n">
        <x:v>19</x:v>
      </x:c>
      <x:c r="P138" s="193" t="b">
        <x:v>0</x:v>
      </x:c>
      <x:c r="Q138" s="193" t="b">
        <x:v>0</x:v>
      </x:c>
      <x:c r="R138" s="193" t="b">
        <x:v>1</x:v>
      </x:c>
      <x:c r="S138" s="193" t="b">
        <x:v>0</x:v>
      </x:c>
      <x:c r="T138" s="192" t="n">
        <x:v>48</x:v>
      </x:c>
      <x:c r="U138" s="192" t="n">
        <x:v>42</x:v>
      </x:c>
      <x:c r="V138" s="200" t="n">
        <x:v>0.4666666667</x:v>
      </x:c>
      <x:c r="W138" s="203" t="n">
        <x:v>440.16667</x:v>
      </x:c>
      <x:c r="X138" s="203" t="n">
        <x:v>19050.367601261</x:v>
      </x:c>
      <x:c r="Y138" s="203" t="n">
        <x:v>49253.1379024268</x:v>
      </x:c>
      <x:c r="Z138" s="193" t="b">
        <x:v>1</x:v>
      </x:c>
      <x:c r="AA138" s="193" t="b">
        <x:v>0</x:v>
      </x:c>
      <x:c r="AB138" s="193" t="b">
        <x:v>1</x:v>
      </x:c>
      <x:c r="AC138" s="193" t="b">
        <x:v>1</x:v>
      </x:c>
      <x:c r="AD138" s="193" t="b">
        <x:v>1</x:v>
      </x:c>
      <x:c r="AE138" s="193" t="b">
        <x:v>1</x:v>
      </x:c>
      <x:c r="AF138" s="193" t="b">
        <x:v>1</x:v>
      </x:c>
      <x:c r="AG138" s="193" t="b">
        <x:v>1</x:v>
      </x:c>
      <x:c r="AH138" s="193" t="b">
        <x:v>1</x:v>
      </x:c>
      <x:c r="AI138" s="193" t="b">
        <x:v>1</x:v>
      </x:c>
      <x:c r="AJ138" s="193" t="b">
        <x:v>1</x:v>
      </x:c>
    </x:row>
    <x:row r="139">
      <x:c r="A139" s="192" t="n">
        <x:v>1197121947398131700</x:v>
      </x:c>
      <x:c r="B139" s="192" t="str">
        <x:v>https://www.airbnb.com.br/rooms/1197121947398131654</x:v>
      </x:c>
      <x:c r="C139" s="192" t="str">
        <x:v>Stúdio vista mar em cond com piscina MHFA1204</x:v>
      </x:c>
      <x:c r="D139" s="192" t="str">
        <x:v>Centro</x:v>
      </x:c>
      <x:c r="E139" s="192" t="n">
        <x:v>-27.09306</x:v>
      </x:c>
      <x:c r="F139" s="192" t="n">
        <x:v>-48.61326</x:v>
      </x:c>
      <x:c r="G139" s="192" t="str">
        <x:v>apartamento</x:v>
      </x:c>
      <x:c r="H139" s="192" t="n">
        <x:v>1</x:v>
      </x:c>
      <x:c r="I139" s="192" t="n">
        <x:v>1</x:v>
      </x:c>
      <x:c r="J139" s="192" t="n">
        <x:v>1</x:v>
      </x:c>
      <x:c r="K139" s="192" t="n">
        <x:v>2</x:v>
      </x:c>
      <x:c r="L139" s="192" t="n">
        <x:v>21</x:v>
      </x:c>
      <x:c r="M139" s="192" t="n">
        <x:v>4.6700000763</x:v>
      </x:c>
      <x:c r="N139" s="192" t="n">
        <x:v>170</x:v>
      </x:c>
      <x:c r="O139" s="192" t="n">
        <x:v>0</x:v>
      </x:c>
      <x:c r="P139" s="193" t="b">
        <x:v>1</x:v>
      </x:c>
      <x:c r="Q139" s="193" t="b">
        <x:v>1</x:v>
      </x:c>
      <x:c r="R139" s="193" t="b">
        <x:v>0</x:v>
      </x:c>
      <x:c r="S139" s="193" t="b">
        <x:v>0</x:v>
      </x:c>
      <x:c r="T139" s="192" t="n">
        <x:v>50</x:v>
      </x:c>
      <x:c r="U139" s="192" t="n">
        <x:v>40</x:v>
      </x:c>
      <x:c r="V139" s="200" t="n">
        <x:v>0.4444444444</x:v>
      </x:c>
      <x:c r="W139" s="203" t="n">
        <x:v>387.5</x:v>
      </x:c>
      <x:c r="X139" s="203" t="n">
        <x:v>16083.7665792418</x:v>
      </x:c>
      <x:c r="Y139" s="203" t="n">
        <x:v>41583.2381767481</x:v>
      </x:c>
      <x:c r="Z139" s="193" t="b">
        <x:v>1</x:v>
      </x:c>
      <x:c r="AA139" s="193" t="b">
        <x:v>1</x:v>
      </x:c>
      <x:c r="AB139" s="193" t="b">
        <x:v>1</x:v>
      </x:c>
      <x:c r="AC139" s="193" t="b">
        <x:v>1</x:v>
      </x:c>
      <x:c r="AD139" s="193" t="b">
        <x:v>1</x:v>
      </x:c>
      <x:c r="AE139" s="193" t="b">
        <x:v>0</x:v>
      </x:c>
      <x:c r="AF139" s="193" t="b">
        <x:v>1</x:v>
      </x:c>
      <x:c r="AG139" s="193" t="b">
        <x:v>1</x:v>
      </x:c>
      <x:c r="AH139" s="193" t="b">
        <x:v>1</x:v>
      </x:c>
      <x:c r="AI139" s="193" t="b">
        <x:v>0</x:v>
      </x:c>
      <x:c r="AJ139" s="193" t="b">
        <x:v>0</x:v>
      </x:c>
    </x:row>
    <x:row r="140">
      <x:c r="A140" s="192" t="n">
        <x:v>22190101</x:v>
      </x:c>
      <x:c r="B140" s="192" t="str">
        <x:v>https://www.airbnb.com.br/rooms/22190101</x:v>
      </x:c>
      <x:c r="C140" s="192" t="str">
        <x:v>Apartamento perto de tudo na Meia Praia</x:v>
      </x:c>
      <x:c r="D140" s="192" t="str">
        <x:v>Meia Praia</x:v>
      </x:c>
      <x:c r="E140" s="192" t="n">
        <x:v>-27.13518</x:v>
      </x:c>
      <x:c r="F140" s="192" t="n">
        <x:v>-48.59939</x:v>
      </x:c>
      <x:c r="G140" s="192" t="str">
        <x:v>apartamento</x:v>
      </x:c>
      <x:c r="H140" s="192" t="n">
        <x:v>2</x:v>
      </x:c>
      <x:c r="I140" s="192" t="n">
        <x:v>1</x:v>
      </x:c>
      <x:c r="J140" s="192" t="n">
        <x:v>3</x:v>
      </x:c>
      <x:c r="K140" s="192" t="n">
        <x:v>7</x:v>
      </x:c>
      <x:c r="L140" s="192" t="n">
        <x:v>38</x:v>
      </x:c>
      <x:c r="M140" s="192" t="n">
        <x:v>4.8899998665</x:v>
      </x:c>
      <x:c r="N140" s="192" t="n">
        <x:v>200</x:v>
      </x:c>
      <x:c r="O140" s="192" t="n">
        <x:v>12</x:v>
      </x:c>
      <x:c r="P140" s="193" t="b">
        <x:v>0</x:v>
      </x:c>
      <x:c r="Q140" s="193" t="b">
        <x:v>0</x:v>
      </x:c>
      <x:c r="R140" s="193" t="b">
        <x:v>1</x:v>
      </x:c>
      <x:c r="S140" s="193" t="b">
        <x:v>0</x:v>
      </x:c>
      <x:c r="T140" s="192" t="n">
        <x:v>46</x:v>
      </x:c>
      <x:c r="U140" s="192" t="n">
        <x:v>44</x:v>
      </x:c>
      <x:c r="V140" s="200" t="n">
        <x:v>0.4888888889</x:v>
      </x:c>
      <x:c r="W140" s="203" t="n">
        <x:v>250</x:v>
      </x:c>
      <x:c r="X140" s="203" t="n">
        <x:v>11224.871656299</x:v>
      </x:c>
      <x:c r="Y140" s="203" t="n">
        <x:v>29020.9702613896</x:v>
      </x:c>
      <x:c r="Z140" s="193" t="b">
        <x:v>0</x:v>
      </x:c>
      <x:c r="AA140" s="193" t="b">
        <x:v>0</x:v>
      </x:c>
      <x:c r="AB140" s="193" t="b">
        <x:v>1</x:v>
      </x:c>
      <x:c r="AC140" s="193" t="b">
        <x:v>1</x:v>
      </x:c>
      <x:c r="AD140" s="193" t="b">
        <x:v>1</x:v>
      </x:c>
      <x:c r="AE140" s="193" t="b">
        <x:v>0</x:v>
      </x:c>
      <x:c r="AF140" s="193" t="b">
        <x:v>0</x:v>
      </x:c>
      <x:c r="AG140" s="193" t="b">
        <x:v>1</x:v>
      </x:c>
      <x:c r="AH140" s="193" t="b">
        <x:v>1</x:v>
      </x:c>
      <x:c r="AI140" s="193" t="b">
        <x:v>1</x:v>
      </x:c>
      <x:c r="AJ140" s="193" t="b">
        <x:v>0</x:v>
      </x:c>
    </x:row>
    <x:row r="141">
      <x:c r="A141" s="192" t="n">
        <x:v>800942299109284600</x:v>
      </x:c>
      <x:c r="B141" s="192" t="str">
        <x:v>https://www.airbnb.com.br/rooms/800942299109284552</x:v>
      </x:c>
      <x:c r="C141" s="192" t="str">
        <x:v>Um apartamento novo!</x:v>
      </x:c>
      <x:c r="D141" s="192" t="str">
        <x:v>Morretes</x:v>
      </x:c>
      <x:c r="E141" s="192" t="n">
        <x:v>-27.1229991913</x:v>
      </x:c>
      <x:c r="F141" s="192" t="n">
        <x:v>-48.611000061</x:v>
      </x:c>
      <x:c r="G141" s="192" t="str">
        <x:v>apartamento</x:v>
      </x:c>
      <x:c r="H141" s="192" t="n">
        <x:v>2</x:v>
      </x:c>
      <x:c r="I141" s="192" t="n">
        <x:v>2</x:v>
      </x:c>
      <x:c r="J141" s="192" t="n">
        <x:v>5</x:v>
      </x:c>
      <x:c r="K141" s="192" t="n">
        <x:v>5</x:v>
      </x:c>
      <x:c r="L141" s="192" t="n">
        <x:v>22</x:v>
      </x:c>
      <x:c r="M141" s="192" t="n">
        <x:v>4.8600001335</x:v>
      </x:c>
      <x:c r="N141" s="192" t="n">
        <x:v>100</x:v>
      </x:c>
      <x:c r="O141" s="192" t="n">
        <x:v>24</x:v>
      </x:c>
      <x:c r="P141" s="193" t="b">
        <x:v>0</x:v>
      </x:c>
      <x:c r="Q141" s="193" t="b">
        <x:v>0</x:v>
      </x:c>
      <x:c r="R141" s="193" t="b">
        <x:v>1</x:v>
      </x:c>
      <x:c r="S141" s="193" t="b">
        <x:v>1</x:v>
      </x:c>
      <x:c r="T141" s="192" t="n">
        <x:v>39</x:v>
      </x:c>
      <x:c r="U141" s="192" t="n">
        <x:v>51</x:v>
      </x:c>
      <x:c r="V141" s="200" t="n">
        <x:v>0.5666666667</x:v>
      </x:c>
      <x:c r="W141" s="203" t="n">
        <x:v>300</x:v>
      </x:c>
      <x:c r="X141" s="203" t="n">
        <x:v>15582.4736120023</x:v>
      </x:c>
      <x:c r="Y141" s="203" t="n">
        <x:v>40287.1869843642</x:v>
      </x:c>
      <x:c r="Z141" s="193" t="b">
        <x:v>1</x:v>
      </x:c>
      <x:c r="AA141" s="193" t="b">
        <x:v>0</x:v>
      </x:c>
      <x:c r="AB141" s="193" t="b">
        <x:v>1</x:v>
      </x:c>
      <x:c r="AC141" s="193" t="b">
        <x:v>1</x:v>
      </x:c>
      <x:c r="AD141" s="193" t="b">
        <x:v>1</x:v>
      </x:c>
      <x:c r="AE141" s="193" t="b">
        <x:v>0</x:v>
      </x:c>
      <x:c r="AF141" s="193" t="b">
        <x:v>1</x:v>
      </x:c>
      <x:c r="AG141" s="193" t="b">
        <x:v>1</x:v>
      </x:c>
      <x:c r="AH141" s="193" t="b">
        <x:v>1</x:v>
      </x:c>
      <x:c r="AI141" s="193" t="b">
        <x:v>1</x:v>
      </x:c>
      <x:c r="AJ141" s="193" t="b">
        <x:v>1</x:v>
      </x:c>
    </x:row>
    <x:row r="142">
      <x:c r="A142" s="192" t="n">
        <x:v>1181971107577983200</x:v>
      </x:c>
      <x:c r="B142" s="192" t="str">
        <x:v>https://www.airbnb.com.br/rooms/1181971107577983158</x:v>
      </x:c>
      <x:c r="C142" s="192" t="str">
        <x:v>Aconchegante studio vista mar em Itapema MHFB0905</x:v>
      </x:c>
      <x:c r="D142" s="192" t="str">
        <x:v>Centro</x:v>
      </x:c>
      <x:c r="E142" s="192" t="n">
        <x:v>-27.0936893</x:v>
      </x:c>
      <x:c r="F142" s="192" t="n">
        <x:v>-48.6131638</x:v>
      </x:c>
      <x:c r="G142" s="192" t="str">
        <x:v>apartamento</x:v>
      </x:c>
      <x:c r="H142" s="192" t="n">
        <x:v>1</x:v>
      </x:c>
      <x:c r="I142" s="192" t="n">
        <x:v>1</x:v>
      </x:c>
      <x:c r="J142" s="192" t="n">
        <x:v>1</x:v>
      </x:c>
      <x:c r="K142" s="192" t="n">
        <x:v>2</x:v>
      </x:c>
      <x:c r="L142" s="192" t="n">
        <x:v>15</x:v>
      </x:c>
      <x:c r="M142" s="192" t="n">
        <x:v>4.9299998283</x:v>
      </x:c>
      <x:c r="N142" s="192" t="n">
        <x:v>150</x:v>
      </x:c>
      <x:c r="O142" s="192" t="n">
        <x:v>0</x:v>
      </x:c>
      <x:c r="P142" s="193" t="b">
        <x:v>1</x:v>
      </x:c>
      <x:c r="Q142" s="193" t="b">
        <x:v>1</x:v>
      </x:c>
      <x:c r="R142" s="193" t="b">
        <x:v>1</x:v>
      </x:c>
      <x:c r="S142" s="193" t="b">
        <x:v>0</x:v>
      </x:c>
      <x:c r="T142" s="192" t="n">
        <x:v>69</x:v>
      </x:c>
      <x:c r="U142" s="192" t="n">
        <x:v>21</x:v>
      </x:c>
      <x:c r="V142" s="200" t="n">
        <x:v>0.2333333333</x:v>
      </x:c>
      <x:c r="W142" s="203" t="n">
        <x:v>372</x:v>
      </x:c>
      <x:c r="X142" s="203" t="n">
        <x:v>7779.0712862308</x:v>
      </x:c>
      <x:c r="Y142" s="203" t="n">
        <x:v>20112.1405546092</x:v>
      </x:c>
      <x:c r="Z142" s="193" t="b">
        <x:v>1</x:v>
      </x:c>
      <x:c r="AA142" s="193" t="b">
        <x:v>1</x:v>
      </x:c>
      <x:c r="AB142" s="193" t="b">
        <x:v>1</x:v>
      </x:c>
      <x:c r="AC142" s="193" t="b">
        <x:v>1</x:v>
      </x:c>
      <x:c r="AD142" s="193" t="b">
        <x:v>1</x:v>
      </x:c>
      <x:c r="AE142" s="193" t="b">
        <x:v>1</x:v>
      </x:c>
      <x:c r="AF142" s="193" t="b">
        <x:v>1</x:v>
      </x:c>
      <x:c r="AG142" s="193" t="b">
        <x:v>1</x:v>
      </x:c>
      <x:c r="AH142" s="193" t="b">
        <x:v>1</x:v>
      </x:c>
      <x:c r="AI142" s="193" t="b">
        <x:v>0</x:v>
      </x:c>
      <x:c r="AJ142" s="193" t="b">
        <x:v>0</x:v>
      </x:c>
    </x:row>
    <x:row r="143">
      <x:c r="A143" s="192" t="n">
        <x:v>781223884036842600</x:v>
      </x:c>
      <x:c r="B143" s="192" t="str">
        <x:v>https://www.airbnb.com.br/rooms/781223884036842600</x:v>
      </x:c>
      <x:c r="C143" s="192" t="str">
        <x:v>Apto 50 metros da praia, pé na areia, Itapema</x:v>
      </x:c>
      <x:c r="D143" s="192" t="str">
        <x:v>Meia Praia</x:v>
      </x:c>
      <x:c r="E143" s="192" t="n">
        <x:v>-27.13019</x:v>
      </x:c>
      <x:c r="F143" s="192" t="n">
        <x:v>-48.59945</x:v>
      </x:c>
      <x:c r="G143" s="192" t="str">
        <x:v>apartamento</x:v>
      </x:c>
      <x:c r="H143" s="192" t="n">
        <x:v>2</x:v>
      </x:c>
      <x:c r="I143" s="192" t="n">
        <x:v>2</x:v>
      </x:c>
      <x:c r="J143" s="192" t="n">
        <x:v>2</x:v>
      </x:c>
      <x:c r="K143" s="192" t="n">
        <x:v>5</x:v>
      </x:c>
      <x:c r="L143" s="192" t="n">
        <x:v>26</x:v>
      </x:c>
      <x:c r="M143" s="192" t="n">
        <x:v>4.6500000954</x:v>
      </x:c>
      <x:c r="N143" s="192" t="n">
        <x:v>250</x:v>
      </x:c>
      <x:c r="O143" s="192" t="n">
        <x:v>21</x:v>
      </x:c>
      <x:c r="P143" s="193" t="b">
        <x:v>0</x:v>
      </x:c>
      <x:c r="Q143" s="193" t="b">
        <x:v>0</x:v>
      </x:c>
      <x:c r="R143" s="193" t="b">
        <x:v>0</x:v>
      </x:c>
      <x:c r="S143" s="193" t="b">
        <x:v>1</x:v>
      </x:c>
      <x:c r="T143" s="192" t="n">
        <x:v>62</x:v>
      </x:c>
      <x:c r="U143" s="192" t="n">
        <x:v>28</x:v>
      </x:c>
      <x:c r="V143" s="200" t="n">
        <x:v>0.3111111111</x:v>
      </x:c>
      <x:c r="W143" s="203" t="n">
        <x:v>337.5</x:v>
      </x:c>
      <x:c r="X143" s="203" t="n">
        <x:v>9867.667520368</x:v>
      </x:c>
      <x:c r="Y143" s="203" t="n">
        <x:v>25512.0320682848</x:v>
      </x:c>
      <x:c r="Z143" s="193" t="b">
        <x:v>1</x:v>
      </x:c>
      <x:c r="AA143" s="193" t="b">
        <x:v>0</x:v>
      </x:c>
      <x:c r="AB143" s="193" t="b">
        <x:v>1</x:v>
      </x:c>
      <x:c r="AC143" s="193" t="b">
        <x:v>1</x:v>
      </x:c>
      <x:c r="AD143" s="193" t="b">
        <x:v>1</x:v>
      </x:c>
      <x:c r="AE143" s="193" t="b">
        <x:v>0</x:v>
      </x:c>
      <x:c r="AF143" s="193" t="b">
        <x:v>1</x:v>
      </x:c>
      <x:c r="AG143" s="193" t="b">
        <x:v>1</x:v>
      </x:c>
      <x:c r="AH143" s="193" t="b">
        <x:v>1</x:v>
      </x:c>
      <x:c r="AI143" s="193" t="b">
        <x:v>1</x:v>
      </x:c>
      <x:c r="AJ143" s="193" t="b">
        <x:v>0</x:v>
      </x:c>
    </x:row>
    <x:row r="144">
      <x:c r="A144" s="192" t="n">
        <x:v>913929715874853800</x:v>
      </x:c>
      <x:c r="B144" s="192" t="str">
        <x:v>https://www.airbnb.com.br/rooms/913929715874853789</x:v>
      </x:c>
      <x:c r="C144" s="192" t="str">
        <x:v>Apartamento Luxo Itapema-Meia Praia</x:v>
      </x:c>
      <x:c r="D144" s="192" t="str">
        <x:v>Meia Praia</x:v>
      </x:c>
      <x:c r="E144" s="192" t="n">
        <x:v>-27.1359996796</x:v>
      </x:c>
      <x:c r="F144" s="192" t="n">
        <x:v>-48.5989990234</x:v>
      </x:c>
      <x:c r="G144" s="192" t="str">
        <x:v>apartamento</x:v>
      </x:c>
      <x:c r="H144" s="192" t="n">
        <x:v>4</x:v>
      </x:c>
      <x:c r="I144" s="192" t="n">
        <x:v>3</x:v>
      </x:c>
      <x:c r="J144" s="192" t="n">
        <x:v>6</x:v>
      </x:c>
      <x:c r="K144" s="192" t="n">
        <x:v>9</x:v>
      </x:c>
      <x:c r="L144" s="192" t="n">
        <x:v>27</x:v>
      </x:c>
      <x:c r="M144" s="192" t="n">
        <x:v>4.8899998665</x:v>
      </x:c>
      <x:c r="N144" s="192" t="n">
        <x:v>400</x:v>
      </x:c>
      <x:c r="O144" s="192" t="n">
        <x:v>115</x:v>
      </x:c>
      <x:c r="P144" s="193" t="b">
        <x:v>0</x:v>
      </x:c>
      <x:c r="Q144" s="193" t="b">
        <x:v>0</x:v>
      </x:c>
      <x:c r="R144" s="193" t="b">
        <x:v>0</x:v>
      </x:c>
      <x:c r="S144" s="193" t="b">
        <x:v>1</x:v>
      </x:c>
      <x:c r="T144" s="192" t="n">
        <x:v>52</x:v>
      </x:c>
      <x:c r="U144" s="192" t="n">
        <x:v>38</x:v>
      </x:c>
      <x:c r="V144" s="200" t="n">
        <x:v>0.4222222222</x:v>
      </x:c>
      <x:c r="W144" s="203" t="n">
        <x:v>899</x:v>
      </x:c>
      <x:c r="X144" s="203" t="n">
        <x:v>35078.7443697175</x:v>
      </x:c>
      <x:c r="Y144" s="203" t="n">
        <x:v>90693.170339207</x:v>
      </x:c>
      <x:c r="Z144" s="193" t="b">
        <x:v>1</x:v>
      </x:c>
      <x:c r="AA144" s="193" t="b">
        <x:v>0</x:v>
      </x:c>
      <x:c r="AB144" s="193" t="b">
        <x:v>1</x:v>
      </x:c>
      <x:c r="AC144" s="193" t="b">
        <x:v>1</x:v>
      </x:c>
      <x:c r="AD144" s="193" t="b">
        <x:v>0</x:v>
      </x:c>
      <x:c r="AE144" s="193" t="b">
        <x:v>0</x:v>
      </x:c>
      <x:c r="AF144" s="193" t="b">
        <x:v>1</x:v>
      </x:c>
      <x:c r="AG144" s="193" t="b">
        <x:v>1</x:v>
      </x:c>
      <x:c r="AH144" s="193" t="b">
        <x:v>1</x:v>
      </x:c>
      <x:c r="AI144" s="193" t="b">
        <x:v>1</x:v>
      </x:c>
      <x:c r="AJ144" s="193" t="b">
        <x:v>0</x:v>
      </x:c>
    </x:row>
    <x:row r="145">
      <x:c r="A145" s="192" t="n">
        <x:v>22421606</x:v>
      </x:c>
      <x:c r="B145" s="192" t="str">
        <x:v>https://www.airbnb.com.br/rooms/22421606</x:v>
      </x:c>
      <x:c r="C145" s="192" t="str">
        <x:v>DS2 Casa com Piscina Privativa</x:v>
      </x:c>
      <x:c r="D145" s="192" t="str">
        <x:v>Morretes</x:v>
      </x:c>
      <x:c r="E145" s="192" t="n">
        <x:v>-27.11525</x:v>
      </x:c>
      <x:c r="F145" s="192" t="n">
        <x:v>-48.61363</x:v>
      </x:c>
      <x:c r="G145" s="192" t="str">
        <x:v>casa</x:v>
      </x:c>
      <x:c r="H145" s="192" t="n">
        <x:v>2</x:v>
      </x:c>
      <x:c r="I145" s="192" t="n">
        <x:v>1</x:v>
      </x:c>
      <x:c r="J145" s="192" t="n">
        <x:v>8</x:v>
      </x:c>
      <x:c r="K145" s="192" t="n">
        <x:v>11</x:v>
      </x:c>
      <x:c r="L145" s="192" t="n">
        <x:v>27</x:v>
      </x:c>
      <x:c r="M145" s="192" t="n">
        <x:v>4.8499999046</x:v>
      </x:c>
      <x:c r="N145" s="192" t="n">
        <x:v>100</x:v>
      </x:c>
      <x:c r="O145" s="192" t="n">
        <x:v>26</x:v>
      </x:c>
      <x:c r="P145" s="193" t="b">
        <x:v>0</x:v>
      </x:c>
      <x:c r="Q145" s="193" t="b">
        <x:v>0</x:v>
      </x:c>
      <x:c r="R145" s="193" t="b">
        <x:v>0</x:v>
      </x:c>
      <x:c r="S145" s="193" t="b">
        <x:v>0</x:v>
      </x:c>
      <x:c r="T145" s="192" t="n">
        <x:v>39</x:v>
      </x:c>
      <x:c r="U145" s="192" t="n">
        <x:v>51</x:v>
      </x:c>
      <x:c r="V145" s="200" t="n">
        <x:v>0.5666666667</x:v>
      </x:c>
      <x:c r="W145" s="203" t="n">
        <x:v>361</x:v>
      </x:c>
      <x:c r="X145" s="203" t="n">
        <x:v>18786.409372462</x:v>
      </x:c>
      <x:c r="Y145" s="203" t="n">
        <x:v>48570.6958983862</x:v>
      </x:c>
      <x:c r="Z145" s="193" t="b">
        <x:v>1</x:v>
      </x:c>
      <x:c r="AA145" s="193" t="b">
        <x:v>1</x:v>
      </x:c>
      <x:c r="AB145" s="193" t="b">
        <x:v>1</x:v>
      </x:c>
      <x:c r="AC145" s="193" t="b">
        <x:v>1</x:v>
      </x:c>
      <x:c r="AD145" s="193" t="b">
        <x:v>0</x:v>
      </x:c>
      <x:c r="AE145" s="193" t="b">
        <x:v>1</x:v>
      </x:c>
      <x:c r="AF145" s="193" t="b">
        <x:v>1</x:v>
      </x:c>
      <x:c r="AG145" s="193" t="b">
        <x:v>1</x:v>
      </x:c>
      <x:c r="AH145" s="193" t="b">
        <x:v>1</x:v>
      </x:c>
      <x:c r="AI145" s="193" t="b">
        <x:v>1</x:v>
      </x:c>
      <x:c r="AJ145" s="193" t="b">
        <x:v>1</x:v>
      </x:c>
    </x:row>
    <x:row r="146">
      <x:c r="A146" s="192" t="n">
        <x:v>681894806923375600</x:v>
      </x:c>
      <x:c r="B146" s="192" t="str">
        <x:v>https://www.airbnb.com.br/rooms/681894806923375678</x:v>
      </x:c>
      <x:c r="C146" s="192" t="str">
        <x:v>Lindo 3 suítes quadra mar Meia Praia - AL131</x:v>
      </x:c>
      <x:c r="D146" s="192" t="str">
        <x:v>Meia Praia</x:v>
      </x:c>
      <x:c r="E146" s="192" t="n">
        <x:v>-27.13073</x:v>
      </x:c>
      <x:c r="F146" s="192" t="n">
        <x:v>-48.59938</x:v>
      </x:c>
      <x:c r="G146" s="192" t="str">
        <x:v>apartamento</x:v>
      </x:c>
      <x:c r="H146" s="192" t="n">
        <x:v>3</x:v>
      </x:c>
      <x:c r="I146" s="192" t="n">
        <x:v>4</x:v>
      </x:c>
      <x:c r="J146" s="192" t="n">
        <x:v>3</x:v>
      </x:c>
      <x:c r="K146" s="192" t="n">
        <x:v>8</x:v>
      </x:c>
      <x:c r="L146" s="192" t="n">
        <x:v>19</x:v>
      </x:c>
      <x:c r="M146" s="192" t="n">
        <x:v>5</x:v>
      </x:c>
      <x:c r="N146" s="192" t="n">
        <x:v>300</x:v>
      </x:c>
      <x:c r="O146" s="192" t="n">
        <x:v>16</x:v>
      </x:c>
      <x:c r="P146" s="193" t="b">
        <x:v>0</x:v>
      </x:c>
      <x:c r="Q146" s="193" t="b">
        <x:v>0</x:v>
      </x:c>
      <x:c r="R146" s="193" t="b">
        <x:v>1</x:v>
      </x:c>
      <x:c r="S146" s="193" t="b">
        <x:v>1</x:v>
      </x:c>
      <x:c r="T146" s="192" t="n">
        <x:v>29</x:v>
      </x:c>
      <x:c r="U146" s="192" t="n">
        <x:v>61</x:v>
      </x:c>
      <x:c r="V146" s="200" t="n">
        <x:v>0.6777777778</x:v>
      </x:c>
      <x:c r="W146" s="203" t="n">
        <x:v>592</x:v>
      </x:c>
      <x:c r="X146" s="203" t="n">
        <x:v>35300.0267896595</x:v>
      </x:c>
      <x:c r="Y146" s="203" t="n">
        <x:v>91265.2775957655</x:v>
      </x:c>
      <x:c r="Z146" s="193" t="b">
        <x:v>0</x:v>
      </x:c>
      <x:c r="AA146" s="193" t="b">
        <x:v>0</x:v>
      </x:c>
      <x:c r="AB146" s="193" t="b">
        <x:v>1</x:v>
      </x:c>
      <x:c r="AC146" s="193" t="b">
        <x:v>1</x:v>
      </x:c>
      <x:c r="AD146" s="193" t="b">
        <x:v>1</x:v>
      </x:c>
      <x:c r="AE146" s="193" t="b">
        <x:v>1</x:v>
      </x:c>
      <x:c r="AF146" s="193" t="b">
        <x:v>1</x:v>
      </x:c>
      <x:c r="AG146" s="193" t="b">
        <x:v>1</x:v>
      </x:c>
      <x:c r="AH146" s="193" t="b">
        <x:v>1</x:v>
      </x:c>
      <x:c r="AI146" s="193" t="b">
        <x:v>1</x:v>
      </x:c>
      <x:c r="AJ146" s="193" t="b">
        <x:v>1</x:v>
      </x:c>
    </x:row>
    <x:row r="147">
      <x:c r="A147" s="192" t="n">
        <x:v>1265161823691467000</x:v>
      </x:c>
      <x:c r="B147" s="192" t="str">
        <x:v>https://www.airbnb.com.br/rooms/1265161823691467042</x:v>
      </x:c>
      <x:c r="C147" s="192" t="str">
        <x:v>Apto a apenas 280m da Praia em Itapema MHF1603</x:v>
      </x:c>
      <x:c r="D147" s="192" t="str">
        <x:v>Centro</x:v>
      </x:c>
      <x:c r="E147" s="192" t="n">
        <x:v>-27.0936893</x:v>
      </x:c>
      <x:c r="F147" s="192" t="n">
        <x:v>-48.6131638</x:v>
      </x:c>
      <x:c r="G147" s="192" t="str">
        <x:v>apartamento</x:v>
      </x:c>
      <x:c r="H147" s="192" t="n">
        <x:v>1</x:v>
      </x:c>
      <x:c r="I147" s="192" t="n">
        <x:v>1</x:v>
      </x:c>
      <x:c r="J147" s="192" t="n">
        <x:v>2</x:v>
      </x:c>
      <x:c r="K147" s="192" t="n">
        <x:v>4</x:v>
      </x:c>
      <x:c r="L147" s="192" t="n">
        <x:v>8</x:v>
      </x:c>
      <x:c r="M147" s="192" t="n">
        <x:v>5</x:v>
      </x:c>
      <x:c r="N147" s="192" t="n">
        <x:v>190</x:v>
      </x:c>
      <x:c r="O147" s="192" t="n">
        <x:v>0</x:v>
      </x:c>
      <x:c r="P147" s="193" t="b">
        <x:v>1</x:v>
      </x:c>
      <x:c r="Q147" s="193" t="b">
        <x:v>1</x:v>
      </x:c>
      <x:c r="R147" s="193" t="b">
        <x:v>1</x:v>
      </x:c>
      <x:c r="S147" s="193" t="b">
        <x:v>0</x:v>
      </x:c>
      <x:c r="T147" s="192" t="n">
        <x:v>68</x:v>
      </x:c>
      <x:c r="U147" s="192" t="n">
        <x:v>22</x:v>
      </x:c>
      <x:c r="V147" s="200" t="n">
        <x:v>0.2444444444</x:v>
      </x:c>
      <x:c r="W147" s="203" t="n">
        <x:v>550</x:v>
      </x:c>
      <x:c r="X147" s="203" t="n">
        <x:v>12015.0485693611</x:v>
      </x:c>
      <x:c r="Y147" s="203" t="n">
        <x:v>31063.9068220356</x:v>
      </x:c>
      <x:c r="Z147" s="193" t="b">
        <x:v>1</x:v>
      </x:c>
      <x:c r="AA147" s="193" t="b">
        <x:v>1</x:v>
      </x:c>
      <x:c r="AB147" s="193" t="b">
        <x:v>1</x:v>
      </x:c>
      <x:c r="AC147" s="193" t="b">
        <x:v>1</x:v>
      </x:c>
      <x:c r="AD147" s="193" t="b">
        <x:v>1</x:v>
      </x:c>
      <x:c r="AE147" s="193" t="b">
        <x:v>1</x:v>
      </x:c>
      <x:c r="AF147" s="193" t="b">
        <x:v>1</x:v>
      </x:c>
      <x:c r="AG147" s="193" t="b">
        <x:v>1</x:v>
      </x:c>
      <x:c r="AH147" s="193" t="b">
        <x:v>1</x:v>
      </x:c>
      <x:c r="AI147" s="193" t="b">
        <x:v>1</x:v>
      </x:c>
      <x:c r="AJ147" s="193" t="b">
        <x:v>0</x:v>
      </x:c>
    </x:row>
    <x:row r="148">
      <x:c r="A148" s="192" t="n">
        <x:v>978244263452011000</x:v>
      </x:c>
      <x:c r="B148" s="192" t="str">
        <x:v>https://www.airbnb.com.br/rooms/978244263452010977</x:v>
      </x:c>
      <x:c r="C148" s="192" t="str">
        <x:v>Apartamento Itapema</x:v>
      </x:c>
      <x:c r="D148" s="192" t="str">
        <x:v>Meia Praia</x:v>
      </x:c>
      <x:c r="E148" s="192" t="n">
        <x:v>-27.1219997406</x:v>
      </x:c>
      <x:c r="F148" s="192" t="n">
        <x:v>-48.6069984436</x:v>
      </x:c>
      <x:c r="G148" s="192" t="str">
        <x:v>apartamento</x:v>
      </x:c>
      <x:c r="H148" s="192" t="n">
        <x:v>2</x:v>
      </x:c>
      <x:c r="I148" s="192" t="n">
        <x:v>1</x:v>
      </x:c>
      <x:c r="J148" s="192" t="n">
        <x:v>2</x:v>
      </x:c>
      <x:c r="K148" s="192" t="n">
        <x:v>6</x:v>
      </x:c>
      <x:c r="L148" s="192" t="n">
        <x:v>33</x:v>
      </x:c>
      <x:c r="M148" s="192" t="n">
        <x:v>4.9400000572</x:v>
      </x:c>
      <x:c r="N148" s="192" t="n">
        <x:v>200</x:v>
      </x:c>
      <x:c r="O148" s="192" t="n">
        <x:v>15</x:v>
      </x:c>
      <x:c r="P148" s="193" t="b">
        <x:v>0</x:v>
      </x:c>
      <x:c r="Q148" s="193" t="b">
        <x:v>0</x:v>
      </x:c>
      <x:c r="R148" s="193" t="b">
        <x:v>1</x:v>
      </x:c>
      <x:c r="S148" s="193" t="b">
        <x:v>1</x:v>
      </x:c>
      <x:c r="T148" s="192" t="n">
        <x:v>47</x:v>
      </x:c>
      <x:c r="U148" s="192" t="n">
        <x:v>43</x:v>
      </x:c>
      <x:c r="V148" s="200" t="n">
        <x:v>0.4777777778</x:v>
      </x:c>
      <x:c r="W148" s="203" t="n">
        <x:v>456</x:v>
      </x:c>
      <x:c r="X148" s="203" t="n">
        <x:v>20149.0043126517</x:v>
      </x:c>
      <x:c r="Y148" s="203" t="n">
        <x:v>52093.5715666682</x:v>
      </x:c>
      <x:c r="Z148" s="193" t="b">
        <x:v>1</x:v>
      </x:c>
      <x:c r="AA148" s="193" t="b">
        <x:v>0</x:v>
      </x:c>
      <x:c r="AB148" s="193" t="b">
        <x:v>1</x:v>
      </x:c>
      <x:c r="AC148" s="193" t="b">
        <x:v>1</x:v>
      </x:c>
      <x:c r="AD148" s="193" t="b">
        <x:v>1</x:v>
      </x:c>
      <x:c r="AE148" s="193" t="b">
        <x:v>1</x:v>
      </x:c>
      <x:c r="AF148" s="193" t="b">
        <x:v>1</x:v>
      </x:c>
      <x:c r="AG148" s="193" t="b">
        <x:v>1</x:v>
      </x:c>
      <x:c r="AH148" s="193" t="b">
        <x:v>1</x:v>
      </x:c>
      <x:c r="AI148" s="193" t="b">
        <x:v>1</x:v>
      </x:c>
      <x:c r="AJ148" s="193" t="b">
        <x:v>1</x:v>
      </x:c>
    </x:row>
    <x:row r="149">
      <x:c r="A149" s="192" t="n">
        <x:v>794996321339600500</x:v>
      </x:c>
      <x:c r="B149" s="192" t="str">
        <x:v>https://www.airbnb.com.br/rooms/794996321339600522</x:v>
      </x:c>
      <x:c r="C149" s="192" t="str">
        <x:v>APTO TOP na MEIA PRAIA - 6 pessoas - 100m do MAR!</x:v>
      </x:c>
      <x:c r="D149" s="192" t="str">
        <x:v>Meia Praia</x:v>
      </x:c>
      <x:c r="E149" s="192" t="n">
        <x:v>-27.13696</x:v>
      </x:c>
      <x:c r="F149" s="192" t="n">
        <x:v>-48.59683</x:v>
      </x:c>
      <x:c r="G149" s="192" t="str">
        <x:v>apartamento</x:v>
      </x:c>
      <x:c r="H149" s="192" t="n">
        <x:v>2</x:v>
      </x:c>
      <x:c r="I149" s="192" t="n">
        <x:v>2</x:v>
      </x:c>
      <x:c r="J149" s="192" t="n">
        <x:v>2</x:v>
      </x:c>
      <x:c r="K149" s="192" t="n">
        <x:v>6</x:v>
      </x:c>
      <x:c r="L149" s="192" t="n">
        <x:v>8</x:v>
      </x:c>
      <x:c r="M149" s="192" t="n">
        <x:v>5</x:v>
      </x:c>
      <x:c r="N149" s="192" t="n">
        <x:v>250</x:v>
      </x:c>
      <x:c r="O149" s="192" t="n">
        <x:v>26</x:v>
      </x:c>
      <x:c r="P149" s="193" t="b">
        <x:v>1</x:v>
      </x:c>
      <x:c r="Q149" s="193" t="b">
        <x:v>0</x:v>
      </x:c>
      <x:c r="R149" s="193" t="b">
        <x:v>1</x:v>
      </x:c>
      <x:c r="S149" s="193" t="b">
        <x:v>0</x:v>
      </x:c>
      <x:c r="T149" s="192" t="n">
        <x:v>58</x:v>
      </x:c>
      <x:c r="U149" s="192" t="n">
        <x:v>32</x:v>
      </x:c>
      <x:c r="V149" s="200" t="n">
        <x:v>0.3555555556</x:v>
      </x:c>
      <x:c r="W149" s="203" t="n">
        <x:v>350</x:v>
      </x:c>
      <x:c r="X149" s="203" t="n">
        <x:v>11891.2900665396</x:v>
      </x:c>
      <x:c r="Y149" s="203" t="n">
        <x:v>30743.9395261991</x:v>
      </x:c>
      <x:c r="Z149" s="193" t="b">
        <x:v>1</x:v>
      </x:c>
      <x:c r="AA149" s="193" t="b">
        <x:v>0</x:v>
      </x:c>
      <x:c r="AB149" s="193" t="b">
        <x:v>1</x:v>
      </x:c>
      <x:c r="AC149" s="193" t="b">
        <x:v>1</x:v>
      </x:c>
      <x:c r="AD149" s="193" t="b">
        <x:v>1</x:v>
      </x:c>
      <x:c r="AE149" s="193" t="b">
        <x:v>1</x:v>
      </x:c>
      <x:c r="AF149" s="193" t="b">
        <x:v>1</x:v>
      </x:c>
      <x:c r="AG149" s="193" t="b">
        <x:v>1</x:v>
      </x:c>
      <x:c r="AH149" s="193" t="b">
        <x:v>1</x:v>
      </x:c>
      <x:c r="AI149" s="193" t="b">
        <x:v>1</x:v>
      </x:c>
      <x:c r="AJ149" s="193" t="b">
        <x:v>1</x:v>
      </x:c>
    </x:row>
    <x:row r="150">
      <x:c r="A150" s="192" t="n">
        <x:v>1002785860497857800</x:v>
      </x:c>
      <x:c r="B150" s="192" t="str">
        <x:v>https://www.airbnb.com.br/rooms/1002785860497857801</x:v>
      </x:c>
      <x:c r="C150" s="192" t="str">
        <x:v>Alto padrão pé na areia 8</x:v>
      </x:c>
      <x:c r="D150" s="192" t="str">
        <x:v>Meia Praia</x:v>
      </x:c>
      <x:c r="E150" s="192" t="n">
        <x:v>-27.1380004883</x:v>
      </x:c>
      <x:c r="F150" s="192" t="n">
        <x:v>-48.5929985046</x:v>
      </x:c>
      <x:c r="G150" s="192" t="str">
        <x:v>apartamento</x:v>
      </x:c>
      <x:c r="H150" s="192" t="n">
        <x:v>3</x:v>
      </x:c>
      <x:c r="I150" s="192" t="n">
        <x:v>2</x:v>
      </x:c>
      <x:c r="J150" s="192" t="n">
        <x:v>3</x:v>
      </x:c>
      <x:c r="K150" s="192" t="n">
        <x:v>6</x:v>
      </x:c>
      <x:c r="L150" s="192" t="n">
        <x:v>12</x:v>
      </x:c>
      <x:c r="M150" s="192" t="n">
        <x:v>5</x:v>
      </x:c>
      <x:c r="N150" s="192" t="n">
        <x:v>0</x:v>
      </x:c>
      <x:c r="O150" s="192" t="n">
        <x:v>54</x:v>
      </x:c>
      <x:c r="P150" s="192"/>
      <x:c r="Q150" s="192"/>
      <x:c r="R150" s="193" t="b">
        <x:v>1</x:v>
      </x:c>
      <x:c r="S150" s="193" t="b">
        <x:v>1</x:v>
      </x:c>
      <x:c r="T150" s="192" t="n">
        <x:v>65</x:v>
      </x:c>
      <x:c r="U150" s="192" t="n">
        <x:v>25</x:v>
      </x:c>
      <x:c r="V150" s="200" t="n">
        <x:v>0.2777777778</x:v>
      </x:c>
      <x:c r="W150" s="203" t="n">
        <x:v>438</x:v>
      </x:c>
      <x:c r="X150" s="203" t="n">
        <x:v>10928.3509160265</x:v>
      </x:c>
      <x:c r="Y150" s="203" t="n">
        <x:v>28254.3405974768</x:v>
      </x:c>
      <x:c r="Z150" s="193" t="b">
        <x:v>1</x:v>
      </x:c>
      <x:c r="AA150" s="193" t="b">
        <x:v>0</x:v>
      </x:c>
      <x:c r="AB150" s="193" t="b">
        <x:v>1</x:v>
      </x:c>
      <x:c r="AC150" s="193" t="b">
        <x:v>1</x:v>
      </x:c>
      <x:c r="AD150" s="193" t="b">
        <x:v>1</x:v>
      </x:c>
      <x:c r="AE150" s="193" t="b">
        <x:v>1</x:v>
      </x:c>
      <x:c r="AF150" s="193" t="b">
        <x:v>1</x:v>
      </x:c>
      <x:c r="AG150" s="193" t="b">
        <x:v>1</x:v>
      </x:c>
      <x:c r="AH150" s="193" t="b">
        <x:v>1</x:v>
      </x:c>
      <x:c r="AI150" s="193" t="b">
        <x:v>1</x:v>
      </x:c>
      <x:c r="AJ150" s="193" t="b">
        <x:v>1</x:v>
      </x:c>
    </x:row>
    <x:row r="151">
      <x:c r="A151" s="192" t="n">
        <x:v>694313018923554700</x:v>
      </x:c>
      <x:c r="B151" s="192" t="str">
        <x:v>https://www.airbnb.com.br/rooms/694313018923554703</x:v>
      </x:c>
      <x:c r="C151" s="192" t="str">
        <x:v>Apartamento Frente Mar Meia Praia</x:v>
      </x:c>
      <x:c r="D151" s="192" t="str">
        <x:v>Meia Praia</x:v>
      </x:c>
      <x:c r="E151" s="192" t="n">
        <x:v>-27.14393</x:v>
      </x:c>
      <x:c r="F151" s="192" t="n">
        <x:v>-48.58896</x:v>
      </x:c>
      <x:c r="G151" s="192" t="str">
        <x:v>apartamento</x:v>
      </x:c>
      <x:c r="H151" s="192" t="n">
        <x:v>3</x:v>
      </x:c>
      <x:c r="I151" s="192" t="n">
        <x:v>2</x:v>
      </x:c>
      <x:c r="J151" s="192" t="n">
        <x:v>3</x:v>
      </x:c>
      <x:c r="K151" s="192" t="n">
        <x:v>7</x:v>
      </x:c>
      <x:c r="L151" s="192" t="n">
        <x:v>5</x:v>
      </x:c>
      <x:c r="M151" s="192" t="n">
        <x:v>5</x:v>
      </x:c>
      <x:c r="N151" s="192" t="n">
        <x:v>380</x:v>
      </x:c>
      <x:c r="O151" s="192" t="n">
        <x:v>26</x:v>
      </x:c>
      <x:c r="P151" s="193" t="b">
        <x:v>1</x:v>
      </x:c>
      <x:c r="Q151" s="193" t="b">
        <x:v>1</x:v>
      </x:c>
      <x:c r="R151" s="193" t="b">
        <x:v>1</x:v>
      </x:c>
      <x:c r="S151" s="193" t="b">
        <x:v>1</x:v>
      </x:c>
      <x:c r="T151" s="192" t="n">
        <x:v>25</x:v>
      </x:c>
      <x:c r="U151" s="192" t="n">
        <x:v>65</x:v>
      </x:c>
      <x:c r="V151" s="200" t="n">
        <x:v>0.7222222222</x:v>
      </x:c>
      <x:c r="W151" s="203" t="n">
        <x:v>1040</x:v>
      </x:c>
      <x:c r="X151" s="203" t="n">
        <x:v>65756.267253701</x:v>
      </x:c>
      <x:c r="Y151" s="203" t="n">
        <x:v>170007.3492955061</x:v>
      </x:c>
      <x:c r="Z151" s="193" t="b">
        <x:v>1</x:v>
      </x:c>
      <x:c r="AA151" s="193" t="b">
        <x:v>0</x:v>
      </x:c>
      <x:c r="AB151" s="193" t="b">
        <x:v>1</x:v>
      </x:c>
      <x:c r="AC151" s="193" t="b">
        <x:v>1</x:v>
      </x:c>
      <x:c r="AD151" s="193" t="b">
        <x:v>1</x:v>
      </x:c>
      <x:c r="AE151" s="193" t="b">
        <x:v>1</x:v>
      </x:c>
      <x:c r="AF151" s="193" t="b">
        <x:v>1</x:v>
      </x:c>
      <x:c r="AG151" s="193" t="b">
        <x:v>1</x:v>
      </x:c>
      <x:c r="AH151" s="193" t="b">
        <x:v>1</x:v>
      </x:c>
      <x:c r="AI151" s="193" t="b">
        <x:v>1</x:v>
      </x:c>
      <x:c r="AJ151" s="193" t="b">
        <x:v>0</x:v>
      </x:c>
    </x:row>
    <x:row r="152">
      <x:c r="A152" s="192" t="n">
        <x:v>22648075</x:v>
      </x:c>
      <x:c r="B152" s="192" t="str">
        <x:v>https://www.airbnb.com.br/rooms/22648075</x:v>
      </x:c>
      <x:c r="C152" s="192" t="str">
        <x:v>Ap  Itapema SC</x:v>
      </x:c>
      <x:c r="D152" s="192" t="str">
        <x:v>Centro</x:v>
      </x:c>
      <x:c r="E152" s="192" t="n">
        <x:v>-27.09328</x:v>
      </x:c>
      <x:c r="F152" s="192" t="n">
        <x:v>-48.61578</x:v>
      </x:c>
      <x:c r="G152" s="192" t="str">
        <x:v>apartamento</x:v>
      </x:c>
      <x:c r="H152" s="192" t="n">
        <x:v>2</x:v>
      </x:c>
      <x:c r="I152" s="192" t="n">
        <x:v>2</x:v>
      </x:c>
      <x:c r="J152" s="192" t="n">
        <x:v>5</x:v>
      </x:c>
      <x:c r="K152" s="192" t="n">
        <x:v>6</x:v>
      </x:c>
      <x:c r="L152" s="192" t="n">
        <x:v>16</x:v>
      </x:c>
      <x:c r="M152" s="192" t="n">
        <x:v>5</x:v>
      </x:c>
      <x:c r="N152" s="192" t="n">
        <x:v>150</x:v>
      </x:c>
      <x:c r="O152" s="192" t="n">
        <x:v>35</x:v>
      </x:c>
      <x:c r="P152" s="193" t="b">
        <x:v>0</x:v>
      </x:c>
      <x:c r="Q152" s="193" t="b">
        <x:v>0</x:v>
      </x:c>
      <x:c r="R152" s="193" t="b">
        <x:v>0</x:v>
      </x:c>
      <x:c r="S152" s="193" t="b">
        <x:v>0</x:v>
      </x:c>
      <x:c r="T152" s="192" t="n">
        <x:v>65</x:v>
      </x:c>
      <x:c r="U152" s="192" t="n">
        <x:v>25</x:v>
      </x:c>
      <x:c r="V152" s="200" t="n">
        <x:v>0.2777777778</x:v>
      </x:c>
      <x:c r="W152" s="203" t="n">
        <x:v>348</x:v>
      </x:c>
      <x:c r="X152" s="203" t="n">
        <x:v>9399.3367409967</x:v>
      </x:c>
      <x:c r="Y152" s="203" t="n">
        <x:v>24301.2018657852</x:v>
      </x:c>
      <x:c r="Z152" s="193" t="b">
        <x:v>1</x:v>
      </x:c>
      <x:c r="AA152" s="193" t="b">
        <x:v>0</x:v>
      </x:c>
      <x:c r="AB152" s="193" t="b">
        <x:v>1</x:v>
      </x:c>
      <x:c r="AC152" s="193" t="b">
        <x:v>1</x:v>
      </x:c>
      <x:c r="AD152" s="193" t="b">
        <x:v>0</x:v>
      </x:c>
      <x:c r="AE152" s="193" t="b">
        <x:v>0</x:v>
      </x:c>
      <x:c r="AF152" s="193" t="b">
        <x:v>1</x:v>
      </x:c>
      <x:c r="AG152" s="193" t="b">
        <x:v>1</x:v>
      </x:c>
      <x:c r="AH152" s="193" t="b">
        <x:v>1</x:v>
      </x:c>
      <x:c r="AI152" s="193" t="b">
        <x:v>1</x:v>
      </x:c>
      <x:c r="AJ152" s="193" t="b">
        <x:v>1</x:v>
      </x:c>
    </x:row>
    <x:row r="153">
      <x:c r="A153" s="192" t="n">
        <x:v>41682475</x:v>
      </x:c>
      <x:c r="B153" s="192" t="str">
        <x:v>https://www.airbnb.com.br/rooms/41682475</x:v>
      </x:c>
      <x:c r="C153" s="192" t="str">
        <x:v>Apartamento com vista para o mar em Meia Praia!</x:v>
      </x:c>
      <x:c r="D153" s="192" t="str">
        <x:v>Meia Praia</x:v>
      </x:c>
      <x:c r="E153" s="192" t="n">
        <x:v>-27.1251296997</x:v>
      </x:c>
      <x:c r="F153" s="192" t="n">
        <x:v>-48.6068916321</x:v>
      </x:c>
      <x:c r="G153" s="192" t="str">
        <x:v>apartamento</x:v>
      </x:c>
      <x:c r="H153" s="192" t="n">
        <x:v>3</x:v>
      </x:c>
      <x:c r="I153" s="192" t="n">
        <x:v>2</x:v>
      </x:c>
      <x:c r="J153" s="192" t="n">
        <x:v>3</x:v>
      </x:c>
      <x:c r="K153" s="192" t="n">
        <x:v>8</x:v>
      </x:c>
      <x:c r="L153" s="192" t="n">
        <x:v>7</x:v>
      </x:c>
      <x:c r="M153" s="192" t="n">
        <x:v>5</x:v>
      </x:c>
      <x:c r="N153" s="192" t="n">
        <x:v>200</x:v>
      </x:c>
      <x:c r="O153" s="192" t="n">
        <x:v>16</x:v>
      </x:c>
      <x:c r="P153" s="193" t="b">
        <x:v>1</x:v>
      </x:c>
      <x:c r="Q153" s="193" t="b">
        <x:v>0</x:v>
      </x:c>
      <x:c r="R153" s="193" t="b">
        <x:v>0</x:v>
      </x:c>
      <x:c r="S153" s="193" t="b">
        <x:v>0</x:v>
      </x:c>
      <x:c r="T153" s="192" t="n">
        <x:v>43</x:v>
      </x:c>
      <x:c r="U153" s="192" t="n">
        <x:v>47</x:v>
      </x:c>
      <x:c r="V153" s="200" t="n">
        <x:v>0.5222222222</x:v>
      </x:c>
      <x:c r="W153" s="203" t="n">
        <x:v>400</x:v>
      </x:c>
      <x:c r="X153" s="203" t="n">
        <x:v>19352.4550105873</x:v>
      </x:c>
      <x:c r="Y153" s="203" t="n">
        <x:v>50034.1597252893</x:v>
      </x:c>
      <x:c r="Z153" s="193" t="b">
        <x:v>1</x:v>
      </x:c>
      <x:c r="AA153" s="193" t="b">
        <x:v>0</x:v>
      </x:c>
      <x:c r="AB153" s="193" t="b">
        <x:v>1</x:v>
      </x:c>
      <x:c r="AC153" s="193" t="b">
        <x:v>1</x:v>
      </x:c>
      <x:c r="AD153" s="193" t="b">
        <x:v>1</x:v>
      </x:c>
      <x:c r="AE153" s="193" t="b">
        <x:v>0</x:v>
      </x:c>
      <x:c r="AF153" s="193" t="b">
        <x:v>1</x:v>
      </x:c>
      <x:c r="AG153" s="193" t="b">
        <x:v>1</x:v>
      </x:c>
      <x:c r="AH153" s="193" t="b">
        <x:v>1</x:v>
      </x:c>
      <x:c r="AI153" s="193" t="b">
        <x:v>1</x:v>
      </x:c>
      <x:c r="AJ153" s="193" t="b">
        <x:v>0</x:v>
      </x:c>
    </x:row>
    <x:row r="154">
      <x:c r="A154" s="192" t="n">
        <x:v>46048925</x:v>
      </x:c>
      <x:c r="B154" s="192" t="str">
        <x:v>https://www.airbnb.com.br/rooms/46048925</x:v>
      </x:c>
      <x:c r="C154" s="192" t="str">
        <x:v>Apartamento com 3 suítes a 100m do mar</x:v>
      </x:c>
      <x:c r="D154" s="192" t="str">
        <x:v>Meia Praia</x:v>
      </x:c>
      <x:c r="E154" s="192" t="n">
        <x:v>-27.13571</x:v>
      </x:c>
      <x:c r="F154" s="192" t="n">
        <x:v>-48.59369</x:v>
      </x:c>
      <x:c r="G154" s="192" t="str">
        <x:v>apartamento</x:v>
      </x:c>
      <x:c r="H154" s="192" t="n">
        <x:v>3</x:v>
      </x:c>
      <x:c r="I154" s="192" t="n">
        <x:v>3</x:v>
      </x:c>
      <x:c r="J154" s="192" t="n">
        <x:v>3</x:v>
      </x:c>
      <x:c r="K154" s="192" t="n">
        <x:v>8</x:v>
      </x:c>
      <x:c r="L154" s="192" t="n">
        <x:v>11</x:v>
      </x:c>
      <x:c r="M154" s="192" t="n">
        <x:v>5</x:v>
      </x:c>
      <x:c r="N154" s="192" t="n">
        <x:v>300</x:v>
      </x:c>
      <x:c r="O154" s="192" t="n">
        <x:v>27</x:v>
      </x:c>
      <x:c r="P154" s="193" t="b">
        <x:v>0</x:v>
      </x:c>
      <x:c r="Q154" s="193" t="b">
        <x:v>0</x:v>
      </x:c>
      <x:c r="R154" s="193" t="b">
        <x:v>1</x:v>
      </x:c>
      <x:c r="S154" s="193" t="b">
        <x:v>0</x:v>
      </x:c>
      <x:c r="T154" s="192" t="n">
        <x:v>71</x:v>
      </x:c>
      <x:c r="U154" s="192" t="n">
        <x:v>19</x:v>
      </x:c>
      <x:c r="V154" s="200" t="n">
        <x:v>0.2111111111</x:v>
      </x:c>
      <x:c r="W154" s="203" t="n">
        <x:v>910</x:v>
      </x:c>
      <x:c r="X154" s="203" t="n">
        <x:v>17246.5688281115</x:v>
      </x:c>
      <x:c r="Y154" s="203" t="n">
        <x:v>44589.5664910132</x:v>
      </x:c>
      <x:c r="Z154" s="193" t="b">
        <x:v>1</x:v>
      </x:c>
      <x:c r="AA154" s="193" t="b">
        <x:v>0</x:v>
      </x:c>
      <x:c r="AB154" s="193" t="b">
        <x:v>1</x:v>
      </x:c>
      <x:c r="AC154" s="193" t="b">
        <x:v>1</x:v>
      </x:c>
      <x:c r="AD154" s="193" t="b">
        <x:v>1</x:v>
      </x:c>
      <x:c r="AE154" s="193" t="b">
        <x:v>1</x:v>
      </x:c>
      <x:c r="AF154" s="193" t="b">
        <x:v>1</x:v>
      </x:c>
      <x:c r="AG154" s="193" t="b">
        <x:v>1</x:v>
      </x:c>
      <x:c r="AH154" s="193" t="b">
        <x:v>1</x:v>
      </x:c>
      <x:c r="AI154" s="193" t="b">
        <x:v>1</x:v>
      </x:c>
      <x:c r="AJ154" s="193" t="b">
        <x:v>1</x:v>
      </x:c>
    </x:row>
    <x:row r="155">
      <x:c r="A155" s="192" t="n">
        <x:v>1004496327455456400</x:v>
      </x:c>
      <x:c r="B155" s="192" t="str">
        <x:v>https://www.airbnb.com.br/rooms/1004496327455456339</x:v>
      </x:c>
      <x:c r="C155" s="192" t="str">
        <x:v>Perto do mar com seus pets</x:v>
      </x:c>
      <x:c r="D155" s="192" t="str">
        <x:v>Morretes</x:v>
      </x:c>
      <x:c r="E155" s="192" t="n">
        <x:v>-27.1178874969</x:v>
      </x:c>
      <x:c r="F155" s="192" t="n">
        <x:v>-48.6102218628</x:v>
      </x:c>
      <x:c r="G155" s="192" t="str">
        <x:v>apartamento</x:v>
      </x:c>
      <x:c r="H155" s="192" t="n">
        <x:v>2</x:v>
      </x:c>
      <x:c r="I155" s="192" t="n">
        <x:v>2</x:v>
      </x:c>
      <x:c r="J155" s="192" t="n">
        <x:v>3</x:v>
      </x:c>
      <x:c r="K155" s="192" t="n">
        <x:v>6</x:v>
      </x:c>
      <x:c r="L155" s="192" t="n">
        <x:v>16</x:v>
      </x:c>
      <x:c r="M155" s="192" t="n">
        <x:v>5</x:v>
      </x:c>
      <x:c r="N155" s="192" t="n">
        <x:v>300</x:v>
      </x:c>
      <x:c r="O155" s="192" t="n">
        <x:v>39</x:v>
      </x:c>
      <x:c r="P155" s="193" t="b">
        <x:v>0</x:v>
      </x:c>
      <x:c r="Q155" s="193" t="b">
        <x:v>0</x:v>
      </x:c>
      <x:c r="R155" s="193" t="b">
        <x:v>1</x:v>
      </x:c>
      <x:c r="S155" s="193" t="b">
        <x:v>1</x:v>
      </x:c>
      <x:c r="T155" s="192" t="n">
        <x:v>79</x:v>
      </x:c>
      <x:c r="U155" s="192" t="n">
        <x:v>11</x:v>
      </x:c>
      <x:c r="V155" s="200" t="n">
        <x:v>0.1222222222</x:v>
      </x:c>
      <x:c r="W155" s="203" t="n">
        <x:v>353</x:v>
      </x:c>
      <x:c r="X155" s="203" t="n">
        <x:v>3911.3733579136</x:v>
      </x:c>
      <x:c r="Y155" s="203" t="n">
        <x:v>10112.5298691058</x:v>
      </x:c>
      <x:c r="Z155" s="193" t="b">
        <x:v>1</x:v>
      </x:c>
      <x:c r="AA155" s="193" t="b">
        <x:v>0</x:v>
      </x:c>
      <x:c r="AB155" s="193" t="b">
        <x:v>1</x:v>
      </x:c>
      <x:c r="AC155" s="193" t="b">
        <x:v>1</x:v>
      </x:c>
      <x:c r="AD155" s="193" t="b">
        <x:v>1</x:v>
      </x:c>
      <x:c r="AE155" s="193" t="b">
        <x:v>1</x:v>
      </x:c>
      <x:c r="AF155" s="193" t="b">
        <x:v>1</x:v>
      </x:c>
      <x:c r="AG155" s="193" t="b">
        <x:v>0</x:v>
      </x:c>
      <x:c r="AH155" s="193" t="b">
        <x:v>1</x:v>
      </x:c>
      <x:c r="AI155" s="193" t="b">
        <x:v>1</x:v>
      </x:c>
      <x:c r="AJ155" s="193" t="b">
        <x:v>1</x:v>
      </x:c>
    </x:row>
    <x:row r="156">
      <x:c r="A156" s="192" t="n">
        <x:v>673826267743797600</x:v>
      </x:c>
      <x:c r="B156" s="192" t="str">
        <x:v>https://www.airbnb.com.br/rooms/673826267743797671</x:v>
      </x:c>
      <x:c r="C156" s="192" t="str">
        <x:v>Aluguel verão 3 suítes Meia Praia (AL141)</x:v>
      </x:c>
      <x:c r="D156" s="192" t="str">
        <x:v>Meia Praia</x:v>
      </x:c>
      <x:c r="E156" s="192" t="n">
        <x:v>-27.13111</x:v>
      </x:c>
      <x:c r="F156" s="192" t="n">
        <x:v>-48.59955</x:v>
      </x:c>
      <x:c r="G156" s="192" t="str">
        <x:v>apartamento</x:v>
      </x:c>
      <x:c r="H156" s="192" t="n">
        <x:v>3</x:v>
      </x:c>
      <x:c r="I156" s="192" t="n">
        <x:v>4</x:v>
      </x:c>
      <x:c r="J156" s="192" t="n">
        <x:v>3</x:v>
      </x:c>
      <x:c r="K156" s="192" t="n">
        <x:v>8</x:v>
      </x:c>
      <x:c r="L156" s="192" t="n">
        <x:v>14</x:v>
      </x:c>
      <x:c r="M156" s="192" t="n">
        <x:v>4.9299998283</x:v>
      </x:c>
      <x:c r="N156" s="192" t="n">
        <x:v>300</x:v>
      </x:c>
      <x:c r="O156" s="192" t="n">
        <x:v>23</x:v>
      </x:c>
      <x:c r="P156" s="193" t="b">
        <x:v>0</x:v>
      </x:c>
      <x:c r="Q156" s="193" t="b">
        <x:v>0</x:v>
      </x:c>
      <x:c r="R156" s="193" t="b">
        <x:v>1</x:v>
      </x:c>
      <x:c r="S156" s="193" t="b">
        <x:v>1</x:v>
      </x:c>
      <x:c r="T156" s="192" t="n">
        <x:v>27</x:v>
      </x:c>
      <x:c r="U156" s="192" t="n">
        <x:v>63</x:v>
      </x:c>
      <x:c r="V156" s="200" t="n">
        <x:v>0.7</x:v>
      </x:c>
      <x:c r="W156" s="203" t="n">
        <x:v>704</x:v>
      </x:c>
      <x:c r="X156" s="203" t="n">
        <x:v>44970.1852750777</x:v>
      </x:c>
      <x:c r="Y156" s="203" t="n">
        <x:v>116266.6665132737</x:v>
      </x:c>
      <x:c r="Z156" s="193" t="b">
        <x:v>0</x:v>
      </x:c>
      <x:c r="AA156" s="193" t="b">
        <x:v>0</x:v>
      </x:c>
      <x:c r="AB156" s="193" t="b">
        <x:v>1</x:v>
      </x:c>
      <x:c r="AC156" s="193" t="b">
        <x:v>1</x:v>
      </x:c>
      <x:c r="AD156" s="193" t="b">
        <x:v>1</x:v>
      </x:c>
      <x:c r="AE156" s="193" t="b">
        <x:v>1</x:v>
      </x:c>
      <x:c r="AF156" s="193" t="b">
        <x:v>1</x:v>
      </x:c>
      <x:c r="AG156" s="193" t="b">
        <x:v>1</x:v>
      </x:c>
      <x:c r="AH156" s="193" t="b">
        <x:v>1</x:v>
      </x:c>
      <x:c r="AI156" s="193" t="b">
        <x:v>1</x:v>
      </x:c>
      <x:c r="AJ156" s="193" t="b">
        <x:v>1</x:v>
      </x:c>
    </x:row>
    <x:row r="157">
      <x:c r="A157" s="192" t="n">
        <x:v>1147824179020677600</x:v>
      </x:c>
      <x:c r="B157" s="192" t="str">
        <x:v>https://www.airbnb.com.br/rooms/1147824179020677628</x:v>
      </x:c>
      <x:c r="C157" s="192" t="str">
        <x:v>manhattan Flats - itapema</x:v>
      </x:c>
      <x:c r="D157" s="192" t="str">
        <x:v>Centro</x:v>
      </x:c>
      <x:c r="E157" s="192" t="n">
        <x:v>-27.0928974152</x:v>
      </x:c>
      <x:c r="F157" s="192" t="n">
        <x:v>-48.6132164001</x:v>
      </x:c>
      <x:c r="G157" s="192" t="str">
        <x:v>apartamento</x:v>
      </x:c>
      <x:c r="H157" s="192" t="n">
        <x:v>1</x:v>
      </x:c>
      <x:c r="I157" s="192" t="n">
        <x:v>1</x:v>
      </x:c>
      <x:c r="J157" s="192" t="n">
        <x:v>2</x:v>
      </x:c>
      <x:c r="K157" s="192" t="n">
        <x:v>4</x:v>
      </x:c>
      <x:c r="L157" s="192" t="n">
        <x:v>11</x:v>
      </x:c>
      <x:c r="M157" s="192" t="n">
        <x:v>5</x:v>
      </x:c>
      <x:c r="N157" s="192" t="n">
        <x:v>140</x:v>
      </x:c>
      <x:c r="O157" s="192" t="n">
        <x:v>0</x:v>
      </x:c>
      <x:c r="P157" s="193" t="b">
        <x:v>0</x:v>
      </x:c>
      <x:c r="Q157" s="193" t="b">
        <x:v>0</x:v>
      </x:c>
      <x:c r="R157" s="193" t="b">
        <x:v>1</x:v>
      </x:c>
      <x:c r="S157" s="193" t="b">
        <x:v>0</x:v>
      </x:c>
      <x:c r="T157" s="192" t="n">
        <x:v>42</x:v>
      </x:c>
      <x:c r="U157" s="192" t="n">
        <x:v>48</x:v>
      </x:c>
      <x:c r="V157" s="200" t="n">
        <x:v>0.5333333333</x:v>
      </x:c>
      <x:c r="W157" s="203" t="n">
        <x:v>440</x:v>
      </x:c>
      <x:c r="X157" s="203" t="n">
        <x:v>21737.7926347269</x:v>
      </x:c>
      <x:c r="Y157" s="203" t="n">
        <x:v>56201.2513743667</x:v>
      </x:c>
      <x:c r="Z157" s="193" t="b">
        <x:v>1</x:v>
      </x:c>
      <x:c r="AA157" s="193" t="b">
        <x:v>1</x:v>
      </x:c>
      <x:c r="AB157" s="193" t="b">
        <x:v>1</x:v>
      </x:c>
      <x:c r="AC157" s="193" t="b">
        <x:v>1</x:v>
      </x:c>
      <x:c r="AD157" s="193" t="b">
        <x:v>0</x:v>
      </x:c>
      <x:c r="AE157" s="193" t="b">
        <x:v>1</x:v>
      </x:c>
      <x:c r="AF157" s="193" t="b">
        <x:v>1</x:v>
      </x:c>
      <x:c r="AG157" s="193" t="b">
        <x:v>1</x:v>
      </x:c>
      <x:c r="AH157" s="193" t="b">
        <x:v>1</x:v>
      </x:c>
      <x:c r="AI157" s="193" t="b">
        <x:v>1</x:v>
      </x:c>
      <x:c r="AJ157" s="193" t="b">
        <x:v>0</x:v>
      </x:c>
    </x:row>
    <x:row r="158">
      <x:c r="A158" s="192" t="n">
        <x:v>1045520246239520900</x:v>
      </x:c>
      <x:c r="B158" s="192" t="str">
        <x:v>https://www.airbnb.com.br/rooms/1045520246239520927</x:v>
      </x:c>
      <x:c r="C158" s="192" t="str">
        <x:v>Apartamento ideal para  Família Ref 1281</x:v>
      </x:c>
      <x:c r="D158" s="192" t="str">
        <x:v>Centro</x:v>
      </x:c>
      <x:c r="E158" s="192" t="n">
        <x:v>-27.1007347107</x:v>
      </x:c>
      <x:c r="F158" s="192" t="n">
        <x:v>-48.6165771484</x:v>
      </x:c>
      <x:c r="G158" s="192" t="str">
        <x:v>apartamento</x:v>
      </x:c>
      <x:c r="H158" s="192" t="n">
        <x:v>3</x:v>
      </x:c>
      <x:c r="I158" s="192" t="n">
        <x:v>3</x:v>
      </x:c>
      <x:c r="J158" s="192" t="n">
        <x:v>3</x:v>
      </x:c>
      <x:c r="K158" s="192" t="n">
        <x:v>6</x:v>
      </x:c>
      <x:c r="L158" s="192" t="n">
        <x:v>0</x:v>
      </x:c>
      <x:c r="M158" s="192"/>
      <x:c r="N158" s="192" t="n">
        <x:v>400</x:v>
      </x:c>
      <x:c r="O158" s="192" t="n">
        <x:v>0</x:v>
      </x:c>
      <x:c r="P158" s="193" t="b">
        <x:v>0</x:v>
      </x:c>
      <x:c r="Q158" s="193" t="b">
        <x:v>0</x:v>
      </x:c>
      <x:c r="R158" s="193" t="b">
        <x:v>0</x:v>
      </x:c>
      <x:c r="S158" s="193" t="b">
        <x:v>0</x:v>
      </x:c>
      <x:c r="T158" s="192" t="n">
        <x:v>81</x:v>
      </x:c>
      <x:c r="U158" s="192" t="n">
        <x:v>9</x:v>
      </x:c>
      <x:c r="V158" s="200" t="n">
        <x:v>0.1</x:v>
      </x:c>
      <x:c r="W158" s="203" t="n">
        <x:v>957.1429</x:v>
      </x:c>
      <x:c r="X158" s="203" t="n">
        <x:v>8720.4421085599</x:v>
      </x:c>
      <x:c r="Y158" s="203" t="n">
        <x:v>22545.9763681726</x:v>
      </x:c>
      <x:c r="Z158" s="193" t="b">
        <x:v>1</x:v>
      </x:c>
      <x:c r="AA158" s="193" t="b">
        <x:v>0</x:v>
      </x:c>
      <x:c r="AB158" s="193" t="b">
        <x:v>1</x:v>
      </x:c>
      <x:c r="AC158" s="193" t="b">
        <x:v>1</x:v>
      </x:c>
      <x:c r="AD158" s="193" t="b">
        <x:v>0</x:v>
      </x:c>
      <x:c r="AE158" s="193" t="b">
        <x:v>1</x:v>
      </x:c>
      <x:c r="AF158" s="193" t="b">
        <x:v>1</x:v>
      </x:c>
      <x:c r="AG158" s="193" t="b">
        <x:v>1</x:v>
      </x:c>
      <x:c r="AH158" s="193" t="b">
        <x:v>1</x:v>
      </x:c>
      <x:c r="AI158" s="193" t="b">
        <x:v>1</x:v>
      </x:c>
      <x:c r="AJ158" s="193" t="b">
        <x:v>1</x:v>
      </x:c>
    </x:row>
    <x:row r="159">
      <x:c r="A159" s="192" t="n">
        <x:v>20943549</x:v>
      </x:c>
      <x:c r="B159" s="192" t="str">
        <x:v>https://www.airbnb.com.br/rooms/20943549</x:v>
      </x:c>
      <x:c r="C159" s="192" t="str">
        <x:v>Apto. completo a 2 min da praia - Meia Praia</x:v>
      </x:c>
      <x:c r="D159" s="192" t="str">
        <x:v>Meia Praia</x:v>
      </x:c>
      <x:c r="E159" s="192" t="n">
        <x:v>-27.13207</x:v>
      </x:c>
      <x:c r="F159" s="192" t="n">
        <x:v>-48.59984</x:v>
      </x:c>
      <x:c r="G159" s="192" t="str">
        <x:v>apartamento</x:v>
      </x:c>
      <x:c r="H159" s="192" t="n">
        <x:v>2</x:v>
      </x:c>
      <x:c r="I159" s="192" t="n">
        <x:v>2</x:v>
      </x:c>
      <x:c r="J159" s="192" t="n">
        <x:v>2</x:v>
      </x:c>
      <x:c r="K159" s="192" t="n">
        <x:v>6</x:v>
      </x:c>
      <x:c r="L159" s="192" t="n">
        <x:v>27</x:v>
      </x:c>
      <x:c r="M159" s="192" t="n">
        <x:v>4.9600000381</x:v>
      </x:c>
      <x:c r="N159" s="192" t="n">
        <x:v>220</x:v>
      </x:c>
      <x:c r="O159" s="192" t="n">
        <x:v>24</x:v>
      </x:c>
      <x:c r="P159" s="193" t="b">
        <x:v>0</x:v>
      </x:c>
      <x:c r="Q159" s="193" t="b">
        <x:v>0</x:v>
      </x:c>
      <x:c r="R159" s="193" t="b">
        <x:v>1</x:v>
      </x:c>
      <x:c r="S159" s="193" t="b">
        <x:v>0</x:v>
      </x:c>
      <x:c r="T159" s="192" t="n">
        <x:v>57</x:v>
      </x:c>
      <x:c r="U159" s="192" t="n">
        <x:v>33</x:v>
      </x:c>
      <x:c r="V159" s="200" t="n">
        <x:v>0.3666666667</x:v>
      </x:c>
      <x:c r="W159" s="203" t="n">
        <x:v>400</x:v>
      </x:c>
      <x:c r="X159" s="203" t="n">
        <x:v>13367.2805295534</x:v>
      </x:c>
      <x:c r="Y159" s="203" t="n">
        <x:v>34559.9898691162</x:v>
      </x:c>
      <x:c r="Z159" s="193" t="b">
        <x:v>1</x:v>
      </x:c>
      <x:c r="AA159" s="193" t="b">
        <x:v>0</x:v>
      </x:c>
      <x:c r="AB159" s="193" t="b">
        <x:v>1</x:v>
      </x:c>
      <x:c r="AC159" s="193" t="b">
        <x:v>1</x:v>
      </x:c>
      <x:c r="AD159" s="193" t="b">
        <x:v>1</x:v>
      </x:c>
      <x:c r="AE159" s="193" t="b">
        <x:v>0</x:v>
      </x:c>
      <x:c r="AF159" s="193" t="b">
        <x:v>1</x:v>
      </x:c>
      <x:c r="AG159" s="193" t="b">
        <x:v>1</x:v>
      </x:c>
      <x:c r="AH159" s="193" t="b">
        <x:v>1</x:v>
      </x:c>
      <x:c r="AI159" s="193" t="b">
        <x:v>1</x:v>
      </x:c>
      <x:c r="AJ159" s="193" t="b">
        <x:v>1</x:v>
      </x:c>
    </x:row>
    <x:row r="160">
      <x:c r="A160" s="192" t="n">
        <x:v>47213093</x:v>
      </x:c>
      <x:c r="B160" s="192" t="str">
        <x:v>https://www.airbnb.com.br/rooms/47213093</x:v>
      </x:c>
      <x:c r="C160" s="192" t="str">
        <x:v>Apartamento quadra mar!</x:v>
      </x:c>
      <x:c r="D160" s="192" t="str">
        <x:v>Meia Praia</x:v>
      </x:c>
      <x:c r="E160" s="192" t="n">
        <x:v>-27.13907</x:v>
      </x:c>
      <x:c r="F160" s="192" t="n">
        <x:v>-48.59275</x:v>
      </x:c>
      <x:c r="G160" s="192" t="str">
        <x:v>apartamento</x:v>
      </x:c>
      <x:c r="H160" s="192" t="n">
        <x:v>2</x:v>
      </x:c>
      <x:c r="I160" s="192" t="n">
        <x:v>2</x:v>
      </x:c>
      <x:c r="J160" s="192" t="n">
        <x:v>2</x:v>
      </x:c>
      <x:c r="K160" s="192" t="n">
        <x:v>4</x:v>
      </x:c>
      <x:c r="L160" s="192" t="n">
        <x:v>14</x:v>
      </x:c>
      <x:c r="M160" s="192" t="n">
        <x:v>4.9299998283</x:v>
      </x:c>
      <x:c r="N160" s="192" t="n">
        <x:v>250</x:v>
      </x:c>
      <x:c r="O160" s="192" t="n">
        <x:v>17</x:v>
      </x:c>
      <x:c r="P160" s="193" t="b">
        <x:v>1</x:v>
      </x:c>
      <x:c r="Q160" s="193" t="b">
        <x:v>0</x:v>
      </x:c>
      <x:c r="R160" s="193" t="b">
        <x:v>0</x:v>
      </x:c>
      <x:c r="S160" s="193" t="b">
        <x:v>1</x:v>
      </x:c>
      <x:c r="T160" s="192" t="n">
        <x:v>22</x:v>
      </x:c>
      <x:c r="U160" s="192" t="n">
        <x:v>68</x:v>
      </x:c>
      <x:c r="V160" s="200" t="n">
        <x:v>0.7555555556</x:v>
      </x:c>
      <x:c r="W160" s="203" t="n">
        <x:v>290.5</x:v>
      </x:c>
      <x:c r="X160" s="203" t="n">
        <x:v>19768.3817555368</x:v>
      </x:c>
      <x:c r="Y160" s="203" t="n">
        <x:v>51109.5036637941</x:v>
      </x:c>
      <x:c r="Z160" s="193" t="b">
        <x:v>1</x:v>
      </x:c>
      <x:c r="AA160" s="193" t="b">
        <x:v>0</x:v>
      </x:c>
      <x:c r="AB160" s="193" t="b">
        <x:v>1</x:v>
      </x:c>
      <x:c r="AC160" s="193" t="b">
        <x:v>1</x:v>
      </x:c>
      <x:c r="AD160" s="193" t="b">
        <x:v>1</x:v>
      </x:c>
      <x:c r="AE160" s="193" t="b">
        <x:v>0</x:v>
      </x:c>
      <x:c r="AF160" s="193" t="b">
        <x:v>0</x:v>
      </x:c>
      <x:c r="AG160" s="193" t="b">
        <x:v>1</x:v>
      </x:c>
      <x:c r="AH160" s="193" t="b">
        <x:v>1</x:v>
      </x:c>
      <x:c r="AI160" s="193" t="b">
        <x:v>1</x:v>
      </x:c>
      <x:c r="AJ160" s="193" t="b">
        <x:v>1</x:v>
      </x:c>
    </x:row>
    <x:row r="161">
      <x:c r="A161" s="192" t="n">
        <x:v>53474066</x:v>
      </x:c>
      <x:c r="B161" s="192" t="str">
        <x:v>https://www.airbnb.com.br/rooms/53474066</x:v>
      </x:c>
      <x:c r="C161" s="192" t="str">
        <x:v>Apartamento em Itapema, de frente para o mar</x:v>
      </x:c>
      <x:c r="D161" s="192" t="str">
        <x:v>Centro</x:v>
      </x:c>
      <x:c r="E161" s="192" t="n">
        <x:v>-27.10185</x:v>
      </x:c>
      <x:c r="F161" s="192" t="n">
        <x:v>-48.61511</x:v>
      </x:c>
      <x:c r="G161" s="192" t="str">
        <x:v>apartamento</x:v>
      </x:c>
      <x:c r="H161" s="192" t="n">
        <x:v>3</x:v>
      </x:c>
      <x:c r="I161" s="192" t="n">
        <x:v>2</x:v>
      </x:c>
      <x:c r="J161" s="192" t="n">
        <x:v>3</x:v>
      </x:c>
      <x:c r="K161" s="192" t="n">
        <x:v>7</x:v>
      </x:c>
      <x:c r="L161" s="192" t="n">
        <x:v>15</x:v>
      </x:c>
      <x:c r="M161" s="192" t="n">
        <x:v>4.6700000763</x:v>
      </x:c>
      <x:c r="N161" s="192" t="n">
        <x:v>200</x:v>
      </x:c>
      <x:c r="O161" s="192" t="n">
        <x:v>21</x:v>
      </x:c>
      <x:c r="P161" s="193" t="b">
        <x:v>0</x:v>
      </x:c>
      <x:c r="Q161" s="193" t="b">
        <x:v>0</x:v>
      </x:c>
      <x:c r="R161" s="193" t="b">
        <x:v>0</x:v>
      </x:c>
      <x:c r="S161" s="193" t="b">
        <x:v>0</x:v>
      </x:c>
      <x:c r="T161" s="192" t="n">
        <x:v>38</x:v>
      </x:c>
      <x:c r="U161" s="192" t="n">
        <x:v>52</x:v>
      </x:c>
      <x:c r="V161" s="200" t="n">
        <x:v>0.5777777778</x:v>
      </x:c>
      <x:c r="W161" s="203" t="n">
        <x:v>850</x:v>
      </x:c>
      <x:c r="X161" s="203" t="n">
        <x:v>45767.1369951216</x:v>
      </x:c>
      <x:c r="Y161" s="203" t="n">
        <x:v>118327.1187728039</x:v>
      </x:c>
      <x:c r="Z161" s="193" t="b">
        <x:v>1</x:v>
      </x:c>
      <x:c r="AA161" s="193" t="b">
        <x:v>0</x:v>
      </x:c>
      <x:c r="AB161" s="193" t="b">
        <x:v>1</x:v>
      </x:c>
      <x:c r="AC161" s="193" t="b">
        <x:v>1</x:v>
      </x:c>
      <x:c r="AD161" s="193" t="b">
        <x:v>0</x:v>
      </x:c>
      <x:c r="AE161" s="193" t="b">
        <x:v>1</x:v>
      </x:c>
      <x:c r="AF161" s="193" t="b">
        <x:v>1</x:v>
      </x:c>
      <x:c r="AG161" s="193" t="b">
        <x:v>1</x:v>
      </x:c>
      <x:c r="AH161" s="193" t="b">
        <x:v>1</x:v>
      </x:c>
      <x:c r="AI161" s="193" t="b">
        <x:v>1</x:v>
      </x:c>
      <x:c r="AJ161" s="193" t="b">
        <x:v>0</x:v>
      </x:c>
    </x:row>
    <x:row r="162">
      <x:c r="A162" s="192" t="n">
        <x:v>1249385754807434800</x:v>
      </x:c>
      <x:c r="B162" s="192" t="str">
        <x:v>https://www.airbnb.com.br/rooms/1249385754807434824</x:v>
      </x:c>
      <x:c r="C162" s="192" t="str">
        <x:v>Apto vista mar a 280m da Praia em Itapema MHF1604</x:v>
      </x:c>
      <x:c r="D162" s="192" t="str">
        <x:v>Centro</x:v>
      </x:c>
      <x:c r="E162" s="192" t="n">
        <x:v>-27.0932554331</x:v>
      </x:c>
      <x:c r="F162" s="192" t="n">
        <x:v>-48.6120034003</x:v>
      </x:c>
      <x:c r="G162" s="192" t="str">
        <x:v>apartamento</x:v>
      </x:c>
      <x:c r="H162" s="192" t="n">
        <x:v>1</x:v>
      </x:c>
      <x:c r="I162" s="192" t="n">
        <x:v>1</x:v>
      </x:c>
      <x:c r="J162" s="192" t="n">
        <x:v>2</x:v>
      </x:c>
      <x:c r="K162" s="192" t="n">
        <x:v>4</x:v>
      </x:c>
      <x:c r="L162" s="192" t="n">
        <x:v>7</x:v>
      </x:c>
      <x:c r="M162" s="192" t="n">
        <x:v>4.5700001717</x:v>
      </x:c>
      <x:c r="N162" s="192" t="n">
        <x:v>190</x:v>
      </x:c>
      <x:c r="O162" s="192" t="n">
        <x:v>0</x:v>
      </x:c>
      <x:c r="P162" s="193" t="b">
        <x:v>1</x:v>
      </x:c>
      <x:c r="Q162" s="193" t="b">
        <x:v>1</x:v>
      </x:c>
      <x:c r="R162" s="193" t="b">
        <x:v>0</x:v>
      </x:c>
      <x:c r="S162" s="193" t="b">
        <x:v>0</x:v>
      </x:c>
      <x:c r="T162" s="192" t="n">
        <x:v>63</x:v>
      </x:c>
      <x:c r="U162" s="192" t="n">
        <x:v>27</x:v>
      </x:c>
      <x:c r="V162" s="200" t="n">
        <x:v>0.3</x:v>
      </x:c>
      <x:c r="W162" s="203" t="n">
        <x:v>471</x:v>
      </x:c>
      <x:c r="X162" s="203" t="n">
        <x:v>12761.1687676285</x:v>
      </x:c>
      <x:c r="Y162" s="203" t="n">
        <x:v>32992.9384179729</x:v>
      </x:c>
      <x:c r="Z162" s="193" t="b">
        <x:v>1</x:v>
      </x:c>
      <x:c r="AA162" s="193" t="b">
        <x:v>1</x:v>
      </x:c>
      <x:c r="AB162" s="193" t="b">
        <x:v>1</x:v>
      </x:c>
      <x:c r="AC162" s="193" t="b">
        <x:v>1</x:v>
      </x:c>
      <x:c r="AD162" s="193" t="b">
        <x:v>1</x:v>
      </x:c>
      <x:c r="AE162" s="193" t="b">
        <x:v>1</x:v>
      </x:c>
      <x:c r="AF162" s="193" t="b">
        <x:v>1</x:v>
      </x:c>
      <x:c r="AG162" s="193" t="b">
        <x:v>1</x:v>
      </x:c>
      <x:c r="AH162" s="193" t="b">
        <x:v>1</x:v>
      </x:c>
      <x:c r="AI162" s="193" t="b">
        <x:v>1</x:v>
      </x:c>
      <x:c r="AJ162" s="193" t="b">
        <x:v>0</x:v>
      </x:c>
    </x:row>
    <x:row r="163">
      <x:c r="A163" s="192" t="n">
        <x:v>50958684</x:v>
      </x:c>
      <x:c r="B163" s="192" t="str">
        <x:v>https://www.airbnb.com.br/rooms/50958684</x:v>
      </x:c>
      <x:c r="C163" s="192" t="str">
        <x:v>Apartamento luxuoso,novo, 3 suítes quadra do mar.</x:v>
      </x:c>
      <x:c r="D163" s="192" t="str">
        <x:v>Meia Praia</x:v>
      </x:c>
      <x:c r="E163" s="192" t="n">
        <x:v>-27.13458</x:v>
      </x:c>
      <x:c r="F163" s="192" t="n">
        <x:v>-48.59693</x:v>
      </x:c>
      <x:c r="G163" s="192" t="str">
        <x:v>apartamento</x:v>
      </x:c>
      <x:c r="H163" s="192" t="n">
        <x:v>3</x:v>
      </x:c>
      <x:c r="I163" s="192" t="n">
        <x:v>3</x:v>
      </x:c>
      <x:c r="J163" s="192" t="n">
        <x:v>4</x:v>
      </x:c>
      <x:c r="K163" s="192" t="n">
        <x:v>8</x:v>
      </x:c>
      <x:c r="L163" s="192" t="n">
        <x:v>42</x:v>
      </x:c>
      <x:c r="M163" s="192" t="n">
        <x:v>4.9800000191</x:v>
      </x:c>
      <x:c r="N163" s="192" t="n">
        <x:v>495</x:v>
      </x:c>
      <x:c r="O163" s="192" t="n">
        <x:v>67</x:v>
      </x:c>
      <x:c r="P163" s="193" t="b">
        <x:v>1</x:v>
      </x:c>
      <x:c r="Q163" s="193" t="b">
        <x:v>0</x:v>
      </x:c>
      <x:c r="R163" s="193" t="b">
        <x:v>1</x:v>
      </x:c>
      <x:c r="S163" s="193" t="b">
        <x:v>1</x:v>
      </x:c>
      <x:c r="T163" s="192" t="n">
        <x:v>66</x:v>
      </x:c>
      <x:c r="U163" s="192" t="n">
        <x:v>24</x:v>
      </x:c>
      <x:c r="V163" s="200" t="n">
        <x:v>0.2666666667</x:v>
      </x:c>
      <x:c r="W163" s="203" t="n">
        <x:v>920</x:v>
      </x:c>
      <x:c r="X163" s="203" t="n">
        <x:v>21994.1343210067</x:v>
      </x:c>
      <x:c r="Y163" s="203" t="n">
        <x:v>56864.001442436</x:v>
      </x:c>
      <x:c r="Z163" s="193" t="b">
        <x:v>1</x:v>
      </x:c>
      <x:c r="AA163" s="193" t="b">
        <x:v>0</x:v>
      </x:c>
      <x:c r="AB163" s="193" t="b">
        <x:v>1</x:v>
      </x:c>
      <x:c r="AC163" s="193" t="b">
        <x:v>1</x:v>
      </x:c>
      <x:c r="AD163" s="193" t="b">
        <x:v>1</x:v>
      </x:c>
      <x:c r="AE163" s="193" t="b">
        <x:v>1</x:v>
      </x:c>
      <x:c r="AF163" s="193" t="b">
        <x:v>1</x:v>
      </x:c>
      <x:c r="AG163" s="193" t="b">
        <x:v>1</x:v>
      </x:c>
      <x:c r="AH163" s="193" t="b">
        <x:v>1</x:v>
      </x:c>
      <x:c r="AI163" s="193" t="b">
        <x:v>1</x:v>
      </x:c>
      <x:c r="AJ163" s="193" t="b">
        <x:v>0</x:v>
      </x:c>
    </x:row>
    <x:row r="164">
      <x:c r="A164" s="192" t="n">
        <x:v>34218930</x:v>
      </x:c>
      <x:c r="B164" s="192" t="str">
        <x:v>https://www.airbnb.com.br/rooms/34218930</x:v>
      </x:c>
      <x:c r="C164" s="192" t="str">
        <x:v>Lindo 3 suítes aluguel temporada Meia Praia! *047</x:v>
      </x:c>
      <x:c r="D164" s="192" t="str">
        <x:v>Meia Praia</x:v>
      </x:c>
      <x:c r="E164" s="192" t="n">
        <x:v>-27.13172</x:v>
      </x:c>
      <x:c r="F164" s="192" t="n">
        <x:v>-48.60031</x:v>
      </x:c>
      <x:c r="G164" s="192" t="str">
        <x:v>apartamento</x:v>
      </x:c>
      <x:c r="H164" s="192" t="n">
        <x:v>3</x:v>
      </x:c>
      <x:c r="I164" s="192" t="n">
        <x:v>3</x:v>
      </x:c>
      <x:c r="J164" s="192" t="n">
        <x:v>5</x:v>
      </x:c>
      <x:c r="K164" s="192" t="n">
        <x:v>8</x:v>
      </x:c>
      <x:c r="L164" s="192" t="n">
        <x:v>20</x:v>
      </x:c>
      <x:c r="M164" s="192" t="n">
        <x:v>4.9000000954</x:v>
      </x:c>
      <x:c r="N164" s="192" t="n">
        <x:v>300</x:v>
      </x:c>
      <x:c r="O164" s="192" t="n">
        <x:v>63</x:v>
      </x:c>
      <x:c r="P164" s="193" t="b">
        <x:v>0</x:v>
      </x:c>
      <x:c r="Q164" s="193" t="b">
        <x:v>0</x:v>
      </x:c>
      <x:c r="R164" s="193" t="b">
        <x:v>0</x:v>
      </x:c>
      <x:c r="S164" s="193" t="b">
        <x:v>1</x:v>
      </x:c>
      <x:c r="T164" s="192" t="n">
        <x:v>58</x:v>
      </x:c>
      <x:c r="U164" s="192" t="n">
        <x:v>32</x:v>
      </x:c>
      <x:c r="V164" s="200" t="n">
        <x:v>0.3555555556</x:v>
      </x:c>
      <x:c r="W164" s="203" t="n">
        <x:v>570</x:v>
      </x:c>
      <x:c r="X164" s="203" t="n">
        <x:v>18021.8680135338</x:v>
      </x:c>
      <x:c r="Y164" s="203" t="n">
        <x:v>46594.0379266572</x:v>
      </x:c>
      <x:c r="Z164" s="193" t="b">
        <x:v>1</x:v>
      </x:c>
      <x:c r="AA164" s="193" t="b">
        <x:v>0</x:v>
      </x:c>
      <x:c r="AB164" s="193" t="b">
        <x:v>1</x:v>
      </x:c>
      <x:c r="AC164" s="193" t="b">
        <x:v>1</x:v>
      </x:c>
      <x:c r="AD164" s="193" t="b">
        <x:v>1</x:v>
      </x:c>
      <x:c r="AE164" s="193" t="b">
        <x:v>1</x:v>
      </x:c>
      <x:c r="AF164" s="193" t="b">
        <x:v>1</x:v>
      </x:c>
      <x:c r="AG164" s="193" t="b">
        <x:v>1</x:v>
      </x:c>
      <x:c r="AH164" s="193" t="b">
        <x:v>1</x:v>
      </x:c>
      <x:c r="AI164" s="193" t="b">
        <x:v>1</x:v>
      </x:c>
      <x:c r="AJ164" s="193" t="b">
        <x:v>1</x:v>
      </x:c>
    </x:row>
    <x:row r="165">
      <x:c r="A165" s="192" t="n">
        <x:v>772706520794806800</x:v>
      </x:c>
      <x:c r="B165" s="192" t="str">
        <x:v>https://www.airbnb.com.br/rooms/772706520794806760</x:v>
      </x:c>
      <x:c r="C165" s="192" t="str">
        <x:v>Studio Recanto Beach Itapema</x:v>
      </x:c>
      <x:c r="D165" s="192" t="str">
        <x:v>Varzea</x:v>
      </x:c>
      <x:c r="E165" s="192" t="n">
        <x:v>-27.0970001221</x:v>
      </x:c>
      <x:c r="F165" s="192" t="n">
        <x:v>-48.6279983521</x:v>
      </x:c>
      <x:c r="G165" s="192" t="str">
        <x:v>casa</x:v>
      </x:c>
      <x:c r="H165" s="192" t="n">
        <x:v>1</x:v>
      </x:c>
      <x:c r="I165" s="192" t="n">
        <x:v>1</x:v>
      </x:c>
      <x:c r="J165" s="192" t="n">
        <x:v>4</x:v>
      </x:c>
      <x:c r="K165" s="192" t="n">
        <x:v>4</x:v>
      </x:c>
      <x:c r="L165" s="192" t="n">
        <x:v>19</x:v>
      </x:c>
      <x:c r="M165" s="192" t="n">
        <x:v>5</x:v>
      </x:c>
      <x:c r="N165" s="192" t="n">
        <x:v>50</x:v>
      </x:c>
      <x:c r="O165" s="192" t="n">
        <x:v>15</x:v>
      </x:c>
      <x:c r="P165" s="193" t="b">
        <x:v>1</x:v>
      </x:c>
      <x:c r="Q165" s="193" t="b">
        <x:v>0</x:v>
      </x:c>
      <x:c r="R165" s="193" t="b">
        <x:v>1</x:v>
      </x:c>
      <x:c r="S165" s="193" t="b">
        <x:v>1</x:v>
      </x:c>
      <x:c r="T165" s="192" t="n">
        <x:v>9</x:v>
      </x:c>
      <x:c r="U165" s="192" t="n">
        <x:v>81</x:v>
      </x:c>
      <x:c r="V165" s="200" t="n">
        <x:v>0.9</x:v>
      </x:c>
      <x:c r="W165" s="203" t="n">
        <x:v>450</x:v>
      </x:c>
      <x:c r="X165" s="203" t="n">
        <x:v>36404.3096414301</x:v>
      </x:c>
      <x:c r="Y165" s="203" t="n">
        <x:v>94120.3088854474</x:v>
      </x:c>
      <x:c r="Z165" s="193" t="b">
        <x:v>0</x:v>
      </x:c>
      <x:c r="AA165" s="193" t="b">
        <x:v>0</x:v>
      </x:c>
      <x:c r="AB165" s="193" t="b">
        <x:v>1</x:v>
      </x:c>
      <x:c r="AC165" s="193" t="b">
        <x:v>1</x:v>
      </x:c>
      <x:c r="AD165" s="193" t="b">
        <x:v>0</x:v>
      </x:c>
      <x:c r="AE165" s="193" t="b">
        <x:v>0</x:v>
      </x:c>
      <x:c r="AF165" s="193" t="b">
        <x:v>1</x:v>
      </x:c>
      <x:c r="AG165" s="193" t="b">
        <x:v>1</x:v>
      </x:c>
      <x:c r="AH165" s="193" t="b">
        <x:v>1</x:v>
      </x:c>
      <x:c r="AI165" s="193" t="b">
        <x:v>1</x:v>
      </x:c>
      <x:c r="AJ165" s="193" t="b">
        <x:v>1</x:v>
      </x:c>
    </x:row>
    <x:row r="166">
      <x:c r="A166" s="192" t="n">
        <x:v>48699117</x:v>
      </x:c>
      <x:c r="B166" s="192" t="str">
        <x:v>https://www.airbnb.com.br/rooms/48699117</x:v>
      </x:c>
      <x:c r="C166" s="192" t="str">
        <x:v>Apartamento Meia Praia</x:v>
      </x:c>
      <x:c r="D166" s="192" t="str">
        <x:v>Meia Praia</x:v>
      </x:c>
      <x:c r="E166" s="192" t="n">
        <x:v>-27.13706</x:v>
      </x:c>
      <x:c r="F166" s="192" t="n">
        <x:v>-48.59403</x:v>
      </x:c>
      <x:c r="G166" s="192" t="str">
        <x:v>apartamento</x:v>
      </x:c>
      <x:c r="H166" s="192" t="n">
        <x:v>2</x:v>
      </x:c>
      <x:c r="I166" s="192" t="n">
        <x:v>2</x:v>
      </x:c>
      <x:c r="J166" s="192" t="n">
        <x:v>5</x:v>
      </x:c>
      <x:c r="K166" s="192" t="n">
        <x:v>6</x:v>
      </x:c>
      <x:c r="L166" s="192" t="n">
        <x:v>24</x:v>
      </x:c>
      <x:c r="M166" s="192" t="n">
        <x:v>4.9200000763</x:v>
      </x:c>
      <x:c r="N166" s="192" t="n">
        <x:v>250</x:v>
      </x:c>
      <x:c r="O166" s="192" t="n">
        <x:v>16</x:v>
      </x:c>
      <x:c r="P166" s="193" t="b">
        <x:v>1</x:v>
      </x:c>
      <x:c r="Q166" s="193" t="b">
        <x:v>0</x:v>
      </x:c>
      <x:c r="R166" s="193" t="b">
        <x:v>1</x:v>
      </x:c>
      <x:c r="S166" s="193" t="b">
        <x:v>1</x:v>
      </x:c>
      <x:c r="T166" s="192" t="n">
        <x:v>39</x:v>
      </x:c>
      <x:c r="U166" s="192" t="n">
        <x:v>51</x:v>
      </x:c>
      <x:c r="V166" s="200" t="n">
        <x:v>0.5666666667</x:v>
      </x:c>
      <x:c r="W166" s="203" t="n">
        <x:v>420</x:v>
      </x:c>
      <x:c r="X166" s="203" t="n">
        <x:v>22289.3923285704</x:v>
      </x:c>
      <x:c r="Y166" s="203" t="n">
        <x:v>57627.366416158</x:v>
      </x:c>
      <x:c r="Z166" s="193" t="b">
        <x:v>0</x:v>
      </x:c>
      <x:c r="AA166" s="193" t="b">
        <x:v>0</x:v>
      </x:c>
      <x:c r="AB166" s="193" t="b">
        <x:v>1</x:v>
      </x:c>
      <x:c r="AC166" s="193" t="b">
        <x:v>1</x:v>
      </x:c>
      <x:c r="AD166" s="193" t="b">
        <x:v>0</x:v>
      </x:c>
      <x:c r="AE166" s="193" t="b">
        <x:v>0</x:v>
      </x:c>
      <x:c r="AF166" s="193" t="b">
        <x:v>1</x:v>
      </x:c>
      <x:c r="AG166" s="193" t="b">
        <x:v>1</x:v>
      </x:c>
      <x:c r="AH166" s="193" t="b">
        <x:v>1</x:v>
      </x:c>
      <x:c r="AI166" s="193" t="b">
        <x:v>1</x:v>
      </x:c>
      <x:c r="AJ166" s="193" t="b">
        <x:v>0</x:v>
      </x:c>
    </x:row>
    <x:row r="167">
      <x:c r="A167" s="192" t="n">
        <x:v>732572931172602600</x:v>
      </x:c>
      <x:c r="B167" s="192" t="str">
        <x:v>https://www.airbnb.com.br/rooms/732572931172602640</x:v>
      </x:c>
      <x:c r="C167" s="192" t="str">
        <x:v>Condomínio vista Atlântico - com cama massageadora</x:v>
      </x:c>
      <x:c r="D167" s="192" t="str">
        <x:v>Alto Sao Bento</x:v>
      </x:c>
      <x:c r="E167" s="192" t="n">
        <x:v>-27.08693</x:v>
      </x:c>
      <x:c r="F167" s="192" t="n">
        <x:v>-48.61496</x:v>
      </x:c>
      <x:c r="G167" s="192" t="str">
        <x:v>apartamento</x:v>
      </x:c>
      <x:c r="H167" s="192" t="n">
        <x:v>1</x:v>
      </x:c>
      <x:c r="I167" s="192" t="n">
        <x:v>2</x:v>
      </x:c>
      <x:c r="J167" s="192" t="n">
        <x:v>1</x:v>
      </x:c>
      <x:c r="K167" s="192" t="n">
        <x:v>4</x:v>
      </x:c>
      <x:c r="L167" s="192" t="n">
        <x:v>14</x:v>
      </x:c>
      <x:c r="M167" s="192" t="n">
        <x:v>4.8600001335</x:v>
      </x:c>
      <x:c r="N167" s="192" t="n">
        <x:v>0</x:v>
      </x:c>
      <x:c r="O167" s="192" t="n">
        <x:v>33</x:v>
      </x:c>
      <x:c r="P167" s="193" t="b">
        <x:v>0</x:v>
      </x:c>
      <x:c r="Q167" s="193" t="b">
        <x:v>0</x:v>
      </x:c>
      <x:c r="R167" s="193" t="b">
        <x:v>0</x:v>
      </x:c>
      <x:c r="S167" s="193" t="b">
        <x:v>0</x:v>
      </x:c>
      <x:c r="T167" s="192" t="n">
        <x:v>63</x:v>
      </x:c>
      <x:c r="U167" s="192" t="n">
        <x:v>27</x:v>
      </x:c>
      <x:c r="V167" s="200" t="n">
        <x:v>0.3</x:v>
      </x:c>
      <x:c r="W167" s="203" t="n">
        <x:v>280</x:v>
      </x:c>
      <x:c r="X167" s="203" t="n">
        <x:v>7941.5618651801</x:v>
      </x:c>
      <x:c r="Y167" s="203" t="n">
        <x:v>20532.2464056011</x:v>
      </x:c>
      <x:c r="Z167" s="193" t="b">
        <x:v>1</x:v>
      </x:c>
      <x:c r="AA167" s="193" t="b">
        <x:v>0</x:v>
      </x:c>
      <x:c r="AB167" s="193" t="b">
        <x:v>1</x:v>
      </x:c>
      <x:c r="AC167" s="193" t="b">
        <x:v>1</x:v>
      </x:c>
      <x:c r="AD167" s="193" t="b">
        <x:v>0</x:v>
      </x:c>
      <x:c r="AE167" s="193" t="b">
        <x:v>0</x:v>
      </x:c>
      <x:c r="AF167" s="193" t="b">
        <x:v>1</x:v>
      </x:c>
      <x:c r="AG167" s="193" t="b">
        <x:v>1</x:v>
      </x:c>
      <x:c r="AH167" s="193" t="b">
        <x:v>1</x:v>
      </x:c>
      <x:c r="AI167" s="193" t="b">
        <x:v>1</x:v>
      </x:c>
      <x:c r="AJ167" s="193" t="b">
        <x:v>1</x:v>
      </x:c>
    </x:row>
    <x:row r="168">
      <x:c r="A168" s="192" t="n">
        <x:v>1188323084225042000</x:v>
      </x:c>
      <x:c r="B168" s="192" t="str">
        <x:v>https://www.airbnb.com.br/rooms/1188323084225041810</x:v>
      </x:c>
      <x:c r="C168" s="192" t="str">
        <x:v>Apartamento Charmoso c/ Vista para o Mar - MHF1803</x:v>
      </x:c>
      <x:c r="D168" s="192" t="str">
        <x:v>Centro</x:v>
      </x:c>
      <x:c r="E168" s="192" t="n">
        <x:v>-27.09306</x:v>
      </x:c>
      <x:c r="F168" s="192" t="n">
        <x:v>-48.61326</x:v>
      </x:c>
      <x:c r="G168" s="192" t="str">
        <x:v>apartamento</x:v>
      </x:c>
      <x:c r="H168" s="192" t="n">
        <x:v>1</x:v>
      </x:c>
      <x:c r="I168" s="192" t="n">
        <x:v>1</x:v>
      </x:c>
      <x:c r="J168" s="192" t="n">
        <x:v>2</x:v>
      </x:c>
      <x:c r="K168" s="192" t="n">
        <x:v>4</x:v>
      </x:c>
      <x:c r="L168" s="192" t="n">
        <x:v>14</x:v>
      </x:c>
      <x:c r="M168" s="192" t="n">
        <x:v>4.8600001335</x:v>
      </x:c>
      <x:c r="N168" s="192" t="n">
        <x:v>190</x:v>
      </x:c>
      <x:c r="O168" s="192" t="n">
        <x:v>0</x:v>
      </x:c>
      <x:c r="P168" s="193" t="b">
        <x:v>1</x:v>
      </x:c>
      <x:c r="Q168" s="193" t="b">
        <x:v>1</x:v>
      </x:c>
      <x:c r="R168" s="193" t="b">
        <x:v>1</x:v>
      </x:c>
      <x:c r="S168" s="193" t="b">
        <x:v>0</x:v>
      </x:c>
      <x:c r="T168" s="192" t="n">
        <x:v>66</x:v>
      </x:c>
      <x:c r="U168" s="192" t="n">
        <x:v>24</x:v>
      </x:c>
      <x:c r="V168" s="200" t="n">
        <x:v>0.2666666667</x:v>
      </x:c>
      <x:c r="W168" s="203" t="n">
        <x:v>481.75</x:v>
      </x:c>
      <x:c r="X168" s="203" t="n">
        <x:v>11562.1431370376</x:v>
      </x:c>
      <x:c r="Y168" s="203" t="n">
        <x:v>29892.9575688826</x:v>
      </x:c>
      <x:c r="Z168" s="193" t="b">
        <x:v>1</x:v>
      </x:c>
      <x:c r="AA168" s="193" t="b">
        <x:v>1</x:v>
      </x:c>
      <x:c r="AB168" s="193" t="b">
        <x:v>1</x:v>
      </x:c>
      <x:c r="AC168" s="193" t="b">
        <x:v>0</x:v>
      </x:c>
      <x:c r="AD168" s="193" t="b">
        <x:v>1</x:v>
      </x:c>
      <x:c r="AE168" s="193" t="b">
        <x:v>0</x:v>
      </x:c>
      <x:c r="AF168" s="193" t="b">
        <x:v>1</x:v>
      </x:c>
      <x:c r="AG168" s="193" t="b">
        <x:v>1</x:v>
      </x:c>
      <x:c r="AH168" s="193" t="b">
        <x:v>1</x:v>
      </x:c>
      <x:c r="AI168" s="193" t="b">
        <x:v>1</x:v>
      </x:c>
      <x:c r="AJ168" s="193" t="b">
        <x:v>0</x:v>
      </x:c>
    </x:row>
    <x:row r="169">
      <x:c r="A169" s="192" t="n">
        <x:v>869504505210568400</x:v>
      </x:c>
      <x:c r="B169" s="192" t="str">
        <x:v>https://www.airbnb.com.br/rooms/869504505210568410</x:v>
      </x:c>
      <x:c r="C169" s="192" t="str">
        <x:v>Frente Mar em Itapema</x:v>
      </x:c>
      <x:c r="D169" s="192" t="str">
        <x:v>Centro</x:v>
      </x:c>
      <x:c r="E169" s="192" t="n">
        <x:v>-27.0939998627</x:v>
      </x:c>
      <x:c r="F169" s="192" t="n">
        <x:v>-48.6129989624</x:v>
      </x:c>
      <x:c r="G169" s="192" t="str">
        <x:v>apartamento</x:v>
      </x:c>
      <x:c r="H169" s="192" t="n">
        <x:v>2</x:v>
      </x:c>
      <x:c r="I169" s="192" t="n">
        <x:v>2</x:v>
      </x:c>
      <x:c r="J169" s="192" t="n">
        <x:v>2</x:v>
      </x:c>
      <x:c r="K169" s="192" t="n">
        <x:v>5</x:v>
      </x:c>
      <x:c r="L169" s="192" t="n">
        <x:v>6</x:v>
      </x:c>
      <x:c r="M169" s="192" t="n">
        <x:v>5</x:v>
      </x:c>
      <x:c r="N169" s="192" t="n">
        <x:v>350</x:v>
      </x:c>
      <x:c r="O169" s="192" t="n">
        <x:v>17</x:v>
      </x:c>
      <x:c r="P169" s="193" t="b">
        <x:v>0</x:v>
      </x:c>
      <x:c r="Q169" s="193" t="b">
        <x:v>0</x:v>
      </x:c>
      <x:c r="R169" s="193" t="b">
        <x:v>1</x:v>
      </x:c>
      <x:c r="S169" s="193" t="b">
        <x:v>0</x:v>
      </x:c>
      <x:c r="T169" s="192" t="n">
        <x:v>80</x:v>
      </x:c>
      <x:c r="U169" s="192" t="n">
        <x:v>10</x:v>
      </x:c>
      <x:c r="V169" s="200" t="n">
        <x:v>0.1111111111</x:v>
      </x:c>
      <x:c r="W169" s="203" t="n">
        <x:v>1250</x:v>
      </x:c>
      <x:c r="X169" s="203" t="n">
        <x:v>12439.9372499471</x:v>
      </x:c>
      <x:c r="Y169" s="203" t="n">
        <x:v>32162.4210983009</x:v>
      </x:c>
      <x:c r="Z169" s="193" t="b">
        <x:v>1</x:v>
      </x:c>
      <x:c r="AA169" s="193" t="b">
        <x:v>0</x:v>
      </x:c>
      <x:c r="AB169" s="193" t="b">
        <x:v>1</x:v>
      </x:c>
      <x:c r="AC169" s="193" t="b">
        <x:v>1</x:v>
      </x:c>
      <x:c r="AD169" s="193" t="b">
        <x:v>1</x:v>
      </x:c>
      <x:c r="AE169" s="193" t="b">
        <x:v>1</x:v>
      </x:c>
      <x:c r="AF169" s="193" t="b">
        <x:v>1</x:v>
      </x:c>
      <x:c r="AG169" s="193" t="b">
        <x:v>1</x:v>
      </x:c>
      <x:c r="AH169" s="193" t="b">
        <x:v>1</x:v>
      </x:c>
      <x:c r="AI169" s="193" t="b">
        <x:v>1</x:v>
      </x:c>
      <x:c r="AJ169" s="193" t="b">
        <x:v>1</x:v>
      </x:c>
    </x:row>
    <x:row r="170">
      <x:c r="A170" s="192" t="n">
        <x:v>1085437829031467800</x:v>
      </x:c>
      <x:c r="B170" s="192" t="str">
        <x:v>https://www.airbnb.com.br/rooms/1085437829031467755</x:v>
      </x:c>
      <x:c r="C170" s="192" t="str">
        <x:v>Apartamento Frente mar em Itapema Ref.1486</x:v>
      </x:c>
      <x:c r="D170" s="192" t="str">
        <x:v>Centro</x:v>
      </x:c>
      <x:c r="E170" s="192" t="n">
        <x:v>-27.09687</x:v>
      </x:c>
      <x:c r="F170" s="192" t="n">
        <x:v>-48.6148</x:v>
      </x:c>
      <x:c r="G170" s="192" t="str">
        <x:v>apartamento</x:v>
      </x:c>
      <x:c r="H170" s="192" t="n">
        <x:v>2</x:v>
      </x:c>
      <x:c r="I170" s="192" t="n">
        <x:v>2</x:v>
      </x:c>
      <x:c r="J170" s="192" t="n">
        <x:v>2</x:v>
      </x:c>
      <x:c r="K170" s="192" t="n">
        <x:v>6</x:v>
      </x:c>
      <x:c r="L170" s="192" t="n">
        <x:v>1</x:v>
      </x:c>
      <x:c r="M170" s="192" t="n">
        <x:v>5</x:v>
      </x:c>
      <x:c r="N170" s="192" t="n">
        <x:v>200</x:v>
      </x:c>
      <x:c r="O170" s="192" t="n">
        <x:v>0</x:v>
      </x:c>
      <x:c r="P170" s="193" t="b">
        <x:v>0</x:v>
      </x:c>
      <x:c r="Q170" s="193" t="b">
        <x:v>0</x:v>
      </x:c>
      <x:c r="R170" s="193" t="b">
        <x:v>0</x:v>
      </x:c>
      <x:c r="S170" s="193" t="b">
        <x:v>0</x:v>
      </x:c>
      <x:c r="T170" s="192" t="n">
        <x:v>45</x:v>
      </x:c>
      <x:c r="U170" s="192" t="n">
        <x:v>45</x:v>
      </x:c>
      <x:c r="V170" s="200" t="n">
        <x:v>0.5</x:v>
      </x:c>
      <x:c r="W170" s="203" t="n">
        <x:v>583.3333</x:v>
      </x:c>
      <x:c r="X170" s="203" t="n">
        <x:v>26039.1585115551</x:v>
      </x:c>
      <x:c r="Y170" s="203" t="n">
        <x:v>67322.0744017497</x:v>
      </x:c>
      <x:c r="Z170" s="193" t="b">
        <x:v>0</x:v>
      </x:c>
      <x:c r="AA170" s="193" t="b">
        <x:v>0</x:v>
      </x:c>
      <x:c r="AB170" s="193" t="b">
        <x:v>1</x:v>
      </x:c>
      <x:c r="AC170" s="193" t="b">
        <x:v>1</x:v>
      </x:c>
      <x:c r="AD170" s="193" t="b">
        <x:v>0</x:v>
      </x:c>
      <x:c r="AE170" s="193" t="b">
        <x:v>0</x:v>
      </x:c>
      <x:c r="AF170" s="193" t="b">
        <x:v>1</x:v>
      </x:c>
      <x:c r="AG170" s="193" t="b">
        <x:v>1</x:v>
      </x:c>
      <x:c r="AH170" s="193" t="b">
        <x:v>1</x:v>
      </x:c>
      <x:c r="AI170" s="193" t="b">
        <x:v>1</x:v>
      </x:c>
      <x:c r="AJ170" s="193" t="b">
        <x:v>1</x:v>
      </x:c>
    </x:row>
    <x:row r="171">
      <x:c r="A171" s="192" t="n">
        <x:v>821920276390293400</x:v>
      </x:c>
      <x:c r="B171" s="192" t="str">
        <x:v>https://www.airbnb.com.br/rooms/821920276390293366</x:v>
      </x:c>
      <x:c r="C171" s="192" t="str">
        <x:v>Apartamento em Meia Praia</x:v>
      </x:c>
      <x:c r="D171" s="192" t="str">
        <x:v>Meia Praia</x:v>
      </x:c>
      <x:c r="E171" s="192" t="n">
        <x:v>-27.12813</x:v>
      </x:c>
      <x:c r="F171" s="192" t="n">
        <x:v>-48.60358</x:v>
      </x:c>
      <x:c r="G171" s="192" t="str">
        <x:v>apartamento</x:v>
      </x:c>
      <x:c r="H171" s="192" t="n">
        <x:v>3</x:v>
      </x:c>
      <x:c r="I171" s="192" t="n">
        <x:v>4</x:v>
      </x:c>
      <x:c r="J171" s="192" t="n">
        <x:v>5</x:v>
      </x:c>
      <x:c r="K171" s="192" t="n">
        <x:v>8</x:v>
      </x:c>
      <x:c r="L171" s="192" t="n">
        <x:v>19</x:v>
      </x:c>
      <x:c r="M171" s="192" t="n">
        <x:v>5</x:v>
      </x:c>
      <x:c r="N171" s="192" t="n">
        <x:v>250</x:v>
      </x:c>
      <x:c r="O171" s="192" t="n">
        <x:v>16</x:v>
      </x:c>
      <x:c r="P171" s="193" t="b">
        <x:v>0</x:v>
      </x:c>
      <x:c r="Q171" s="193" t="b">
        <x:v>0</x:v>
      </x:c>
      <x:c r="R171" s="193" t="b">
        <x:v>1</x:v>
      </x:c>
      <x:c r="S171" s="193" t="b">
        <x:v>1</x:v>
      </x:c>
      <x:c r="T171" s="192" t="n">
        <x:v>37</x:v>
      </x:c>
      <x:c r="U171" s="192" t="n">
        <x:v>53</x:v>
      </x:c>
      <x:c r="V171" s="200" t="n">
        <x:v>0.5888888889</x:v>
      </x:c>
      <x:c r="W171" s="203" t="n">
        <x:v>650</x:v>
      </x:c>
      <x:c r="X171" s="203" t="n">
        <x:v>33550.2139588518</x:v>
      </x:c>
      <x:c r="Y171" s="203" t="n">
        <x:v>86741.2823394482</x:v>
      </x:c>
      <x:c r="Z171" s="193" t="b">
        <x:v>1</x:v>
      </x:c>
      <x:c r="AA171" s="193" t="b">
        <x:v>0</x:v>
      </x:c>
      <x:c r="AB171" s="193" t="b">
        <x:v>1</x:v>
      </x:c>
      <x:c r="AC171" s="193" t="b">
        <x:v>1</x:v>
      </x:c>
      <x:c r="AD171" s="193" t="b">
        <x:v>1</x:v>
      </x:c>
      <x:c r="AE171" s="193" t="b">
        <x:v>1</x:v>
      </x:c>
      <x:c r="AF171" s="193" t="b">
        <x:v>1</x:v>
      </x:c>
      <x:c r="AG171" s="193" t="b">
        <x:v>1</x:v>
      </x:c>
      <x:c r="AH171" s="193" t="b">
        <x:v>1</x:v>
      </x:c>
      <x:c r="AI171" s="193" t="b">
        <x:v>1</x:v>
      </x:c>
      <x:c r="AJ171" s="193" t="b">
        <x:v>0</x:v>
      </x:c>
    </x:row>
    <x:row r="172">
      <x:c r="A172" s="192" t="n">
        <x:v>42335961</x:v>
      </x:c>
      <x:c r="B172" s="192" t="str">
        <x:v>https://www.airbnb.com.br/rooms/42335961</x:v>
      </x:c>
      <x:c r="C172" s="192" t="str">
        <x:v>Apartamento quadra do mar em meia praia SC</x:v>
      </x:c>
      <x:c r="D172" s="192" t="str">
        <x:v>Meia Praia</x:v>
      </x:c>
      <x:c r="E172" s="192" t="n">
        <x:v>-27.13217</x:v>
      </x:c>
      <x:c r="F172" s="192" t="n">
        <x:v>-48.59864</x:v>
      </x:c>
      <x:c r="G172" s="192" t="str">
        <x:v>apartamento</x:v>
      </x:c>
      <x:c r="H172" s="192" t="n">
        <x:v>3</x:v>
      </x:c>
      <x:c r="I172" s="192" t="n">
        <x:v>2</x:v>
      </x:c>
      <x:c r="J172" s="192" t="n">
        <x:v>5</x:v>
      </x:c>
      <x:c r="K172" s="192" t="n">
        <x:v>8</x:v>
      </x:c>
      <x:c r="L172" s="192" t="n">
        <x:v>17</x:v>
      </x:c>
      <x:c r="M172" s="192" t="n">
        <x:v>4.9400000572</x:v>
      </x:c>
      <x:c r="N172" s="192" t="n">
        <x:v>250</x:v>
      </x:c>
      <x:c r="O172" s="192" t="n">
        <x:v>27</x:v>
      </x:c>
      <x:c r="P172" s="193" t="b">
        <x:v>0</x:v>
      </x:c>
      <x:c r="Q172" s="193" t="b">
        <x:v>0</x:v>
      </x:c>
      <x:c r="R172" s="193" t="b">
        <x:v>1</x:v>
      </x:c>
      <x:c r="S172" s="193" t="b">
        <x:v>0</x:v>
      </x:c>
      <x:c r="T172" s="192" t="n">
        <x:v>56</x:v>
      </x:c>
      <x:c r="U172" s="192" t="n">
        <x:v>34</x:v>
      </x:c>
      <x:c r="V172" s="200" t="n">
        <x:v>0.3777777778</x:v>
      </x:c>
      <x:c r="W172" s="203" t="n">
        <x:v>450</x:v>
      </x:c>
      <x:c r="X172" s="203" t="n">
        <x:v>15882.436531076</x:v>
      </x:c>
      <x:c r="Y172" s="203" t="n">
        <x:v>41062.7161147194</x:v>
      </x:c>
      <x:c r="Z172" s="193" t="b">
        <x:v>1</x:v>
      </x:c>
      <x:c r="AA172" s="193" t="b">
        <x:v>0</x:v>
      </x:c>
      <x:c r="AB172" s="193" t="b">
        <x:v>1</x:v>
      </x:c>
      <x:c r="AC172" s="193" t="b">
        <x:v>1</x:v>
      </x:c>
      <x:c r="AD172" s="193" t="b">
        <x:v>1</x:v>
      </x:c>
      <x:c r="AE172" s="193" t="b">
        <x:v>0</x:v>
      </x:c>
      <x:c r="AF172" s="193" t="b">
        <x:v>1</x:v>
      </x:c>
      <x:c r="AG172" s="193" t="b">
        <x:v>1</x:v>
      </x:c>
      <x:c r="AH172" s="193" t="b">
        <x:v>1</x:v>
      </x:c>
      <x:c r="AI172" s="193" t="b">
        <x:v>1</x:v>
      </x:c>
      <x:c r="AJ172" s="193" t="b">
        <x:v>1</x:v>
      </x:c>
    </x:row>
    <x:row r="173">
      <x:c r="A173" s="192" t="n">
        <x:v>46866680</x:v>
      </x:c>
      <x:c r="B173" s="192" t="str">
        <x:v>https://www.airbnb.com.br/rooms/46866680</x:v>
      </x:c>
      <x:c r="C173" s="192" t="str">
        <x:v>Apto a poucos metros da praia em Meia Praia</x:v>
      </x:c>
      <x:c r="D173" s="192" t="str">
        <x:v>Meia Praia</x:v>
      </x:c>
      <x:c r="E173" s="192" t="n">
        <x:v>-27.1283</x:v>
      </x:c>
      <x:c r="F173" s="192" t="n">
        <x:v>-48.60554</x:v>
      </x:c>
      <x:c r="G173" s="192" t="str">
        <x:v>apartamento</x:v>
      </x:c>
      <x:c r="H173" s="192" t="n">
        <x:v>3</x:v>
      </x:c>
      <x:c r="I173" s="192" t="n">
        <x:v>3</x:v>
      </x:c>
      <x:c r="J173" s="192" t="n">
        <x:v>3</x:v>
      </x:c>
      <x:c r="K173" s="192" t="n">
        <x:v>6</x:v>
      </x:c>
      <x:c r="L173" s="192" t="n">
        <x:v>9</x:v>
      </x:c>
      <x:c r="M173" s="192" t="n">
        <x:v>5</x:v>
      </x:c>
      <x:c r="N173" s="192" t="n">
        <x:v>300</x:v>
      </x:c>
      <x:c r="O173" s="192" t="n">
        <x:v>8</x:v>
      </x:c>
      <x:c r="P173" s="193" t="b">
        <x:v>0</x:v>
      </x:c>
      <x:c r="Q173" s="193" t="b">
        <x:v>0</x:v>
      </x:c>
      <x:c r="R173" s="193" t="b">
        <x:v>0</x:v>
      </x:c>
      <x:c r="S173" s="193" t="b">
        <x:v>0</x:v>
      </x:c>
      <x:c r="T173" s="192" t="n">
        <x:v>59</x:v>
      </x:c>
      <x:c r="U173" s="192" t="n">
        <x:v>31</x:v>
      </x:c>
      <x:c r="V173" s="200" t="n">
        <x:v>0.3444444444</x:v>
      </x:c>
      <x:c r="W173" s="203" t="n">
        <x:v>450</x:v>
      </x:c>
      <x:c r="X173" s="203" t="n">
        <x:v>14678.6398670338</x:v>
      </x:c>
      <x:c r="Y173" s="203" t="n">
        <x:v>37950.4001562269</x:v>
      </x:c>
      <x:c r="Z173" s="193" t="b">
        <x:v>1</x:v>
      </x:c>
      <x:c r="AA173" s="193" t="b">
        <x:v>0</x:v>
      </x:c>
      <x:c r="AB173" s="193" t="b">
        <x:v>1</x:v>
      </x:c>
      <x:c r="AC173" s="193" t="b">
        <x:v>1</x:v>
      </x:c>
      <x:c r="AD173" s="193" t="b">
        <x:v>0</x:v>
      </x:c>
      <x:c r="AE173" s="193" t="b">
        <x:v>0</x:v>
      </x:c>
      <x:c r="AF173" s="193" t="b">
        <x:v>1</x:v>
      </x:c>
      <x:c r="AG173" s="193" t="b">
        <x:v>1</x:v>
      </x:c>
      <x:c r="AH173" s="193" t="b">
        <x:v>1</x:v>
      </x:c>
      <x:c r="AI173" s="193" t="b">
        <x:v>1</x:v>
      </x:c>
      <x:c r="AJ173" s="193" t="b">
        <x:v>1</x:v>
      </x:c>
    </x:row>
    <x:row r="174">
      <x:c r="A174" s="192" t="n">
        <x:v>1311575286815584800</x:v>
      </x:c>
      <x:c r="B174" s="192" t="str">
        <x:v>https://www.airbnb.com.br/rooms/1311575286815584867</x:v>
      </x:c>
      <x:c r="C174" s="192" t="str">
        <x:v>Achei Itapema AP vista mar 2dorm Mirante Oliveiras</x:v>
      </x:c>
      <x:c r="D174" s="192" t="str">
        <x:v>Tabuleiro dos Oliveiras</x:v>
      </x:c>
      <x:c r="E174" s="192" t="n">
        <x:v>-27.10569</x:v>
      </x:c>
      <x:c r="F174" s="192" t="n">
        <x:v>-48.61557</x:v>
      </x:c>
      <x:c r="G174" s="192" t="str">
        <x:v>apartamento</x:v>
      </x:c>
      <x:c r="H174" s="192" t="n">
        <x:v>2</x:v>
      </x:c>
      <x:c r="I174" s="192" t="n">
        <x:v>2</x:v>
      </x:c>
      <x:c r="J174" s="192" t="n">
        <x:v>5</x:v>
      </x:c>
      <x:c r="K174" s="192" t="n">
        <x:v>6</x:v>
      </x:c>
      <x:c r="L174" s="192" t="n">
        <x:v>1</x:v>
      </x:c>
      <x:c r="M174" s="192" t="n">
        <x:v>5</x:v>
      </x:c>
      <x:c r="N174" s="192" t="n">
        <x:v>210</x:v>
      </x:c>
      <x:c r="O174" s="192" t="n">
        <x:v>0</x:v>
      </x:c>
      <x:c r="P174" s="193" t="b">
        <x:v>1</x:v>
      </x:c>
      <x:c r="Q174" s="193" t="b">
        <x:v>1</x:v>
      </x:c>
      <x:c r="R174" s="193" t="b">
        <x:v>0</x:v>
      </x:c>
      <x:c r="S174" s="193" t="b">
        <x:v>1</x:v>
      </x:c>
      <x:c r="T174" s="192" t="n">
        <x:v>82</x:v>
      </x:c>
      <x:c r="U174" s="192" t="n">
        <x:v>8</x:v>
      </x:c>
      <x:c r="V174" s="200" t="n">
        <x:v>0.0888888889</x:v>
      </x:c>
      <x:c r="W174" s="203" t="n">
        <x:v>753</x:v>
      </x:c>
      <x:c r="X174" s="203" t="n">
        <x:v>6120.9763995426</x:v>
      </x:c>
      <x:c r="Y174" s="203" t="n">
        <x:v>15825.2743996508</x:v>
      </x:c>
      <x:c r="Z174" s="193" t="b">
        <x:v>1</x:v>
      </x:c>
      <x:c r="AA174" s="193" t="b">
        <x:v>1</x:v>
      </x:c>
      <x:c r="AB174" s="193" t="b">
        <x:v>1</x:v>
      </x:c>
      <x:c r="AC174" s="193" t="b">
        <x:v>1</x:v>
      </x:c>
      <x:c r="AD174" s="193" t="b">
        <x:v>1</x:v>
      </x:c>
      <x:c r="AE174" s="193" t="b">
        <x:v>1</x:v>
      </x:c>
      <x:c r="AF174" s="193" t="b">
        <x:v>1</x:v>
      </x:c>
      <x:c r="AG174" s="193" t="b">
        <x:v>1</x:v>
      </x:c>
      <x:c r="AH174" s="193" t="b">
        <x:v>1</x:v>
      </x:c>
      <x:c r="AI174" s="193" t="b">
        <x:v>1</x:v>
      </x:c>
      <x:c r="AJ174" s="193" t="b">
        <x:v>1</x:v>
      </x:c>
    </x:row>
    <x:row r="175">
      <x:c r="A175" s="192" t="n">
        <x:v>31530689</x:v>
      </x:c>
      <x:c r="B175" s="192" t="str">
        <x:v>https://www.airbnb.com.br/rooms/31530689</x:v>
      </x:c>
      <x:c r="C175" s="192" t="str">
        <x:v>Apartamento verão alto padrão 30 metros da praia</x:v>
      </x:c>
      <x:c r="D175" s="192" t="str">
        <x:v>Meia Praia</x:v>
      </x:c>
      <x:c r="E175" s="192" t="n">
        <x:v>-27.1422</x:v>
      </x:c>
      <x:c r="F175" s="192" t="n">
        <x:v>-48.59011</x:v>
      </x:c>
      <x:c r="G175" s="192" t="str">
        <x:v>apartamento</x:v>
      </x:c>
      <x:c r="H175" s="192" t="n">
        <x:v>3</x:v>
      </x:c>
      <x:c r="I175" s="192" t="n">
        <x:v>2</x:v>
      </x:c>
      <x:c r="J175" s="192" t="n">
        <x:v>4</x:v>
      </x:c>
      <x:c r="K175" s="192" t="n">
        <x:v>6</x:v>
      </x:c>
      <x:c r="L175" s="192" t="n">
        <x:v>24</x:v>
      </x:c>
      <x:c r="M175" s="192" t="n">
        <x:v>4.9200000763</x:v>
      </x:c>
      <x:c r="N175" s="192" t="n">
        <x:v>0</x:v>
      </x:c>
      <x:c r="O175" s="192" t="n">
        <x:v>47</x:v>
      </x:c>
      <x:c r="P175" s="193" t="b">
        <x:v>1</x:v>
      </x:c>
      <x:c r="Q175" s="193" t="b">
        <x:v>0</x:v>
      </x:c>
      <x:c r="R175" s="193" t="b">
        <x:v>1</x:v>
      </x:c>
      <x:c r="S175" s="193" t="b">
        <x:v>1</x:v>
      </x:c>
      <x:c r="T175" s="192" t="n">
        <x:v>74</x:v>
      </x:c>
      <x:c r="U175" s="192" t="n">
        <x:v>16</x:v>
      </x:c>
      <x:c r="V175" s="200" t="n">
        <x:v>0.1777777778</x:v>
      </x:c>
      <x:c r="W175" s="203" t="n">
        <x:v>700</x:v>
      </x:c>
      <x:c r="X175" s="203" t="n">
        <x:v>11268.8044454642</x:v>
      </x:c>
      <x:c r="Y175" s="203" t="n">
        <x:v>29134.5548267105</x:v>
      </x:c>
      <x:c r="Z175" s="193" t="b">
        <x:v>1</x:v>
      </x:c>
      <x:c r="AA175" s="193" t="b">
        <x:v>0</x:v>
      </x:c>
      <x:c r="AB175" s="193" t="b">
        <x:v>1</x:v>
      </x:c>
      <x:c r="AC175" s="193" t="b">
        <x:v>1</x:v>
      </x:c>
      <x:c r="AD175" s="193" t="b">
        <x:v>1</x:v>
      </x:c>
      <x:c r="AE175" s="193" t="b">
        <x:v>1</x:v>
      </x:c>
      <x:c r="AF175" s="193" t="b">
        <x:v>1</x:v>
      </x:c>
      <x:c r="AG175" s="193" t="b">
        <x:v>1</x:v>
      </x:c>
      <x:c r="AH175" s="193" t="b">
        <x:v>1</x:v>
      </x:c>
      <x:c r="AI175" s="193" t="b">
        <x:v>1</x:v>
      </x:c>
      <x:c r="AJ175" s="193" t="b">
        <x:v>1</x:v>
      </x:c>
    </x:row>
    <x:row r="176">
      <x:c r="A176" s="192" t="n">
        <x:v>1161927707286622700</x:v>
      </x:c>
      <x:c r="B176" s="192" t="str">
        <x:v>https://www.airbnb.com.br/rooms/1161927707286622818</x:v>
      </x:c>
      <x:c r="C176" s="192" t="str">
        <x:v>Stúdio A - VIP c/cozinha Vista Mar, 1 min Pé Areia</x:v>
      </x:c>
      <x:c r="D176" s="192" t="str">
        <x:v>Centro</x:v>
      </x:c>
      <x:c r="E176" s="192" t="n">
        <x:v>-27.0932483673</x:v>
      </x:c>
      <x:c r="F176" s="192" t="n">
        <x:v>-48.6132202148</x:v>
      </x:c>
      <x:c r="G176" s="192" t="str">
        <x:v>apartamento</x:v>
      </x:c>
      <x:c r="H176" s="192" t="n">
        <x:v>1</x:v>
      </x:c>
      <x:c r="I176" s="192" t="n">
        <x:v>1</x:v>
      </x:c>
      <x:c r="J176" s="192" t="n">
        <x:v>1</x:v>
      </x:c>
      <x:c r="K176" s="192" t="n">
        <x:v>2</x:v>
      </x:c>
      <x:c r="L176" s="192" t="n">
        <x:v>27</x:v>
      </x:c>
      <x:c r="M176" s="192" t="n">
        <x:v>5</x:v>
      </x:c>
      <x:c r="N176" s="192" t="n">
        <x:v>250</x:v>
      </x:c>
      <x:c r="O176" s="192" t="n">
        <x:v>36</x:v>
      </x:c>
      <x:c r="P176" s="193" t="b">
        <x:v>1</x:v>
      </x:c>
      <x:c r="Q176" s="193" t="b">
        <x:v>0</x:v>
      </x:c>
      <x:c r="R176" s="193" t="b">
        <x:v>1</x:v>
      </x:c>
      <x:c r="S176" s="193" t="b">
        <x:v>1</x:v>
      </x:c>
      <x:c r="T176" s="192" t="n">
        <x:v>32</x:v>
      </x:c>
      <x:c r="U176" s="192" t="n">
        <x:v>58</x:v>
      </x:c>
      <x:c r="V176" s="200" t="n">
        <x:v>0.6444444444</x:v>
      </x:c>
      <x:c r="W176" s="203" t="n">
        <x:v>208.071425</x:v>
      </x:c>
      <x:c r="X176" s="203" t="n">
        <x:v>12309.7408104667</x:v>
      </x:c>
      <x:c r="Y176" s="203" t="n">
        <x:v>31825.8090537275</x:v>
      </x:c>
      <x:c r="Z176" s="193" t="b">
        <x:v>1</x:v>
      </x:c>
      <x:c r="AA176" s="193" t="b">
        <x:v>1</x:v>
      </x:c>
      <x:c r="AB176" s="193" t="b">
        <x:v>1</x:v>
      </x:c>
      <x:c r="AC176" s="193" t="b">
        <x:v>1</x:v>
      </x:c>
      <x:c r="AD176" s="193" t="b">
        <x:v>1</x:v>
      </x:c>
      <x:c r="AE176" s="193" t="b">
        <x:v>1</x:v>
      </x:c>
      <x:c r="AF176" s="193" t="b">
        <x:v>0</x:v>
      </x:c>
      <x:c r="AG176" s="193" t="b">
        <x:v>1</x:v>
      </x:c>
      <x:c r="AH176" s="193" t="b">
        <x:v>1</x:v>
      </x:c>
      <x:c r="AI176" s="193" t="b">
        <x:v>1</x:v>
      </x:c>
      <x:c r="AJ176" s="193" t="b">
        <x:v>0</x:v>
      </x:c>
    </x:row>
    <x:row r="177">
      <x:c r="A177" s="192" t="n">
        <x:v>1053132609735844500</x:v>
      </x:c>
      <x:c r="B177" s="192" t="str">
        <x:v>https://www.airbnb.com.br/rooms/1053132609735844516</x:v>
      </x:c>
      <x:c r="C177" s="192" t="str">
        <x:v>apto beira-mar na meia praia</x:v>
      </x:c>
      <x:c r="D177" s="192" t="str">
        <x:v>Meia Praia</x:v>
      </x:c>
      <x:c r="E177" s="192" t="n">
        <x:v>-27.13756</x:v>
      </x:c>
      <x:c r="F177" s="192" t="n">
        <x:v>-48.59112</x:v>
      </x:c>
      <x:c r="G177" s="192" t="str">
        <x:v>apartamento</x:v>
      </x:c>
      <x:c r="H177" s="192" t="n">
        <x:v>3</x:v>
      </x:c>
      <x:c r="I177" s="192" t="n">
        <x:v>2</x:v>
      </x:c>
      <x:c r="J177" s="192" t="n">
        <x:v>5</x:v>
      </x:c>
      <x:c r="K177" s="192" t="n">
        <x:v>10</x:v>
      </x:c>
      <x:c r="L177" s="192" t="n">
        <x:v>17</x:v>
      </x:c>
      <x:c r="M177" s="192" t="n">
        <x:v>4.9400000572</x:v>
      </x:c>
      <x:c r="N177" s="192" t="n">
        <x:v>300</x:v>
      </x:c>
      <x:c r="O177" s="192" t="n">
        <x:v>23</x:v>
      </x:c>
      <x:c r="P177" s="193" t="b">
        <x:v>0</x:v>
      </x:c>
      <x:c r="Q177" s="193" t="b">
        <x:v>0</x:v>
      </x:c>
      <x:c r="R177" s="193" t="b">
        <x:v>0</x:v>
      </x:c>
      <x:c r="S177" s="193" t="b">
        <x:v>1</x:v>
      </x:c>
      <x:c r="T177" s="192" t="n">
        <x:v>11</x:v>
      </x:c>
      <x:c r="U177" s="192" t="n">
        <x:v>79</x:v>
      </x:c>
      <x:c r="V177" s="200" t="n">
        <x:v>0.8777777778</x:v>
      </x:c>
      <x:c r="W177" s="203" t="n">
        <x:v>1050</x:v>
      </x:c>
      <x:c r="X177" s="203" t="n">
        <x:v>80841.6023993163</x:v>
      </x:c>
      <x:c r="Y177" s="203" t="n">
        <x:v>209009.2262032322</x:v>
      </x:c>
      <x:c r="Z177" s="193" t="b">
        <x:v>0</x:v>
      </x:c>
      <x:c r="AA177" s="193" t="b">
        <x:v>0</x:v>
      </x:c>
      <x:c r="AB177" s="193" t="b">
        <x:v>1</x:v>
      </x:c>
      <x:c r="AC177" s="193" t="b">
        <x:v>1</x:v>
      </x:c>
      <x:c r="AD177" s="193" t="b">
        <x:v>1</x:v>
      </x:c>
      <x:c r="AE177" s="193" t="b">
        <x:v>1</x:v>
      </x:c>
      <x:c r="AF177" s="193" t="b">
        <x:v>1</x:v>
      </x:c>
      <x:c r="AG177" s="193" t="b">
        <x:v>1</x:v>
      </x:c>
      <x:c r="AH177" s="193" t="b">
        <x:v>1</x:v>
      </x:c>
      <x:c r="AI177" s="193" t="b">
        <x:v>1</x:v>
      </x:c>
      <x:c r="AJ177" s="193" t="b">
        <x:v>1</x:v>
      </x:c>
    </x:row>
    <x:row r="178">
      <x:c r="A178" s="192" t="n">
        <x:v>1193414131980072200</x:v>
      </x:c>
      <x:c r="B178" s="192" t="str">
        <x:v>https://www.airbnb.com.br/rooms/1193414131980072087</x:v>
      </x:c>
      <x:c r="C178" s="192" t="str">
        <x:v>Moderno apto 280m da Praia com vista mar MHF1902</x:v>
      </x:c>
      <x:c r="D178" s="192" t="str">
        <x:v>Centro</x:v>
      </x:c>
      <x:c r="E178" s="192" t="n">
        <x:v>-27.09306</x:v>
      </x:c>
      <x:c r="F178" s="192" t="n">
        <x:v>-48.61326</x:v>
      </x:c>
      <x:c r="G178" s="192" t="str">
        <x:v>apartamento</x:v>
      </x:c>
      <x:c r="H178" s="192" t="n">
        <x:v>2</x:v>
      </x:c>
      <x:c r="I178" s="192" t="n">
        <x:v>1</x:v>
      </x:c>
      <x:c r="J178" s="192" t="n">
        <x:v>3</x:v>
      </x:c>
      <x:c r="K178" s="192" t="n">
        <x:v>6</x:v>
      </x:c>
      <x:c r="L178" s="192" t="n">
        <x:v>16</x:v>
      </x:c>
      <x:c r="M178" s="192" t="n">
        <x:v>4.9400000572</x:v>
      </x:c>
      <x:c r="N178" s="192" t="n">
        <x:v>240</x:v>
      </x:c>
      <x:c r="O178" s="192" t="n">
        <x:v>0</x:v>
      </x:c>
      <x:c r="P178" s="193" t="b">
        <x:v>1</x:v>
      </x:c>
      <x:c r="Q178" s="193" t="b">
        <x:v>1</x:v>
      </x:c>
      <x:c r="R178" s="193" t="b">
        <x:v>1</x:v>
      </x:c>
      <x:c r="S178" s="193" t="b">
        <x:v>0</x:v>
      </x:c>
      <x:c r="T178" s="192" t="n">
        <x:v>56</x:v>
      </x:c>
      <x:c r="U178" s="192" t="n">
        <x:v>34</x:v>
      </x:c>
      <x:c r="V178" s="200" t="n">
        <x:v>0.3777777778</x:v>
      </x:c>
      <x:c r="W178" s="203" t="n">
        <x:v>627</x:v>
      </x:c>
      <x:c r="X178" s="203" t="n">
        <x:v>22281.7452124556</x:v>
      </x:c>
      <x:c r="Y178" s="203" t="n">
        <x:v>57607.595434703</x:v>
      </x:c>
      <x:c r="Z178" s="193" t="b">
        <x:v>1</x:v>
      </x:c>
      <x:c r="AA178" s="193" t="b">
        <x:v>1</x:v>
      </x:c>
      <x:c r="AB178" s="193" t="b">
        <x:v>1</x:v>
      </x:c>
      <x:c r="AC178" s="193" t="b">
        <x:v>1</x:v>
      </x:c>
      <x:c r="AD178" s="193" t="b">
        <x:v>1</x:v>
      </x:c>
      <x:c r="AE178" s="193" t="b">
        <x:v>1</x:v>
      </x:c>
      <x:c r="AF178" s="193" t="b">
        <x:v>1</x:v>
      </x:c>
      <x:c r="AG178" s="193" t="b">
        <x:v>1</x:v>
      </x:c>
      <x:c r="AH178" s="193" t="b">
        <x:v>1</x:v>
      </x:c>
      <x:c r="AI178" s="193" t="b">
        <x:v>1</x:v>
      </x:c>
      <x:c r="AJ178" s="193" t="b">
        <x:v>0</x:v>
      </x:c>
    </x:row>
    <x:row r="179">
      <x:c r="A179" s="192" t="n">
        <x:v>30493854</x:v>
      </x:c>
      <x:c r="B179" s="192" t="str">
        <x:v>https://www.airbnb.com.br/rooms/30493854</x:v>
      </x:c>
      <x:c r="C179" s="192" t="str">
        <x:v>Apto Recém-reformado 3 Quartos em Meia Praia</x:v>
      </x:c>
      <x:c r="D179" s="192" t="str">
        <x:v>Meia Praia</x:v>
      </x:c>
      <x:c r="E179" s="192" t="n">
        <x:v>-27.13426</x:v>
      </x:c>
      <x:c r="F179" s="192" t="n">
        <x:v>-48.59919</x:v>
      </x:c>
      <x:c r="G179" s="192" t="str">
        <x:v>apartamento</x:v>
      </x:c>
      <x:c r="H179" s="192" t="n">
        <x:v>3</x:v>
      </x:c>
      <x:c r="I179" s="192" t="n">
        <x:v>2</x:v>
      </x:c>
      <x:c r="J179" s="192" t="n">
        <x:v>3</x:v>
      </x:c>
      <x:c r="K179" s="192" t="n">
        <x:v>6</x:v>
      </x:c>
      <x:c r="L179" s="192" t="n">
        <x:v>19</x:v>
      </x:c>
      <x:c r="M179" s="192" t="n">
        <x:v>4.8899998665</x:v>
      </x:c>
      <x:c r="N179" s="192" t="n">
        <x:v>260</x:v>
      </x:c>
      <x:c r="O179" s="192" t="n">
        <x:v>20</x:v>
      </x:c>
      <x:c r="P179" s="193" t="b">
        <x:v>0</x:v>
      </x:c>
      <x:c r="Q179" s="193" t="b">
        <x:v>0</x:v>
      </x:c>
      <x:c r="R179" s="193" t="b">
        <x:v>1</x:v>
      </x:c>
      <x:c r="S179" s="193" t="b">
        <x:v>0</x:v>
      </x:c>
      <x:c r="T179" s="192" t="n">
        <x:v>32</x:v>
      </x:c>
      <x:c r="U179" s="192" t="n">
        <x:v>58</x:v>
      </x:c>
      <x:c r="V179" s="200" t="n">
        <x:v>0.6444444444</x:v>
      </x:c>
      <x:c r="W179" s="203" t="n">
        <x:v>450</x:v>
      </x:c>
      <x:c r="X179" s="203" t="n">
        <x:v>25702.302229378</x:v>
      </x:c>
      <x:c r="Y179" s="203" t="n">
        <x:v>66451.1605555377</x:v>
      </x:c>
      <x:c r="Z179" s="193" t="b">
        <x:v>0</x:v>
      </x:c>
      <x:c r="AA179" s="193" t="b">
        <x:v>0</x:v>
      </x:c>
      <x:c r="AB179" s="193" t="b">
        <x:v>1</x:v>
      </x:c>
      <x:c r="AC179" s="193" t="b">
        <x:v>1</x:v>
      </x:c>
      <x:c r="AD179" s="193" t="b">
        <x:v>1</x:v>
      </x:c>
      <x:c r="AE179" s="193" t="b">
        <x:v>1</x:v>
      </x:c>
      <x:c r="AF179" s="193" t="b">
        <x:v>1</x:v>
      </x:c>
      <x:c r="AG179" s="193" t="b">
        <x:v>1</x:v>
      </x:c>
      <x:c r="AH179" s="193" t="b">
        <x:v>1</x:v>
      </x:c>
      <x:c r="AI179" s="193" t="b">
        <x:v>1</x:v>
      </x:c>
      <x:c r="AJ179" s="193" t="b">
        <x:v>1</x:v>
      </x:c>
    </x:row>
    <x:row r="180">
      <x:c r="A180" s="192" t="n">
        <x:v>6569062</x:v>
      </x:c>
      <x:c r="B180" s="192" t="str">
        <x:v>https://www.airbnb.com.br/rooms/6569062</x:v>
      </x:c>
      <x:c r="C180" s="192" t="str">
        <x:v>Apto Novo, Quadra Mar,  Rua 321, 200m do mar.</x:v>
      </x:c>
      <x:c r="D180" s="192" t="str">
        <x:v>Meia Praia</x:v>
      </x:c>
      <x:c r="E180" s="192" t="n">
        <x:v>-27.14416</x:v>
      </x:c>
      <x:c r="F180" s="192" t="n">
        <x:v>-48.58828</x:v>
      </x:c>
      <x:c r="G180" s="192" t="str">
        <x:v>apartamento</x:v>
      </x:c>
      <x:c r="H180" s="192" t="n">
        <x:v>3</x:v>
      </x:c>
      <x:c r="I180" s="192" t="n">
        <x:v>2</x:v>
      </x:c>
      <x:c r="J180" s="192" t="n">
        <x:v>3</x:v>
      </x:c>
      <x:c r="K180" s="192" t="n">
        <x:v>6</x:v>
      </x:c>
      <x:c r="L180" s="192" t="n">
        <x:v>21</x:v>
      </x:c>
      <x:c r="M180" s="192" t="n">
        <x:v>4.9499998093</x:v>
      </x:c>
      <x:c r="N180" s="192" t="n">
        <x:v>250</x:v>
      </x:c>
      <x:c r="O180" s="192" t="n">
        <x:v>13</x:v>
      </x:c>
      <x:c r="P180" s="193" t="b">
        <x:v>0</x:v>
      </x:c>
      <x:c r="Q180" s="193" t="b">
        <x:v>0</x:v>
      </x:c>
      <x:c r="R180" s="193" t="b">
        <x:v>1</x:v>
      </x:c>
      <x:c r="S180" s="193" t="b">
        <x:v>0</x:v>
      </x:c>
      <x:c r="T180" s="192" t="n">
        <x:v>89</x:v>
      </x:c>
      <x:c r="U180" s="192" t="n">
        <x:v>1</x:v>
      </x:c>
      <x:c r="V180" s="200" t="n">
        <x:v>0.0111111111</x:v>
      </x:c>
      <x:c r="W180" s="203" t="n">
        <x:v>725</x:v>
      </x:c>
      <x:c r="X180" s="203" t="n">
        <x:v>692.2980275846</x:v>
      </x:c>
      <x:c r="Y180" s="203" t="n">
        <x:v>1789.8788588178</x:v>
      </x:c>
      <x:c r="Z180" s="193" t="b">
        <x:v>1</x:v>
      </x:c>
      <x:c r="AA180" s="193" t="b">
        <x:v>0</x:v>
      </x:c>
      <x:c r="AB180" s="193" t="b">
        <x:v>1</x:v>
      </x:c>
      <x:c r="AC180" s="193" t="b">
        <x:v>1</x:v>
      </x:c>
      <x:c r="AD180" s="193" t="b">
        <x:v>1</x:v>
      </x:c>
      <x:c r="AE180" s="193" t="b">
        <x:v>1</x:v>
      </x:c>
      <x:c r="AF180" s="193" t="b">
        <x:v>1</x:v>
      </x:c>
      <x:c r="AG180" s="193" t="b">
        <x:v>1</x:v>
      </x:c>
      <x:c r="AH180" s="193" t="b">
        <x:v>1</x:v>
      </x:c>
      <x:c r="AI180" s="193" t="b">
        <x:v>1</x:v>
      </x:c>
      <x:c r="AJ180" s="193" t="b">
        <x:v>1</x:v>
      </x:c>
    </x:row>
    <x:row r="181">
      <x:c r="A181" s="192" t="n">
        <x:v>719355891470345600</x:v>
      </x:c>
      <x:c r="B181" s="192" t="str">
        <x:v>https://www.airbnb.com.br/rooms/719355891470345652</x:v>
      </x:c>
      <x:c r="C181" s="192" t="str">
        <x:v>Apartamento beira-mar em Meia Praia, Itapema/SC.</x:v>
      </x:c>
      <x:c r="D181" s="192" t="str">
        <x:v>Meia Praia</x:v>
      </x:c>
      <x:c r="E181" s="192" t="n">
        <x:v>-27.1386</x:v>
      </x:c>
      <x:c r="F181" s="192" t="n">
        <x:v>-48.59121</x:v>
      </x:c>
      <x:c r="G181" s="192" t="str">
        <x:v>apartamento</x:v>
      </x:c>
      <x:c r="H181" s="192" t="n">
        <x:v>2</x:v>
      </x:c>
      <x:c r="I181" s="192" t="n">
        <x:v>2</x:v>
      </x:c>
      <x:c r="J181" s="192" t="n">
        <x:v>4</x:v>
      </x:c>
      <x:c r="K181" s="192" t="n">
        <x:v>6</x:v>
      </x:c>
      <x:c r="L181" s="192" t="n">
        <x:v>9</x:v>
      </x:c>
      <x:c r="M181" s="192" t="n">
        <x:v>5</x:v>
      </x:c>
      <x:c r="N181" s="192" t="n">
        <x:v>300</x:v>
      </x:c>
      <x:c r="O181" s="192" t="n">
        <x:v>24</x:v>
      </x:c>
      <x:c r="P181" s="193" t="b">
        <x:v>0</x:v>
      </x:c>
      <x:c r="Q181" s="193" t="b">
        <x:v>0</x:v>
      </x:c>
      <x:c r="R181" s="193" t="b">
        <x:v>1</x:v>
      </x:c>
      <x:c r="S181" s="193" t="b">
        <x:v>0</x:v>
      </x:c>
      <x:c r="T181" s="192" t="n">
        <x:v>78</x:v>
      </x:c>
      <x:c r="U181" s="192" t="n">
        <x:v>12</x:v>
      </x:c>
      <x:c r="V181" s="200" t="n">
        <x:v>0.1333333333</x:v>
      </x:c>
      <x:c r="W181" s="203" t="n">
        <x:v>500</x:v>
      </x:c>
      <x:c r="X181" s="203" t="n">
        <x:v>6848.7145665514</x:v>
      </x:c>
      <x:c r="Y181" s="203" t="n">
        <x:v>17706.7807856048</x:v>
      </x:c>
      <x:c r="Z181" s="193" t="b">
        <x:v>1</x:v>
      </x:c>
      <x:c r="AA181" s="193" t="b">
        <x:v>0</x:v>
      </x:c>
      <x:c r="AB181" s="193" t="b">
        <x:v>1</x:v>
      </x:c>
      <x:c r="AC181" s="193" t="b">
        <x:v>1</x:v>
      </x:c>
      <x:c r="AD181" s="193" t="b">
        <x:v>1</x:v>
      </x:c>
      <x:c r="AE181" s="193" t="b">
        <x:v>1</x:v>
      </x:c>
      <x:c r="AF181" s="193" t="b">
        <x:v>1</x:v>
      </x:c>
      <x:c r="AG181" s="193" t="b">
        <x:v>1</x:v>
      </x:c>
      <x:c r="AH181" s="193" t="b">
        <x:v>1</x:v>
      </x:c>
      <x:c r="AI181" s="193" t="b">
        <x:v>1</x:v>
      </x:c>
      <x:c r="AJ181" s="193" t="b">
        <x:v>1</x:v>
      </x:c>
    </x:row>
    <x:row r="182">
      <x:c r="A182" s="192" t="n">
        <x:v>46755580</x:v>
      </x:c>
      <x:c r="B182" s="192" t="str">
        <x:v>https://www.airbnb.com.br/rooms/46755580</x:v>
      </x:c>
      <x:c r="C182" s="192" t="str">
        <x:v>Casa apto Studio loft</x:v>
      </x:c>
      <x:c r="D182" s="192" t="str">
        <x:v>Casa Branca</x:v>
      </x:c>
      <x:c r="E182" s="192" t="n">
        <x:v>-27.0897</x:v>
      </x:c>
      <x:c r="F182" s="192" t="n">
        <x:v>-48.61935</x:v>
      </x:c>
      <x:c r="G182" s="192" t="str">
        <x:v>casa</x:v>
      </x:c>
      <x:c r="H182" s="192" t="n">
        <x:v>1</x:v>
      </x:c>
      <x:c r="I182" s="192" t="n">
        <x:v>1</x:v>
      </x:c>
      <x:c r="J182" s="192" t="n">
        <x:v>1</x:v>
      </x:c>
      <x:c r="K182" s="192" t="n">
        <x:v>2</x:v>
      </x:c>
      <x:c r="L182" s="192" t="n">
        <x:v>11</x:v>
      </x:c>
      <x:c r="M182" s="192" t="n">
        <x:v>4.9099998474</x:v>
      </x:c>
      <x:c r="N182" s="192" t="n">
        <x:v>150</x:v>
      </x:c>
      <x:c r="O182" s="192" t="n">
        <x:v>11</x:v>
      </x:c>
      <x:c r="P182" s="193" t="b">
        <x:v>0</x:v>
      </x:c>
      <x:c r="Q182" s="193" t="b">
        <x:v>0</x:v>
      </x:c>
      <x:c r="R182" s="193" t="b">
        <x:v>0</x:v>
      </x:c>
      <x:c r="S182" s="193" t="b">
        <x:v>0</x:v>
      </x:c>
      <x:c r="T182" s="192" t="n">
        <x:v>58</x:v>
      </x:c>
      <x:c r="U182" s="192" t="n">
        <x:v>32</x:v>
      </x:c>
      <x:c r="V182" s="200" t="n">
        <x:v>0.3555555556</x:v>
      </x:c>
      <x:c r="W182" s="203" t="n">
        <x:v>300</x:v>
      </x:c>
      <x:c r="X182" s="203" t="n">
        <x:v>9280.5036489476</x:v>
      </x:c>
      <x:c r="Y182" s="203" t="n">
        <x:v>23993.9688090499</x:v>
      </x:c>
      <x:c r="Z182" s="193" t="b">
        <x:v>1</x:v>
      </x:c>
      <x:c r="AA182" s="193" t="b">
        <x:v>0</x:v>
      </x:c>
      <x:c r="AB182" s="193" t="b">
        <x:v>1</x:v>
      </x:c>
      <x:c r="AC182" s="193" t="b">
        <x:v>1</x:v>
      </x:c>
      <x:c r="AD182" s="193" t="b">
        <x:v>0</x:v>
      </x:c>
      <x:c r="AE182" s="193" t="b">
        <x:v>1</x:v>
      </x:c>
      <x:c r="AF182" s="193" t="b">
        <x:v>0</x:v>
      </x:c>
      <x:c r="AG182" s="193" t="b">
        <x:v>1</x:v>
      </x:c>
      <x:c r="AH182" s="193" t="b">
        <x:v>1</x:v>
      </x:c>
      <x:c r="AI182" s="193" t="b">
        <x:v>1</x:v>
      </x:c>
      <x:c r="AJ182" s="193" t="b">
        <x:v>1</x:v>
      </x:c>
    </x:row>
    <x:row r="183">
      <x:c r="A183" s="192" t="n">
        <x:v>679166677359467400</x:v>
      </x:c>
      <x:c r="B183" s="192" t="str">
        <x:v>https://www.airbnb.com.br/rooms/679166677359467385</x:v>
      </x:c>
      <x:c r="C183" s="192" t="str">
        <x:v>Frente mar primeiro andar acesso exclusivo praia12</x:v>
      </x:c>
      <x:c r="D183" s="192" t="str">
        <x:v>Meia Praia</x:v>
      </x:c>
      <x:c r="E183" s="192" t="n">
        <x:v>-27.13449</x:v>
      </x:c>
      <x:c r="F183" s="192" t="n">
        <x:v>-48.59377</x:v>
      </x:c>
      <x:c r="G183" s="192" t="str">
        <x:v>apartamento</x:v>
      </x:c>
      <x:c r="H183" s="192" t="n">
        <x:v>3</x:v>
      </x:c>
      <x:c r="I183" s="192" t="n">
        <x:v>2</x:v>
      </x:c>
      <x:c r="J183" s="192" t="n">
        <x:v>4</x:v>
      </x:c>
      <x:c r="K183" s="192" t="n">
        <x:v>10</x:v>
      </x:c>
      <x:c r="L183" s="192" t="n">
        <x:v>7</x:v>
      </x:c>
      <x:c r="M183" s="192" t="n">
        <x:v>5</x:v>
      </x:c>
      <x:c r="N183" s="192" t="n">
        <x:v>350</x:v>
      </x:c>
      <x:c r="O183" s="192" t="n">
        <x:v>32</x:v>
      </x:c>
      <x:c r="P183" s="193" t="b">
        <x:v>0</x:v>
      </x:c>
      <x:c r="Q183" s="193" t="b">
        <x:v>1</x:v>
      </x:c>
      <x:c r="R183" s="193" t="b">
        <x:v>1</x:v>
      </x:c>
      <x:c r="S183" s="193" t="b">
        <x:v>0</x:v>
      </x:c>
      <x:c r="T183" s="192" t="n">
        <x:v>78</x:v>
      </x:c>
      <x:c r="U183" s="192" t="n">
        <x:v>12</x:v>
      </x:c>
      <x:c r="V183" s="200" t="n">
        <x:v>0.1333333333</x:v>
      </x:c>
      <x:c r="W183" s="203" t="n">
        <x:v>937</x:v>
      </x:c>
      <x:c r="X183" s="203" t="n">
        <x:v>11185.2240855898</x:v>
      </x:c>
      <x:c r="Y183" s="203" t="n">
        <x:v>28918.4647712852</x:v>
      </x:c>
      <x:c r="Z183" s="193" t="b">
        <x:v>1</x:v>
      </x:c>
      <x:c r="AA183" s="193" t="b">
        <x:v>0</x:v>
      </x:c>
      <x:c r="AB183" s="193" t="b">
        <x:v>1</x:v>
      </x:c>
      <x:c r="AC183" s="193" t="b">
        <x:v>1</x:v>
      </x:c>
      <x:c r="AD183" s="193" t="b">
        <x:v>0</x:v>
      </x:c>
      <x:c r="AE183" s="193" t="b">
        <x:v>0</x:v>
      </x:c>
      <x:c r="AF183" s="193" t="b">
        <x:v>0</x:v>
      </x:c>
      <x:c r="AG183" s="193" t="b">
        <x:v>1</x:v>
      </x:c>
      <x:c r="AH183" s="193" t="b">
        <x:v>1</x:v>
      </x:c>
      <x:c r="AI183" s="193" t="b">
        <x:v>1</x:v>
      </x:c>
      <x:c r="AJ183" s="193" t="b">
        <x:v>0</x:v>
      </x:c>
    </x:row>
    <x:row r="184">
      <x:c r="A184" s="192" t="n">
        <x:v>41478160</x:v>
      </x:c>
      <x:c r="B184" s="192" t="str">
        <x:v>https://www.airbnb.com.br/rooms/41478160</x:v>
      </x:c>
      <x:c r="C184" s="192" t="str">
        <x:v>Apartamento em meia praia itapema</x:v>
      </x:c>
      <x:c r="D184" s="192" t="str">
        <x:v>Meia Praia</x:v>
      </x:c>
      <x:c r="E184" s="192" t="n">
        <x:v>-27.1328907013</x:v>
      </x:c>
      <x:c r="F184" s="192" t="n">
        <x:v>-48.6004600525</x:v>
      </x:c>
      <x:c r="G184" s="192" t="str">
        <x:v>apartamento</x:v>
      </x:c>
      <x:c r="H184" s="192" t="n">
        <x:v>2</x:v>
      </x:c>
      <x:c r="I184" s="192" t="n">
        <x:v>2</x:v>
      </x:c>
      <x:c r="J184" s="192" t="n">
        <x:v>4</x:v>
      </x:c>
      <x:c r="K184" s="192" t="n">
        <x:v>6</x:v>
      </x:c>
      <x:c r="L184" s="192" t="n">
        <x:v>7</x:v>
      </x:c>
      <x:c r="M184" s="192" t="n">
        <x:v>5</x:v>
      </x:c>
      <x:c r="N184" s="192" t="n">
        <x:v>200</x:v>
      </x:c>
      <x:c r="O184" s="192" t="n">
        <x:v>18</x:v>
      </x:c>
      <x:c r="P184" s="193" t="b">
        <x:v>0</x:v>
      </x:c>
      <x:c r="Q184" s="193" t="b">
        <x:v>0</x:v>
      </x:c>
      <x:c r="R184" s="193" t="b">
        <x:v>0</x:v>
      </x:c>
      <x:c r="S184" s="193" t="b">
        <x:v>0</x:v>
      </x:c>
      <x:c r="T184" s="192" t="n">
        <x:v>29</x:v>
      </x:c>
      <x:c r="U184" s="192" t="n">
        <x:v>61</x:v>
      </x:c>
      <x:c r="V184" s="200" t="n">
        <x:v>0.6777777778</x:v>
      </x:c>
      <x:c r="W184" s="203" t="n">
        <x:v>400</x:v>
      </x:c>
      <x:c r="X184" s="203" t="n">
        <x:v>23421.6827780191</x:v>
      </x:c>
      <x:c r="Y184" s="203" t="n">
        <x:v>60554.8090156703</x:v>
      </x:c>
      <x:c r="Z184" s="193" t="b">
        <x:v>0</x:v>
      </x:c>
      <x:c r="AA184" s="193" t="b">
        <x:v>0</x:v>
      </x:c>
      <x:c r="AB184" s="193" t="b">
        <x:v>1</x:v>
      </x:c>
      <x:c r="AC184" s="193" t="b">
        <x:v>1</x:v>
      </x:c>
      <x:c r="AD184" s="193" t="b">
        <x:v>0</x:v>
      </x:c>
      <x:c r="AE184" s="193" t="b">
        <x:v>0</x:v>
      </x:c>
      <x:c r="AF184" s="193" t="b">
        <x:v>1</x:v>
      </x:c>
      <x:c r="AG184" s="193" t="b">
        <x:v>1</x:v>
      </x:c>
      <x:c r="AH184" s="193" t="b">
        <x:v>1</x:v>
      </x:c>
      <x:c r="AI184" s="193" t="b">
        <x:v>1</x:v>
      </x:c>
      <x:c r="AJ184" s="193" t="b">
        <x:v>1</x:v>
      </x:c>
    </x:row>
    <x:row r="185">
      <x:c r="A185" s="192" t="n">
        <x:v>1312949509621922800</x:v>
      </x:c>
      <x:c r="B185" s="192" t="str">
        <x:v>https://www.airbnb.com.br/rooms/1312949509621922876</x:v>
      </x:c>
      <x:c r="C185" s="192" t="str">
        <x:v>Apto vista mar a 500m da Praia em Itapema DSH1702</x:v>
      </x:c>
      <x:c r="D185" s="192" t="str">
        <x:v>Morretes</x:v>
      </x:c>
      <x:c r="E185" s="192" t="n">
        <x:v>-27.1176601</x:v>
      </x:c>
      <x:c r="F185" s="192" t="n">
        <x:v>-48.6112927</x:v>
      </x:c>
      <x:c r="G185" s="192" t="str">
        <x:v>apartamento</x:v>
      </x:c>
      <x:c r="H185" s="192" t="n">
        <x:v>2</x:v>
      </x:c>
      <x:c r="I185" s="192" t="n">
        <x:v>2</x:v>
      </x:c>
      <x:c r="J185" s="192" t="n">
        <x:v>2</x:v>
      </x:c>
      <x:c r="K185" s="192" t="n">
        <x:v>4</x:v>
      </x:c>
      <x:c r="L185" s="192" t="n">
        <x:v>2</x:v>
      </x:c>
      <x:c r="M185" s="192" t="n">
        <x:v>5</x:v>
      </x:c>
      <x:c r="N185" s="192" t="n">
        <x:v>238</x:v>
      </x:c>
      <x:c r="O185" s="192" t="n">
        <x:v>0</x:v>
      </x:c>
      <x:c r="P185" s="193" t="b">
        <x:v>1</x:v>
      </x:c>
      <x:c r="Q185" s="193" t="b">
        <x:v>1</x:v>
      </x:c>
      <x:c r="R185" s="193" t="b">
        <x:v>0</x:v>
      </x:c>
      <x:c r="S185" s="193" t="b">
        <x:v>0</x:v>
      </x:c>
      <x:c r="T185" s="192" t="n">
        <x:v>68</x:v>
      </x:c>
      <x:c r="U185" s="192" t="n">
        <x:v>22</x:v>
      </x:c>
      <x:c r="V185" s="200" t="n">
        <x:v>0.2444444444</x:v>
      </x:c>
      <x:c r="W185" s="203" t="n">
        <x:v>471</x:v>
      </x:c>
      <x:c r="X185" s="203" t="n">
        <x:v>10282.5674280434</x:v>
      </x:c>
      <x:c r="Y185" s="203" t="n">
        <x:v>26584.7212045873</x:v>
      </x:c>
      <x:c r="Z185" s="193" t="b">
        <x:v>1</x:v>
      </x:c>
      <x:c r="AA185" s="193" t="b">
        <x:v>0</x:v>
      </x:c>
      <x:c r="AB185" s="193" t="b">
        <x:v>1</x:v>
      </x:c>
      <x:c r="AC185" s="193" t="b">
        <x:v>1</x:v>
      </x:c>
      <x:c r="AD185" s="193" t="b">
        <x:v>1</x:v>
      </x:c>
      <x:c r="AE185" s="193" t="b">
        <x:v>0</x:v>
      </x:c>
      <x:c r="AF185" s="193" t="b">
        <x:v>1</x:v>
      </x:c>
      <x:c r="AG185" s="193" t="b">
        <x:v>1</x:v>
      </x:c>
      <x:c r="AH185" s="193" t="b">
        <x:v>1</x:v>
      </x:c>
      <x:c r="AI185" s="193" t="b">
        <x:v>1</x:v>
      </x:c>
      <x:c r="AJ185" s="193" t="b">
        <x:v>1</x:v>
      </x:c>
    </x:row>
    <x:row r="186">
      <x:c r="A186" s="192" t="n">
        <x:v>42709234</x:v>
      </x:c>
      <x:c r="B186" s="192" t="str">
        <x:v>https://www.airbnb.com.br/rooms/42709234</x:v>
      </x:c>
      <x:c r="C186" s="192" t="str">
        <x:v>Apartamento perto Mar Ocean</x:v>
      </x:c>
      <x:c r="D186" s="192" t="str">
        <x:v>Centro</x:v>
      </x:c>
      <x:c r="E186" s="192" t="n">
        <x:v>-27.09704</x:v>
      </x:c>
      <x:c r="F186" s="192" t="n">
        <x:v>-48.61589</x:v>
      </x:c>
      <x:c r="G186" s="192" t="str">
        <x:v>apartamento</x:v>
      </x:c>
      <x:c r="H186" s="192" t="n">
        <x:v>3</x:v>
      </x:c>
      <x:c r="I186" s="192" t="n">
        <x:v>3</x:v>
      </x:c>
      <x:c r="J186" s="192" t="n">
        <x:v>4</x:v>
      </x:c>
      <x:c r="K186" s="192" t="n">
        <x:v>8</x:v>
      </x:c>
      <x:c r="L186" s="192" t="n">
        <x:v>12</x:v>
      </x:c>
      <x:c r="M186" s="192" t="n">
        <x:v>4.9200000763</x:v>
      </x:c>
      <x:c r="N186" s="192" t="n">
        <x:v>300</x:v>
      </x:c>
      <x:c r="O186" s="192" t="n">
        <x:v>20</x:v>
      </x:c>
      <x:c r="P186" s="193" t="b">
        <x:v>0</x:v>
      </x:c>
      <x:c r="Q186" s="193" t="b">
        <x:v>0</x:v>
      </x:c>
      <x:c r="R186" s="193" t="b">
        <x:v>0</x:v>
      </x:c>
      <x:c r="S186" s="193" t="b">
        <x:v>0</x:v>
      </x:c>
      <x:c r="T186" s="192" t="n">
        <x:v>83</x:v>
      </x:c>
      <x:c r="U186" s="192" t="n">
        <x:v>7</x:v>
      </x:c>
      <x:c r="V186" s="200" t="n">
        <x:v>0.0777777778</x:v>
      </x:c>
      <x:c r="W186" s="203" t="n">
        <x:v>420</x:v>
      </x:c>
      <x:c r="X186" s="203" t="n">
        <x:v>2990.7480993743</x:v>
      </x:c>
      <x:c r="Y186" s="203" t="n">
        <x:v>7732.3299819239</x:v>
      </x:c>
      <x:c r="Z186" s="193" t="b">
        <x:v>1</x:v>
      </x:c>
      <x:c r="AA186" s="193" t="b">
        <x:v>0</x:v>
      </x:c>
      <x:c r="AB186" s="193" t="b">
        <x:v>1</x:v>
      </x:c>
      <x:c r="AC186" s="193" t="b">
        <x:v>1</x:v>
      </x:c>
      <x:c r="AD186" s="193" t="b">
        <x:v>0</x:v>
      </x:c>
      <x:c r="AE186" s="193" t="b">
        <x:v>1</x:v>
      </x:c>
      <x:c r="AF186" s="193" t="b">
        <x:v>0</x:v>
      </x:c>
      <x:c r="AG186" s="193" t="b">
        <x:v>1</x:v>
      </x:c>
      <x:c r="AH186" s="193" t="b">
        <x:v>1</x:v>
      </x:c>
      <x:c r="AI186" s="193" t="b">
        <x:v>1</x:v>
      </x:c>
      <x:c r="AJ186" s="193" t="b">
        <x:v>1</x:v>
      </x:c>
    </x:row>
    <x:row r="187">
      <x:c r="A187" s="192" t="n">
        <x:v>54365625</x:v>
      </x:c>
      <x:c r="B187" s="192" t="str">
        <x:v>https://www.airbnb.com.br/rooms/54365625</x:v>
      </x:c>
      <x:c r="C187" s="192" t="str">
        <x:v>Casa familiar a 700 mt da praia com estacionamento</x:v>
      </x:c>
      <x:c r="D187" s="192" t="str">
        <x:v>Ilhota</x:v>
      </x:c>
      <x:c r="E187" s="192" t="n">
        <x:v>-27.0600700378</x:v>
      </x:c>
      <x:c r="F187" s="192" t="n">
        <x:v>-48.599521637</x:v>
      </x:c>
      <x:c r="G187" s="192" t="str">
        <x:v>casa</x:v>
      </x:c>
      <x:c r="H187" s="192" t="n">
        <x:v>3</x:v>
      </x:c>
      <x:c r="I187" s="192" t="n">
        <x:v>2</x:v>
      </x:c>
      <x:c r="J187" s="192" t="n">
        <x:v>3</x:v>
      </x:c>
      <x:c r="K187" s="192" t="n">
        <x:v>8</x:v>
      </x:c>
      <x:c r="L187" s="192" t="n">
        <x:v>10</x:v>
      </x:c>
      <x:c r="M187" s="192" t="n">
        <x:v>4.3000001907</x:v>
      </x:c>
      <x:c r="N187" s="192" t="n">
        <x:v>180</x:v>
      </x:c>
      <x:c r="O187" s="192" t="n">
        <x:v>12</x:v>
      </x:c>
      <x:c r="P187" s="193" t="b">
        <x:v>0</x:v>
      </x:c>
      <x:c r="Q187" s="193" t="b">
        <x:v>0</x:v>
      </x:c>
      <x:c r="R187" s="193" t="b">
        <x:v>0</x:v>
      </x:c>
      <x:c r="S187" s="193" t="b">
        <x:v>0</x:v>
      </x:c>
      <x:c r="T187" s="192" t="n">
        <x:v>81</x:v>
      </x:c>
      <x:c r="U187" s="192" t="n">
        <x:v>9</x:v>
      </x:c>
      <x:c r="V187" s="200" t="n">
        <x:v>0.1</x:v>
      </x:c>
      <x:c r="W187" s="203" t="n">
        <x:v>700</x:v>
      </x:c>
      <x:c r="X187" s="203" t="n">
        <x:v>6400.3529903448</x:v>
      </x:c>
      <x:c r="Y187" s="203" t="n">
        <x:v>16547.5792937872</x:v>
      </x:c>
      <x:c r="Z187" s="193" t="b">
        <x:v>1</x:v>
      </x:c>
      <x:c r="AA187" s="193" t="b">
        <x:v>0</x:v>
      </x:c>
      <x:c r="AB187" s="193" t="b">
        <x:v>1</x:v>
      </x:c>
      <x:c r="AC187" s="193" t="b">
        <x:v>1</x:v>
      </x:c>
      <x:c r="AD187" s="193" t="b">
        <x:v>0</x:v>
      </x:c>
      <x:c r="AE187" s="193" t="b">
        <x:v>0</x:v>
      </x:c>
      <x:c r="AF187" s="193" t="b">
        <x:v>1</x:v>
      </x:c>
      <x:c r="AG187" s="193" t="b">
        <x:v>1</x:v>
      </x:c>
      <x:c r="AH187" s="193" t="b">
        <x:v>1</x:v>
      </x:c>
      <x:c r="AI187" s="193" t="b">
        <x:v>1</x:v>
      </x:c>
      <x:c r="AJ187" s="193" t="b">
        <x:v>1</x:v>
      </x:c>
    </x:row>
    <x:row r="188">
      <x:c r="A188" s="192" t="n">
        <x:v>49824103</x:v>
      </x:c>
      <x:c r="B188" s="192" t="str">
        <x:v>https://www.airbnb.com.br/rooms/49824103</x:v>
      </x:c>
      <x:c r="C188" s="192" t="str">
        <x:v>Apartamento à 4 minutos praia, vista lateral mar.</x:v>
      </x:c>
      <x:c r="D188" s="192" t="str">
        <x:v>Meia Praia</x:v>
      </x:c>
      <x:c r="E188" s="192" t="n">
        <x:v>-27.1299991608</x:v>
      </x:c>
      <x:c r="F188" s="192" t="n">
        <x:v>-48.6030006409</x:v>
      </x:c>
      <x:c r="G188" s="192" t="str">
        <x:v>apartamento</x:v>
      </x:c>
      <x:c r="H188" s="192" t="n">
        <x:v>3</x:v>
      </x:c>
      <x:c r="I188" s="192" t="n">
        <x:v>2</x:v>
      </x:c>
      <x:c r="J188" s="192" t="n">
        <x:v>3</x:v>
      </x:c>
      <x:c r="K188" s="192" t="n">
        <x:v>8</x:v>
      </x:c>
      <x:c r="L188" s="192" t="n">
        <x:v>43</x:v>
      </x:c>
      <x:c r="M188" s="192" t="n">
        <x:v>4.9299998283</x:v>
      </x:c>
      <x:c r="N188" s="192" t="n">
        <x:v>250</x:v>
      </x:c>
      <x:c r="O188" s="192" t="n">
        <x:v>37</x:v>
      </x:c>
      <x:c r="P188" s="193" t="b">
        <x:v>1</x:v>
      </x:c>
      <x:c r="Q188" s="193" t="b">
        <x:v>0</x:v>
      </x:c>
      <x:c r="R188" s="193" t="b">
        <x:v>1</x:v>
      </x:c>
      <x:c r="S188" s="193" t="b">
        <x:v>0</x:v>
      </x:c>
      <x:c r="T188" s="192" t="n">
        <x:v>39</x:v>
      </x:c>
      <x:c r="U188" s="192" t="n">
        <x:v>51</x:v>
      </x:c>
      <x:c r="V188" s="200" t="n">
        <x:v>0.5666666667</x:v>
      </x:c>
      <x:c r="W188" s="203" t="n">
        <x:v>440</x:v>
      </x:c>
      <x:c r="X188" s="203" t="n">
        <x:v>23148.1349637775</x:v>
      </x:c>
      <x:c r="Y188" s="203" t="n">
        <x:v>59847.5739375997</x:v>
      </x:c>
      <x:c r="Z188" s="193" t="b">
        <x:v>0</x:v>
      </x:c>
      <x:c r="AA188" s="193" t="b">
        <x:v>0</x:v>
      </x:c>
      <x:c r="AB188" s="193" t="b">
        <x:v>1</x:v>
      </x:c>
      <x:c r="AC188" s="193" t="b">
        <x:v>1</x:v>
      </x:c>
      <x:c r="AD188" s="193" t="b">
        <x:v>1</x:v>
      </x:c>
      <x:c r="AE188" s="193" t="b">
        <x:v>1</x:v>
      </x:c>
      <x:c r="AF188" s="193" t="b">
        <x:v>1</x:v>
      </x:c>
      <x:c r="AG188" s="193" t="b">
        <x:v>1</x:v>
      </x:c>
      <x:c r="AH188" s="193" t="b">
        <x:v>1</x:v>
      </x:c>
      <x:c r="AI188" s="193" t="b">
        <x:v>1</x:v>
      </x:c>
      <x:c r="AJ188" s="193" t="b">
        <x:v>1</x:v>
      </x:c>
    </x:row>
    <x:row r="189">
      <x:c r="A189" s="192" t="n">
        <x:v>1067320906990424800</x:v>
      </x:c>
      <x:c r="B189" s="192" t="str">
        <x:v>https://www.airbnb.com.br/rooms/1067320906990424780</x:v>
      </x:c>
      <x:c r="C189" s="192" t="str">
        <x:v>Apto vista mar c/ churrasq. em Itapema GBL601</x:v>
      </x:c>
      <x:c r="D189" s="192" t="str">
        <x:v>Centro</x:v>
      </x:c>
      <x:c r="E189" s="192" t="n">
        <x:v>-27.1009998322</x:v>
      </x:c>
      <x:c r="F189" s="192" t="n">
        <x:v>-48.6160011292</x:v>
      </x:c>
      <x:c r="G189" s="192" t="str">
        <x:v>apartamento</x:v>
      </x:c>
      <x:c r="H189" s="192" t="n">
        <x:v>3</x:v>
      </x:c>
      <x:c r="I189" s="192" t="n">
        <x:v>2</x:v>
      </x:c>
      <x:c r="J189" s="192" t="n">
        <x:v>4</x:v>
      </x:c>
      <x:c r="K189" s="192" t="n">
        <x:v>6</x:v>
      </x:c>
      <x:c r="L189" s="192" t="n">
        <x:v>8</x:v>
      </x:c>
      <x:c r="M189" s="192" t="n">
        <x:v>4.6300001144</x:v>
      </x:c>
      <x:c r="N189" s="192" t="n">
        <x:v>489</x:v>
      </x:c>
      <x:c r="O189" s="192" t="n">
        <x:v>34</x:v>
      </x:c>
      <x:c r="P189" s="193" t="b">
        <x:v>1</x:v>
      </x:c>
      <x:c r="Q189" s="193" t="b">
        <x:v>1</x:v>
      </x:c>
      <x:c r="R189" s="193" t="b">
        <x:v>0</x:v>
      </x:c>
      <x:c r="S189" s="193" t="b">
        <x:v>0</x:v>
      </x:c>
      <x:c r="T189" s="192" t="n">
        <x:v>61</x:v>
      </x:c>
      <x:c r="U189" s="192" t="n">
        <x:v>29</x:v>
      </x:c>
      <x:c r="V189" s="200" t="n">
        <x:v>0.3222222222</x:v>
      </x:c>
      <x:c r="W189" s="203" t="n">
        <x:v>523</x:v>
      </x:c>
      <x:c r="X189" s="203" t="n">
        <x:v>15151.4753081499</x:v>
      </x:c>
      <x:c r="Y189" s="203" t="n">
        <x:v>39172.8767862793</x:v>
      </x:c>
      <x:c r="Z189" s="193" t="b">
        <x:v>1</x:v>
      </x:c>
      <x:c r="AA189" s="193" t="b">
        <x:v>0</x:v>
      </x:c>
      <x:c r="AB189" s="193" t="b">
        <x:v>0</x:v>
      </x:c>
      <x:c r="AC189" s="193" t="b">
        <x:v>1</x:v>
      </x:c>
      <x:c r="AD189" s="193" t="b">
        <x:v>1</x:v>
      </x:c>
      <x:c r="AE189" s="193" t="b">
        <x:v>0</x:v>
      </x:c>
      <x:c r="AF189" s="193" t="b">
        <x:v>1</x:v>
      </x:c>
      <x:c r="AG189" s="193" t="b">
        <x:v>1</x:v>
      </x:c>
      <x:c r="AH189" s="193" t="b">
        <x:v>1</x:v>
      </x:c>
      <x:c r="AI189" s="193" t="b">
        <x:v>1</x:v>
      </x:c>
      <x:c r="AJ189" s="193" t="b">
        <x:v>1</x:v>
      </x:c>
    </x:row>
    <x:row r="190">
      <x:c r="A190" s="192" t="n">
        <x:v>1082133757143221900</x:v>
      </x:c>
      <x:c r="B190" s="192" t="str">
        <x:v>https://www.airbnb.com.br/rooms/1082133757143221839</x:v>
      </x:c>
      <x:c r="C190" s="192" t="str">
        <x:v>Excelente apartamento frente mar</x:v>
      </x:c>
      <x:c r="D190" s="192" t="str">
        <x:v>Meia Praia</x:v>
      </x:c>
      <x:c r="E190" s="192" t="n">
        <x:v>-27.138999939</x:v>
      </x:c>
      <x:c r="F190" s="192" t="n">
        <x:v>-48.5909996033</x:v>
      </x:c>
      <x:c r="G190" s="192" t="str">
        <x:v>apartamento</x:v>
      </x:c>
      <x:c r="H190" s="192" t="n">
        <x:v>3</x:v>
      </x:c>
      <x:c r="I190" s="192" t="n">
        <x:v>2</x:v>
      </x:c>
      <x:c r="J190" s="192" t="n">
        <x:v>0</x:v>
      </x:c>
      <x:c r="K190" s="192" t="n">
        <x:v>6</x:v>
      </x:c>
      <x:c r="L190" s="192" t="n">
        <x:v>19</x:v>
      </x:c>
      <x:c r="M190" s="192" t="n">
        <x:v>5</x:v>
      </x:c>
      <x:c r="N190" s="192" t="n">
        <x:v>300</x:v>
      </x:c>
      <x:c r="O190" s="192" t="n">
        <x:v>20</x:v>
      </x:c>
      <x:c r="P190" s="193" t="b">
        <x:v>0</x:v>
      </x:c>
      <x:c r="Q190" s="193" t="b">
        <x:v>0</x:v>
      </x:c>
      <x:c r="R190" s="193" t="b">
        <x:v>1</x:v>
      </x:c>
      <x:c r="S190" s="193" t="b">
        <x:v>1</x:v>
      </x:c>
      <x:c r="T190" s="192" t="n">
        <x:v>15</x:v>
      </x:c>
      <x:c r="U190" s="192" t="n">
        <x:v>75</x:v>
      </x:c>
      <x:c r="V190" s="200" t="n">
        <x:v>0.8333333333</x:v>
      </x:c>
      <x:c r="W190" s="203" t="n">
        <x:v>1200</x:v>
      </x:c>
      <x:c r="X190" s="203" t="n">
        <x:v>90343.5232073625</x:v>
      </x:c>
      <x:c r="Y190" s="203" t="n">
        <x:v>233575.6506257018</x:v>
      </x:c>
      <x:c r="Z190" s="193" t="b">
        <x:v>0</x:v>
      </x:c>
      <x:c r="AA190" s="193" t="b">
        <x:v>0</x:v>
      </x:c>
      <x:c r="AB190" s="193" t="b">
        <x:v>1</x:v>
      </x:c>
      <x:c r="AC190" s="193" t="b">
        <x:v>1</x:v>
      </x:c>
      <x:c r="AD190" s="193" t="b">
        <x:v>1</x:v>
      </x:c>
      <x:c r="AE190" s="193" t="b">
        <x:v>1</x:v>
      </x:c>
      <x:c r="AF190" s="193" t="b">
        <x:v>1</x:v>
      </x:c>
      <x:c r="AG190" s="193" t="b">
        <x:v>1</x:v>
      </x:c>
      <x:c r="AH190" s="193" t="b">
        <x:v>1</x:v>
      </x:c>
      <x:c r="AI190" s="193" t="b">
        <x:v>1</x:v>
      </x:c>
      <x:c r="AJ190" s="193" t="b">
        <x:v>1</x:v>
      </x:c>
    </x:row>
    <x:row r="191">
      <x:c r="A191" s="192" t="n">
        <x:v>45350304</x:v>
      </x:c>
      <x:c r="B191" s="192" t="str">
        <x:v>https://www.airbnb.com.br/rooms/45350304</x:v>
      </x:c>
      <x:c r="C191" s="192" t="str">
        <x:v>Apto, com Vista do Mar, aconchegante para famílias</x:v>
      </x:c>
      <x:c r="D191" s="192" t="str">
        <x:v>Meia Praia</x:v>
      </x:c>
      <x:c r="E191" s="192" t="n">
        <x:v>-27.1322</x:v>
      </x:c>
      <x:c r="F191" s="192" t="n">
        <x:v>-48.60087</x:v>
      </x:c>
      <x:c r="G191" s="192" t="str">
        <x:v>apartamento</x:v>
      </x:c>
      <x:c r="H191" s="192" t="n">
        <x:v>3</x:v>
      </x:c>
      <x:c r="I191" s="192" t="n">
        <x:v>2</x:v>
      </x:c>
      <x:c r="J191" s="192" t="n">
        <x:v>3</x:v>
      </x:c>
      <x:c r="K191" s="192" t="n">
        <x:v>8</x:v>
      </x:c>
      <x:c r="L191" s="192" t="n">
        <x:v>13</x:v>
      </x:c>
      <x:c r="M191" s="192" t="n">
        <x:v>5</x:v>
      </x:c>
      <x:c r="N191" s="192" t="n">
        <x:v>500</x:v>
      </x:c>
      <x:c r="O191" s="192" t="n">
        <x:v>23</x:v>
      </x:c>
      <x:c r="P191" s="193" t="b">
        <x:v>0</x:v>
      </x:c>
      <x:c r="Q191" s="193" t="b">
        <x:v>0</x:v>
      </x:c>
      <x:c r="R191" s="193" t="b">
        <x:v>1</x:v>
      </x:c>
      <x:c r="S191" s="193" t="b">
        <x:v>1</x:v>
      </x:c>
      <x:c r="T191" s="192" t="n">
        <x:v>79</x:v>
      </x:c>
      <x:c r="U191" s="192" t="n">
        <x:v>11</x:v>
      </x:c>
      <x:c r="V191" s="200" t="n">
        <x:v>0.1222222222</x:v>
      </x:c>
      <x:c r="W191" s="203" t="n">
        <x:v>450</x:v>
      </x:c>
      <x:c r="X191" s="203" t="n">
        <x:v>5016.8849739544</x:v>
      </x:c>
      <x:c r="Y191" s="203" t="n">
        <x:v>12970.7380264112</x:v>
      </x:c>
      <x:c r="Z191" s="193" t="b">
        <x:v>1</x:v>
      </x:c>
      <x:c r="AA191" s="193" t="b">
        <x:v>0</x:v>
      </x:c>
      <x:c r="AB191" s="193" t="b">
        <x:v>1</x:v>
      </x:c>
      <x:c r="AC191" s="193" t="b">
        <x:v>1</x:v>
      </x:c>
      <x:c r="AD191" s="193" t="b">
        <x:v>0</x:v>
      </x:c>
      <x:c r="AE191" s="193" t="b">
        <x:v>1</x:v>
      </x:c>
      <x:c r="AF191" s="193" t="b">
        <x:v>1</x:v>
      </x:c>
      <x:c r="AG191" s="193" t="b">
        <x:v>1</x:v>
      </x:c>
      <x:c r="AH191" s="193" t="b">
        <x:v>1</x:v>
      </x:c>
      <x:c r="AI191" s="193" t="b">
        <x:v>1</x:v>
      </x:c>
      <x:c r="AJ191" s="193" t="b">
        <x:v>1</x:v>
      </x:c>
    </x:row>
    <x:row r="192">
      <x:c r="A192" s="192" t="n">
        <x:v>53154219</x:v>
      </x:c>
      <x:c r="B192" s="192" t="str">
        <x:v>https://www.airbnb.com.br/rooms/53154219</x:v>
      </x:c>
      <x:c r="C192" s="192" t="str">
        <x:v>Quadra mar, perto da praia e calçadão, exclusivo!!</x:v>
      </x:c>
      <x:c r="D192" s="192" t="str">
        <x:v>Meia Praia</x:v>
      </x:c>
      <x:c r="E192" s="192" t="n">
        <x:v>-27.1395</x:v>
      </x:c>
      <x:c r="F192" s="192" t="n">
        <x:v>-48.59329</x:v>
      </x:c>
      <x:c r="G192" s="192" t="str">
        <x:v>apartamento</x:v>
      </x:c>
      <x:c r="H192" s="192" t="n">
        <x:v>2</x:v>
      </x:c>
      <x:c r="I192" s="192" t="n">
        <x:v>2</x:v>
      </x:c>
      <x:c r="J192" s="192" t="n">
        <x:v>3</x:v>
      </x:c>
      <x:c r="K192" s="192" t="n">
        <x:v>5</x:v>
      </x:c>
      <x:c r="L192" s="192" t="n">
        <x:v>27</x:v>
      </x:c>
      <x:c r="M192" s="192" t="n">
        <x:v>4.8499999046</x:v>
      </x:c>
      <x:c r="N192" s="192" t="n">
        <x:v>300</x:v>
      </x:c>
      <x:c r="O192" s="192" t="n">
        <x:v>21</x:v>
      </x:c>
      <x:c r="P192" s="193" t="b">
        <x:v>0</x:v>
      </x:c>
      <x:c r="Q192" s="193" t="b">
        <x:v>0</x:v>
      </x:c>
      <x:c r="R192" s="193" t="b">
        <x:v>1</x:v>
      </x:c>
      <x:c r="S192" s="193" t="b">
        <x:v>0</x:v>
      </x:c>
      <x:c r="T192" s="192" t="n">
        <x:v>79</x:v>
      </x:c>
      <x:c r="U192" s="192" t="n">
        <x:v>11</x:v>
      </x:c>
      <x:c r="V192" s="200" t="n">
        <x:v>0.1222222222</x:v>
      </x:c>
      <x:c r="W192" s="203" t="n">
        <x:v>577</x:v>
      </x:c>
      <x:c r="X192" s="203" t="n">
        <x:v>6432.7613999371</x:v>
      </x:c>
      <x:c r="Y192" s="203" t="n">
        <x:v>16631.3685360873</x:v>
      </x:c>
      <x:c r="Z192" s="193" t="b">
        <x:v>1</x:v>
      </x:c>
      <x:c r="AA192" s="193" t="b">
        <x:v>0</x:v>
      </x:c>
      <x:c r="AB192" s="193" t="b">
        <x:v>1</x:v>
      </x:c>
      <x:c r="AC192" s="193" t="b">
        <x:v>1</x:v>
      </x:c>
      <x:c r="AD192" s="193" t="b">
        <x:v>1</x:v>
      </x:c>
      <x:c r="AE192" s="193" t="b">
        <x:v>1</x:v>
      </x:c>
      <x:c r="AF192" s="193" t="b">
        <x:v>1</x:v>
      </x:c>
      <x:c r="AG192" s="193" t="b">
        <x:v>1</x:v>
      </x:c>
      <x:c r="AH192" s="193" t="b">
        <x:v>1</x:v>
      </x:c>
      <x:c r="AI192" s="193" t="b">
        <x:v>1</x:v>
      </x:c>
      <x:c r="AJ192" s="193" t="b">
        <x:v>1</x:v>
      </x:c>
    </x:row>
    <x:row r="193">
      <x:c r="A193" s="192" t="n">
        <x:v>782734966853311700</x:v>
      </x:c>
      <x:c r="B193" s="192" t="str">
        <x:v>https://www.airbnb.com.br/rooms/782734966853311782</x:v>
      </x:c>
      <x:c r="C193" s="192" t="str">
        <x:v>Apto 3 suítes Meia Praia Itapema</x:v>
      </x:c>
      <x:c r="D193" s="192" t="str">
        <x:v>Meia Praia</x:v>
      </x:c>
      <x:c r="E193" s="192" t="n">
        <x:v>-27.1340007782</x:v>
      </x:c>
      <x:c r="F193" s="192" t="n">
        <x:v>-48.6020011902</x:v>
      </x:c>
      <x:c r="G193" s="192" t="str">
        <x:v>apartamento</x:v>
      </x:c>
      <x:c r="H193" s="192" t="n">
        <x:v>3</x:v>
      </x:c>
      <x:c r="I193" s="192" t="n">
        <x:v>3</x:v>
      </x:c>
      <x:c r="J193" s="192" t="n">
        <x:v>4</x:v>
      </x:c>
      <x:c r="K193" s="192" t="n">
        <x:v>8</x:v>
      </x:c>
      <x:c r="L193" s="192" t="n">
        <x:v>9</x:v>
      </x:c>
      <x:c r="M193" s="192" t="n">
        <x:v>5</x:v>
      </x:c>
      <x:c r="N193" s="192" t="n">
        <x:v>350</x:v>
      </x:c>
      <x:c r="O193" s="192" t="n">
        <x:v>19</x:v>
      </x:c>
      <x:c r="P193" s="193" t="b">
        <x:v>1</x:v>
      </x:c>
      <x:c r="Q193" s="193" t="b">
        <x:v>0</x:v>
      </x:c>
      <x:c r="R193" s="193" t="b">
        <x:v>1</x:v>
      </x:c>
      <x:c r="S193" s="193" t="b">
        <x:v>1</x:v>
      </x:c>
      <x:c r="T193" s="192" t="n">
        <x:v>79</x:v>
      </x:c>
      <x:c r="U193" s="192" t="n">
        <x:v>11</x:v>
      </x:c>
      <x:c r="V193" s="200" t="n">
        <x:v>0.1222222222</x:v>
      </x:c>
      <x:c r="W193" s="203" t="n">
        <x:v>580</x:v>
      </x:c>
      <x:c r="X193" s="203" t="n">
        <x:v>6314.812449612</x:v>
      </x:c>
      <x:c r="Y193" s="203" t="n">
        <x:v>16326.421354101</x:v>
      </x:c>
      <x:c r="Z193" s="193" t="b">
        <x:v>1</x:v>
      </x:c>
      <x:c r="AA193" s="193" t="b">
        <x:v>0</x:v>
      </x:c>
      <x:c r="AB193" s="193" t="b">
        <x:v>1</x:v>
      </x:c>
      <x:c r="AC193" s="193" t="b">
        <x:v>1</x:v>
      </x:c>
      <x:c r="AD193" s="193" t="b">
        <x:v>0</x:v>
      </x:c>
      <x:c r="AE193" s="193" t="b">
        <x:v>1</x:v>
      </x:c>
      <x:c r="AF193" s="193" t="b">
        <x:v>1</x:v>
      </x:c>
      <x:c r="AG193" s="193" t="b">
        <x:v>1</x:v>
      </x:c>
      <x:c r="AH193" s="193" t="b">
        <x:v>1</x:v>
      </x:c>
      <x:c r="AI193" s="193" t="b">
        <x:v>1</x:v>
      </x:c>
      <x:c r="AJ193" s="193" t="b">
        <x:v>1</x:v>
      </x:c>
    </x:row>
    <x:row r="194">
      <x:c r="A194" s="192" t="n">
        <x:v>1207335703563012900</x:v>
      </x:c>
      <x:c r="B194" s="192" t="str">
        <x:v>https://www.airbnb.com.br/rooms/1207335703563012811</x:v>
      </x:c>
      <x:c r="C194" s="192" t="str">
        <x:v>Studio em Edifício com Piscina Vista Mar MHFA0504</x:v>
      </x:c>
      <x:c r="D194" s="192" t="str">
        <x:v>Centro</x:v>
      </x:c>
      <x:c r="E194" s="192" t="n">
        <x:v>-27.09306</x:v>
      </x:c>
      <x:c r="F194" s="192" t="n">
        <x:v>-48.61326</x:v>
      </x:c>
      <x:c r="G194" s="192" t="str">
        <x:v>apartamento</x:v>
      </x:c>
      <x:c r="H194" s="192" t="n">
        <x:v>1</x:v>
      </x:c>
      <x:c r="I194" s="192" t="n">
        <x:v>1</x:v>
      </x:c>
      <x:c r="J194" s="192" t="n">
        <x:v>1</x:v>
      </x:c>
      <x:c r="K194" s="192" t="n">
        <x:v>2</x:v>
      </x:c>
      <x:c r="L194" s="192" t="n">
        <x:v>1</x:v>
      </x:c>
      <x:c r="M194" s="192" t="n">
        <x:v>5</x:v>
      </x:c>
      <x:c r="N194" s="192" t="n">
        <x:v>150</x:v>
      </x:c>
      <x:c r="O194" s="192" t="n">
        <x:v>0</x:v>
      </x:c>
      <x:c r="P194" s="193" t="b">
        <x:v>1</x:v>
      </x:c>
      <x:c r="Q194" s="193" t="b">
        <x:v>1</x:v>
      </x:c>
      <x:c r="R194" s="193" t="b">
        <x:v>0</x:v>
      </x:c>
      <x:c r="S194" s="193" t="b">
        <x:v>0</x:v>
      </x:c>
      <x:c r="T194" s="192" t="n">
        <x:v>74</x:v>
      </x:c>
      <x:c r="U194" s="192" t="n">
        <x:v>16</x:v>
      </x:c>
      <x:c r="V194" s="200" t="n">
        <x:v>0.1777777778</x:v>
      </x:c>
      <x:c r="W194" s="203" t="n">
        <x:v>427</x:v>
      </x:c>
      <x:c r="X194" s="203" t="n">
        <x:v>7509.6496038659</x:v>
      </x:c>
      <x:c r="Y194" s="203" t="n">
        <x:v>19415.5732466615</x:v>
      </x:c>
      <x:c r="Z194" s="193" t="b">
        <x:v>1</x:v>
      </x:c>
      <x:c r="AA194" s="193" t="b">
        <x:v>1</x:v>
      </x:c>
      <x:c r="AB194" s="193" t="b">
        <x:v>1</x:v>
      </x:c>
      <x:c r="AC194" s="193" t="b">
        <x:v>1</x:v>
      </x:c>
      <x:c r="AD194" s="193" t="b">
        <x:v>1</x:v>
      </x:c>
      <x:c r="AE194" s="193" t="b">
        <x:v>0</x:v>
      </x:c>
      <x:c r="AF194" s="193" t="b">
        <x:v>1</x:v>
      </x:c>
      <x:c r="AG194" s="193" t="b">
        <x:v>1</x:v>
      </x:c>
      <x:c r="AH194" s="193" t="b">
        <x:v>1</x:v>
      </x:c>
      <x:c r="AI194" s="193" t="b">
        <x:v>0</x:v>
      </x:c>
      <x:c r="AJ194" s="193" t="b">
        <x:v>0</x:v>
      </x:c>
    </x:row>
    <x:row r="195">
      <x:c r="A195" s="192" t="n">
        <x:v>1033202997223117600</x:v>
      </x:c>
      <x:c r="B195" s="192" t="str">
        <x:v>https://www.airbnb.com.br/rooms/1033202997223117530</x:v>
      </x:c>
      <x:c r="C195" s="192" t="str">
        <x:v>Apartamento Frente Mar, 4 quartos, Meia Praia.</x:v>
      </x:c>
      <x:c r="D195" s="192" t="str">
        <x:v>Meia Praia</x:v>
      </x:c>
      <x:c r="E195" s="192" t="n">
        <x:v>-27.1319999695</x:v>
      </x:c>
      <x:c r="F195" s="192" t="n">
        <x:v>-48.5979995728</x:v>
      </x:c>
      <x:c r="G195" s="192" t="str">
        <x:v>apartamento</x:v>
      </x:c>
      <x:c r="H195" s="192" t="n">
        <x:v>4</x:v>
      </x:c>
      <x:c r="I195" s="192" t="n">
        <x:v>3</x:v>
      </x:c>
      <x:c r="J195" s="192" t="n">
        <x:v>7</x:v>
      </x:c>
      <x:c r="K195" s="192" t="n">
        <x:v>12</x:v>
      </x:c>
      <x:c r="L195" s="192" t="n">
        <x:v>17</x:v>
      </x:c>
      <x:c r="M195" s="192" t="n">
        <x:v>5</x:v>
      </x:c>
      <x:c r="N195" s="192" t="n">
        <x:v>450</x:v>
      </x:c>
      <x:c r="O195" s="192" t="n">
        <x:v>46</x:v>
      </x:c>
      <x:c r="P195" s="193" t="b">
        <x:v>1</x:v>
      </x:c>
      <x:c r="Q195" s="193" t="b">
        <x:v>0</x:v>
      </x:c>
      <x:c r="R195" s="193" t="b">
        <x:v>1</x:v>
      </x:c>
      <x:c r="S195" s="193" t="b">
        <x:v>1</x:v>
      </x:c>
      <x:c r="T195" s="192" t="n">
        <x:v>29</x:v>
      </x:c>
      <x:c r="U195" s="192" t="n">
        <x:v>61</x:v>
      </x:c>
      <x:c r="V195" s="200" t="n">
        <x:v>0.6777777778</x:v>
      </x:c>
      <x:c r="W195" s="203" t="n">
        <x:v>1800</x:v>
      </x:c>
      <x:c r="X195" s="203" t="n">
        <x:v>105974.6130459969</x:v>
      </x:c>
      <x:c r="Y195" s="203" t="n">
        <x:v>273988.5308126712</x:v>
      </x:c>
      <x:c r="Z195" s="193" t="b">
        <x:v>0</x:v>
      </x:c>
      <x:c r="AA195" s="193" t="b">
        <x:v>0</x:v>
      </x:c>
      <x:c r="AB195" s="193" t="b">
        <x:v>1</x:v>
      </x:c>
      <x:c r="AC195" s="193" t="b">
        <x:v>1</x:v>
      </x:c>
      <x:c r="AD195" s="193" t="b">
        <x:v>1</x:v>
      </x:c>
      <x:c r="AE195" s="193" t="b">
        <x:v>1</x:v>
      </x:c>
      <x:c r="AF195" s="193" t="b">
        <x:v>1</x:v>
      </x:c>
      <x:c r="AG195" s="193" t="b">
        <x:v>1</x:v>
      </x:c>
      <x:c r="AH195" s="193" t="b">
        <x:v>1</x:v>
      </x:c>
      <x:c r="AI195" s="193" t="b">
        <x:v>1</x:v>
      </x:c>
      <x:c r="AJ195" s="193" t="b">
        <x:v>0</x:v>
      </x:c>
    </x:row>
    <x:row r="196">
      <x:c r="A196" s="192" t="n">
        <x:v>52536443</x:v>
      </x:c>
      <x:c r="B196" s="192" t="str">
        <x:v>https://www.airbnb.com.br/rooms/52536443</x:v>
      </x:c>
      <x:c r="C196" s="192" t="str">
        <x:v>Apartamento 201: vista mar e 20m da praia</x:v>
      </x:c>
      <x:c r="D196" s="192" t="str">
        <x:v>Centro</x:v>
      </x:c>
      <x:c r="E196" s="192" t="n">
        <x:v>-27.09896</x:v>
      </x:c>
      <x:c r="F196" s="192" t="n">
        <x:v>-48.61409</x:v>
      </x:c>
      <x:c r="G196" s="192" t="str">
        <x:v>apartamento</x:v>
      </x:c>
      <x:c r="H196" s="192" t="n">
        <x:v>2</x:v>
      </x:c>
      <x:c r="I196" s="192" t="n">
        <x:v>2</x:v>
      </x:c>
      <x:c r="J196" s="192" t="n">
        <x:v>4</x:v>
      </x:c>
      <x:c r="K196" s="192" t="n">
        <x:v>5</x:v>
      </x:c>
      <x:c r="L196" s="192" t="n">
        <x:v>13</x:v>
      </x:c>
      <x:c r="M196" s="192" t="n">
        <x:v>5</x:v>
      </x:c>
      <x:c r="N196" s="192" t="n">
        <x:v>260</x:v>
      </x:c>
      <x:c r="O196" s="192" t="n">
        <x:v>13</x:v>
      </x:c>
      <x:c r="P196" s="193" t="b">
        <x:v>0</x:v>
      </x:c>
      <x:c r="Q196" s="193" t="b">
        <x:v>0</x:v>
      </x:c>
      <x:c r="R196" s="193" t="b">
        <x:v>1</x:v>
      </x:c>
      <x:c r="S196" s="193" t="b">
        <x:v>0</x:v>
      </x:c>
      <x:c r="T196" s="192" t="n">
        <x:v>26</x:v>
      </x:c>
      <x:c r="U196" s="192" t="n">
        <x:v>64</x:v>
      </x:c>
      <x:c r="V196" s="200" t="n">
        <x:v>0.7111111111</x:v>
      </x:c>
      <x:c r="W196" s="203" t="n">
        <x:v>340</x:v>
      </x:c>
      <x:c r="X196" s="203" t="n">
        <x:v>21878.5799667309</x:v>
      </x:c>
      <x:c r="Y196" s="203" t="n">
        <x:v>56565.2452889855</x:v>
      </x:c>
      <x:c r="Z196" s="193" t="b">
        <x:v>0</x:v>
      </x:c>
      <x:c r="AA196" s="193" t="b">
        <x:v>0</x:v>
      </x:c>
      <x:c r="AB196" s="193" t="b">
        <x:v>1</x:v>
      </x:c>
      <x:c r="AC196" s="193" t="b">
        <x:v>1</x:v>
      </x:c>
      <x:c r="AD196" s="193" t="b">
        <x:v>1</x:v>
      </x:c>
      <x:c r="AE196" s="193" t="b">
        <x:v>1</x:v>
      </x:c>
      <x:c r="AF196" s="193" t="b">
        <x:v>1</x:v>
      </x:c>
      <x:c r="AG196" s="193" t="b">
        <x:v>1</x:v>
      </x:c>
      <x:c r="AH196" s="193" t="b">
        <x:v>1</x:v>
      </x:c>
      <x:c r="AI196" s="193" t="b">
        <x:v>1</x:v>
      </x:c>
      <x:c r="AJ196" s="193" t="b">
        <x:v>1</x:v>
      </x:c>
    </x:row>
    <x:row r="197">
      <x:c r="A197" s="192" t="n">
        <x:v>31069380</x:v>
      </x:c>
      <x:c r="B197" s="192" t="str">
        <x:v>https://www.airbnb.com.br/rooms/31069380</x:v>
      </x:c>
      <x:c r="C197" s="192" t="str">
        <x:v>3 suítes, 2 vagas, ar cond. e sacada c/ churrasq.</x:v>
      </x:c>
      <x:c r="D197" s="192" t="str">
        <x:v>Meia Praia</x:v>
      </x:c>
      <x:c r="E197" s="192" t="n">
        <x:v>-27.12714</x:v>
      </x:c>
      <x:c r="F197" s="192" t="n">
        <x:v>-48.60851</x:v>
      </x:c>
      <x:c r="G197" s="192" t="str">
        <x:v>apartamento</x:v>
      </x:c>
      <x:c r="H197" s="192" t="n">
        <x:v>3</x:v>
      </x:c>
      <x:c r="I197" s="192" t="n">
        <x:v>3</x:v>
      </x:c>
      <x:c r="J197" s="192" t="n">
        <x:v>3</x:v>
      </x:c>
      <x:c r="K197" s="192" t="n">
        <x:v>6</x:v>
      </x:c>
      <x:c r="L197" s="192" t="n">
        <x:v>58</x:v>
      </x:c>
      <x:c r="M197" s="192" t="n">
        <x:v>4.8400001526</x:v>
      </x:c>
      <x:c r="N197" s="192" t="n">
        <x:v>350</x:v>
      </x:c>
      <x:c r="O197" s="192" t="n">
        <x:v>24</x:v>
      </x:c>
      <x:c r="P197" s="193" t="b">
        <x:v>0</x:v>
      </x:c>
      <x:c r="Q197" s="193" t="b">
        <x:v>0</x:v>
      </x:c>
      <x:c r="R197" s="193" t="b">
        <x:v>1</x:v>
      </x:c>
      <x:c r="S197" s="193" t="b">
        <x:v>0</x:v>
      </x:c>
      <x:c r="T197" s="192" t="n">
        <x:v>19</x:v>
      </x:c>
      <x:c r="U197" s="192" t="n">
        <x:v>71</x:v>
      </x:c>
      <x:c r="V197" s="200" t="n">
        <x:v>0.7888888889</x:v>
      </x:c>
      <x:c r="W197" s="203" t="n">
        <x:v>831.5</x:v>
      </x:c>
      <x:c r="X197" s="203" t="n">
        <x:v>57331.4679243091</x:v>
      </x:c>
      <x:c r="Y197" s="203" t="n">
        <x:v>148225.732695974</x:v>
      </x:c>
      <x:c r="Z197" s="193" t="b">
        <x:v>0</x:v>
      </x:c>
      <x:c r="AA197" s="193" t="b">
        <x:v>0</x:v>
      </x:c>
      <x:c r="AB197" s="193" t="b">
        <x:v>1</x:v>
      </x:c>
      <x:c r="AC197" s="193" t="b">
        <x:v>1</x:v>
      </x:c>
      <x:c r="AD197" s="193" t="b">
        <x:v>1</x:v>
      </x:c>
      <x:c r="AE197" s="193" t="b">
        <x:v>0</x:v>
      </x:c>
      <x:c r="AF197" s="193" t="b">
        <x:v>1</x:v>
      </x:c>
      <x:c r="AG197" s="193" t="b">
        <x:v>1</x:v>
      </x:c>
      <x:c r="AH197" s="193" t="b">
        <x:v>1</x:v>
      </x:c>
      <x:c r="AI197" s="193" t="b">
        <x:v>1</x:v>
      </x:c>
      <x:c r="AJ197" s="193" t="b">
        <x:v>1</x:v>
      </x:c>
    </x:row>
    <x:row r="198">
      <x:c r="A198" s="192" t="n">
        <x:v>1193496259129259800</x:v>
      </x:c>
      <x:c r="B198" s="192" t="str">
        <x:v>https://www.airbnb.com.br/rooms/1193496259129259761</x:v>
      </x:c>
      <x:c r="C198" s="192" t="str">
        <x:v>Apto aconchegante 280m do praia em Itapema MHF0509</x:v>
      </x:c>
      <x:c r="D198" s="192" t="str">
        <x:v>Centro</x:v>
      </x:c>
      <x:c r="E198" s="192" t="n">
        <x:v>-27.09306</x:v>
      </x:c>
      <x:c r="F198" s="192" t="n">
        <x:v>-48.61326</x:v>
      </x:c>
      <x:c r="G198" s="192" t="str">
        <x:v>apartamento</x:v>
      </x:c>
      <x:c r="H198" s="192" t="n">
        <x:v>2</x:v>
      </x:c>
      <x:c r="I198" s="192" t="n">
        <x:v>2</x:v>
      </x:c>
      <x:c r="J198" s="192" t="n">
        <x:v>3</x:v>
      </x:c>
      <x:c r="K198" s="192" t="n">
        <x:v>6</x:v>
      </x:c>
      <x:c r="L198" s="192" t="n">
        <x:v>13</x:v>
      </x:c>
      <x:c r="M198" s="192" t="n">
        <x:v>4.7699999809</x:v>
      </x:c>
      <x:c r="N198" s="192" t="n">
        <x:v>240</x:v>
      </x:c>
      <x:c r="O198" s="192" t="n">
        <x:v>0</x:v>
      </x:c>
      <x:c r="P198" s="193" t="b">
        <x:v>1</x:v>
      </x:c>
      <x:c r="Q198" s="193" t="b">
        <x:v>1</x:v>
      </x:c>
      <x:c r="R198" s="193" t="b">
        <x:v>0</x:v>
      </x:c>
      <x:c r="S198" s="193" t="b">
        <x:v>0</x:v>
      </x:c>
      <x:c r="T198" s="192" t="n">
        <x:v>76</x:v>
      </x:c>
      <x:c r="U198" s="192" t="n">
        <x:v>14</x:v>
      </x:c>
      <x:c r="V198" s="200" t="n">
        <x:v>0.1555555556</x:v>
      </x:c>
      <x:c r="W198" s="203" t="n">
        <x:v>631.75</x:v>
      </x:c>
      <x:c r="X198" s="203" t="n">
        <x:v>8776.5107702648</x:v>
      </x:c>
      <x:c r="Y198" s="203" t="n">
        <x:v>22690.9372206221</x:v>
      </x:c>
      <x:c r="Z198" s="193" t="b">
        <x:v>1</x:v>
      </x:c>
      <x:c r="AA198" s="193" t="b">
        <x:v>1</x:v>
      </x:c>
      <x:c r="AB198" s="193" t="b">
        <x:v>1</x:v>
      </x:c>
      <x:c r="AC198" s="193" t="b">
        <x:v>1</x:v>
      </x:c>
      <x:c r="AD198" s="193" t="b">
        <x:v>1</x:v>
      </x:c>
      <x:c r="AE198" s="193" t="b">
        <x:v>0</x:v>
      </x:c>
      <x:c r="AF198" s="193" t="b">
        <x:v>1</x:v>
      </x:c>
      <x:c r="AG198" s="193" t="b">
        <x:v>1</x:v>
      </x:c>
      <x:c r="AH198" s="193" t="b">
        <x:v>1</x:v>
      </x:c>
      <x:c r="AI198" s="193" t="b">
        <x:v>1</x:v>
      </x:c>
      <x:c r="AJ198" s="193" t="b">
        <x:v>0</x:v>
      </x:c>
    </x:row>
    <x:row r="199">
      <x:c r="A199" s="192" t="n">
        <x:v>1297930815921504000</x:v>
      </x:c>
      <x:c r="B199" s="192" t="str">
        <x:v>https://www.airbnb.com.br/rooms/1297930815921503919</x:v>
      </x:c>
      <x:c r="C199" s="192" t="str">
        <x:v>Apto vista mar c/ 3 Quartos a 50m da Praia ATT0602</x:v>
      </x:c>
      <x:c r="D199" s="192" t="str">
        <x:v>Meia Praia</x:v>
      </x:c>
      <x:c r="E199" s="192" t="n">
        <x:v>-27.143245</x:v>
      </x:c>
      <x:c r="F199" s="192" t="n">
        <x:v>-48.5875551</x:v>
      </x:c>
      <x:c r="G199" s="192" t="str">
        <x:v>apartamento</x:v>
      </x:c>
      <x:c r="H199" s="192" t="n">
        <x:v>3</x:v>
      </x:c>
      <x:c r="I199" s="192" t="n">
        <x:v>2</x:v>
      </x:c>
      <x:c r="J199" s="192" t="n">
        <x:v>4</x:v>
      </x:c>
      <x:c r="K199" s="192" t="n">
        <x:v>6</x:v>
      </x:c>
      <x:c r="L199" s="192" t="n">
        <x:v>3</x:v>
      </x:c>
      <x:c r="M199" s="192" t="n">
        <x:v>5</x:v>
      </x:c>
      <x:c r="N199" s="192" t="n">
        <x:v>339</x:v>
      </x:c>
      <x:c r="O199" s="192" t="n">
        <x:v>0</x:v>
      </x:c>
      <x:c r="P199" s="193" t="b">
        <x:v>1</x:v>
      </x:c>
      <x:c r="Q199" s="193" t="b">
        <x:v>1</x:v>
      </x:c>
      <x:c r="R199" s="193" t="b">
        <x:v>0</x:v>
      </x:c>
      <x:c r="S199" s="193" t="b">
        <x:v>0</x:v>
      </x:c>
      <x:c r="T199" s="192" t="n">
        <x:v>74</x:v>
      </x:c>
      <x:c r="U199" s="192" t="n">
        <x:v>16</x:v>
      </x:c>
      <x:c r="V199" s="200" t="n">
        <x:v>0.1777777778</x:v>
      </x:c>
      <x:c r="W199" s="203" t="n">
        <x:v>839</x:v>
      </x:c>
      <x:c r="X199" s="203" t="n">
        <x:v>13381.4324850141</x:v>
      </x:c>
      <x:c r="Y199" s="203" t="n">
        <x:v>34596.5785706301</x:v>
      </x:c>
      <x:c r="Z199" s="193" t="b">
        <x:v>1</x:v>
      </x:c>
      <x:c r="AA199" s="193" t="b">
        <x:v>0</x:v>
      </x:c>
      <x:c r="AB199" s="193" t="b">
        <x:v>1</x:v>
      </x:c>
      <x:c r="AC199" s="193" t="b">
        <x:v>1</x:v>
      </x:c>
      <x:c r="AD199" s="193" t="b">
        <x:v>1</x:v>
      </x:c>
      <x:c r="AE199" s="193" t="b">
        <x:v>0</x:v>
      </x:c>
      <x:c r="AF199" s="193" t="b">
        <x:v>1</x:v>
      </x:c>
      <x:c r="AG199" s="193" t="b">
        <x:v>1</x:v>
      </x:c>
      <x:c r="AH199" s="193" t="b">
        <x:v>1</x:v>
      </x:c>
      <x:c r="AI199" s="193" t="b">
        <x:v>1</x:v>
      </x:c>
      <x:c r="AJ199" s="193" t="b">
        <x:v>0</x:v>
      </x:c>
    </x:row>
    <x:row r="200">
      <x:c r="A200" s="192" t="n">
        <x:v>46878566</x:v>
      </x:c>
      <x:c r="B200" s="192" t="str">
        <x:v>https://www.airbnb.com.br/rooms/46878566</x:v>
      </x:c>
      <x:c r="C200" s="192" t="str">
        <x:v>Lindo apartamento de cobertura na praia de Itapema</x:v>
      </x:c>
      <x:c r="D200" s="192" t="str">
        <x:v>Centro</x:v>
      </x:c>
      <x:c r="E200" s="192" t="n">
        <x:v>-27.09488</x:v>
      </x:c>
      <x:c r="F200" s="192" t="n">
        <x:v>-48.61336</x:v>
      </x:c>
      <x:c r="G200" s="192" t="str">
        <x:v>apartamento</x:v>
      </x:c>
      <x:c r="H200" s="192" t="n">
        <x:v>3</x:v>
      </x:c>
      <x:c r="I200" s="192" t="n">
        <x:v>3</x:v>
      </x:c>
      <x:c r="J200" s="192" t="n">
        <x:v>3</x:v>
      </x:c>
      <x:c r="K200" s="192" t="n">
        <x:v>6</x:v>
      </x:c>
      <x:c r="L200" s="192" t="n">
        <x:v>20</x:v>
      </x:c>
      <x:c r="M200" s="192" t="n">
        <x:v>4.8000001907</x:v>
      </x:c>
      <x:c r="N200" s="192" t="n">
        <x:v>250</x:v>
      </x:c>
      <x:c r="O200" s="192" t="n">
        <x:v>34</x:v>
      </x:c>
      <x:c r="P200" s="193" t="b">
        <x:v>0</x:v>
      </x:c>
      <x:c r="Q200" s="193" t="b">
        <x:v>0</x:v>
      </x:c>
      <x:c r="R200" s="193" t="b">
        <x:v>0</x:v>
      </x:c>
      <x:c r="S200" s="193" t="b">
        <x:v>0</x:v>
      </x:c>
      <x:c r="T200" s="192" t="n">
        <x:v>75</x:v>
      </x:c>
      <x:c r="U200" s="192" t="n">
        <x:v>15</x:v>
      </x:c>
      <x:c r="V200" s="200" t="n">
        <x:v>0.1666666667</x:v>
      </x:c>
      <x:c r="W200" s="203" t="n">
        <x:v>500</x:v>
      </x:c>
      <x:c r="X200" s="203" t="n">
        <x:v>8514.8939196039</x:v>
      </x:c>
      <x:c r="Y200" s="203" t="n">
        <x:v>22014.5486546425</x:v>
      </x:c>
      <x:c r="Z200" s="193" t="b">
        <x:v>1</x:v>
      </x:c>
      <x:c r="AA200" s="193" t="b">
        <x:v>0</x:v>
      </x:c>
      <x:c r="AB200" s="193" t="b">
        <x:v>1</x:v>
      </x:c>
      <x:c r="AC200" s="193" t="b">
        <x:v>1</x:v>
      </x:c>
      <x:c r="AD200" s="193" t="b">
        <x:v>1</x:v>
      </x:c>
      <x:c r="AE200" s="193" t="b">
        <x:v>1</x:v>
      </x:c>
      <x:c r="AF200" s="193" t="b">
        <x:v>1</x:v>
      </x:c>
      <x:c r="AG200" s="193" t="b">
        <x:v>1</x:v>
      </x:c>
      <x:c r="AH200" s="193" t="b">
        <x:v>1</x:v>
      </x:c>
      <x:c r="AI200" s="193" t="b">
        <x:v>1</x:v>
      </x:c>
      <x:c r="AJ200" s="193" t="b">
        <x:v>1</x:v>
      </x:c>
    </x:row>
    <x:row r="201">
      <x:c r="A201" s="192" t="n">
        <x:v>639216644351145100</x:v>
      </x:c>
      <x:c r="B201" s="192" t="str">
        <x:v>https://www.airbnb.com.br/rooms/639216644351145145</x:v>
      </x:c>
      <x:c r="C201" s="192" t="str">
        <x:v>Cobertura 5 Suítes</x:v>
      </x:c>
      <x:c r="D201" s="192" t="str">
        <x:v>Meia Praia</x:v>
      </x:c>
      <x:c r="E201" s="192" t="n">
        <x:v>-27.129429</x:v>
      </x:c>
      <x:c r="F201" s="192" t="n">
        <x:v>-48.602386</x:v>
      </x:c>
      <x:c r="G201" s="192" t="str">
        <x:v>apartamento</x:v>
      </x:c>
      <x:c r="H201" s="192" t="n">
        <x:v>5</x:v>
      </x:c>
      <x:c r="I201" s="192" t="n">
        <x:v>5</x:v>
      </x:c>
      <x:c r="J201" s="192" t="n">
        <x:v>6</x:v>
      </x:c>
      <x:c r="K201" s="192" t="n">
        <x:v>14</x:v>
      </x:c>
      <x:c r="L201" s="192" t="n">
        <x:v>29</x:v>
      </x:c>
      <x:c r="M201" s="192" t="n">
        <x:v>4.9699997902</x:v>
      </x:c>
      <x:c r="N201" s="192" t="n">
        <x:v>450</x:v>
      </x:c>
      <x:c r="O201" s="192" t="n">
        <x:v>32</x:v>
      </x:c>
      <x:c r="P201" s="193" t="b">
        <x:v>1</x:v>
      </x:c>
      <x:c r="Q201" s="193" t="b">
        <x:v>0</x:v>
      </x:c>
      <x:c r="R201" s="193" t="b">
        <x:v>1</x:v>
      </x:c>
      <x:c r="S201" s="193" t="b">
        <x:v>1</x:v>
      </x:c>
      <x:c r="T201" s="192" t="n">
        <x:v>16</x:v>
      </x:c>
      <x:c r="U201" s="192" t="n">
        <x:v>74</x:v>
      </x:c>
      <x:c r="V201" s="200" t="n">
        <x:v>0.8222222222</x:v>
      </x:c>
      <x:c r="W201" s="203" t="n">
        <x:v>900</x:v>
      </x:c>
      <x:c r="X201" s="203" t="n">
        <x:v>67446.4860793697</x:v>
      </x:c>
      <x:c r="Y201" s="203" t="n">
        <x:v>174377.2692177038</x:v>
      </x:c>
      <x:c r="Z201" s="193" t="b">
        <x:v>0</x:v>
      </x:c>
      <x:c r="AA201" s="193" t="b">
        <x:v>0</x:v>
      </x:c>
      <x:c r="AB201" s="193" t="b">
        <x:v>1</x:v>
      </x:c>
      <x:c r="AC201" s="193" t="b">
        <x:v>1</x:v>
      </x:c>
      <x:c r="AD201" s="193" t="b">
        <x:v>1</x:v>
      </x:c>
      <x:c r="AE201" s="193" t="b">
        <x:v>1</x:v>
      </x:c>
      <x:c r="AF201" s="193" t="b">
        <x:v>1</x:v>
      </x:c>
      <x:c r="AG201" s="193" t="b">
        <x:v>1</x:v>
      </x:c>
      <x:c r="AH201" s="193" t="b">
        <x:v>1</x:v>
      </x:c>
      <x:c r="AI201" s="193" t="b">
        <x:v>1</x:v>
      </x:c>
      <x:c r="AJ201" s="193" t="b">
        <x:v>0</x:v>
      </x:c>
    </x:row>
    <x:row r="202">
      <x:c r="A202" s="192" t="n">
        <x:v>995680028058206700</x:v>
      </x:c>
      <x:c r="B202" s="192" t="str">
        <x:v>https://www.airbnb.com.br/rooms/995680028058206783</x:v>
      </x:c>
      <x:c r="C202" s="192" t="str">
        <x:v>Vila dos pássaros, casa completa</x:v>
      </x:c>
      <x:c r="D202" s="192" t="str">
        <x:v>Sertaozinho</x:v>
      </x:c>
      <x:c r="E202" s="192" t="n">
        <x:v>-27.0757</x:v>
      </x:c>
      <x:c r="F202" s="192" t="n">
        <x:v>-48.6142</x:v>
      </x:c>
      <x:c r="G202" s="192" t="str">
        <x:v>casa</x:v>
      </x:c>
      <x:c r="H202" s="192" t="n">
        <x:v>6</x:v>
      </x:c>
      <x:c r="I202" s="192" t="n">
        <x:v>9</x:v>
      </x:c>
      <x:c r="J202" s="192" t="n">
        <x:v>25</x:v>
      </x:c>
      <x:c r="K202" s="192" t="n">
        <x:v>16</x:v>
      </x:c>
      <x:c r="L202" s="192" t="n">
        <x:v>2</x:v>
      </x:c>
      <x:c r="M202" s="192" t="n">
        <x:v>5</x:v>
      </x:c>
      <x:c r="N202" s="192" t="n">
        <x:v>0</x:v>
      </x:c>
      <x:c r="O202" s="192" t="n">
        <x:v>41</x:v>
      </x:c>
      <x:c r="P202" s="193" t="b">
        <x:v>1</x:v>
      </x:c>
      <x:c r="Q202" s="193" t="b">
        <x:v>0</x:v>
      </x:c>
      <x:c r="R202" s="193" t="b">
        <x:v>0</x:v>
      </x:c>
      <x:c r="S202" s="193" t="b">
        <x:v>0</x:v>
      </x:c>
      <x:c r="T202" s="192" t="n">
        <x:v>83</x:v>
      </x:c>
      <x:c r="U202" s="192" t="n">
        <x:v>7</x:v>
      </x:c>
      <x:c r="V202" s="200" t="n">
        <x:v>0.0777777778</x:v>
      </x:c>
      <x:c r="W202" s="203" t="n">
        <x:v>3500</x:v>
      </x:c>
      <x:c r="X202" s="203" t="n">
        <x:v>23834.9411009103</x:v>
      </x:c>
      <x:c r="Y202" s="203" t="n">
        <x:v>61623.2539713119</x:v>
      </x:c>
      <x:c r="Z202" s="193" t="b">
        <x:v>1</x:v>
      </x:c>
      <x:c r="AA202" s="193" t="b">
        <x:v>1</x:v>
      </x:c>
      <x:c r="AB202" s="193" t="b">
        <x:v>1</x:v>
      </x:c>
      <x:c r="AC202" s="193" t="b">
        <x:v>1</x:v>
      </x:c>
      <x:c r="AD202" s="193" t="b">
        <x:v>0</x:v>
      </x:c>
      <x:c r="AE202" s="193" t="b">
        <x:v>0</x:v>
      </x:c>
      <x:c r="AF202" s="193" t="b">
        <x:v>1</x:v>
      </x:c>
      <x:c r="AG202" s="193" t="b">
        <x:v>0</x:v>
      </x:c>
      <x:c r="AH202" s="193" t="b">
        <x:v>1</x:v>
      </x:c>
      <x:c r="AI202" s="193" t="b">
        <x:v>0</x:v>
      </x:c>
      <x:c r="AJ202" s="193" t="b">
        <x:v>0</x:v>
      </x:c>
    </x:row>
    <x:row r="203">
      <x:c r="A203" s="192" t="n">
        <x:v>46769078</x:v>
      </x:c>
      <x:c r="B203" s="192" t="str">
        <x:v>https://www.airbnb.com.br/rooms/46769078</x:v>
      </x:c>
      <x:c r="C203" s="192" t="str">
        <x:v>Apto Vista Mar, 3 suites e sacada c/ churrasqueira</x:v>
      </x:c>
      <x:c r="D203" s="192" t="str">
        <x:v>Meia Praia</x:v>
      </x:c>
      <x:c r="E203" s="192" t="n">
        <x:v>-27.1331</x:v>
      </x:c>
      <x:c r="F203" s="192" t="n">
        <x:v>-48.59806</x:v>
      </x:c>
      <x:c r="G203" s="192" t="str">
        <x:v>apartamento</x:v>
      </x:c>
      <x:c r="H203" s="192" t="n">
        <x:v>3</x:v>
      </x:c>
      <x:c r="I203" s="192" t="n">
        <x:v>3</x:v>
      </x:c>
      <x:c r="J203" s="192" t="n">
        <x:v>3</x:v>
      </x:c>
      <x:c r="K203" s="192" t="n">
        <x:v>8</x:v>
      </x:c>
      <x:c r="L203" s="192" t="n">
        <x:v>13</x:v>
      </x:c>
      <x:c r="M203" s="192" t="n">
        <x:v>4.9200000763</x:v>
      </x:c>
      <x:c r="N203" s="192" t="n">
        <x:v>300</x:v>
      </x:c>
      <x:c r="O203" s="192" t="n">
        <x:v>19</x:v>
      </x:c>
      <x:c r="P203" s="193" t="b">
        <x:v>0</x:v>
      </x:c>
      <x:c r="Q203" s="193" t="b">
        <x:v>0</x:v>
      </x:c>
      <x:c r="R203" s="193" t="b">
        <x:v>1</x:v>
      </x:c>
      <x:c r="S203" s="193" t="b">
        <x:v>0</x:v>
      </x:c>
      <x:c r="T203" s="192" t="n">
        <x:v>79</x:v>
      </x:c>
      <x:c r="U203" s="192" t="n">
        <x:v>11</x:v>
      </x:c>
      <x:c r="V203" s="200" t="n">
        <x:v>0.1222222222</x:v>
      </x:c>
      <x:c r="W203" s="203" t="n">
        <x:v>561</x:v>
      </x:c>
      <x:c r="X203" s="203" t="n">
        <x:v>7297.4867180796</x:v>
      </x:c>
      <x:c r="Y203" s="203" t="n">
        <x:v>18867.0437857016</x:v>
      </x:c>
      <x:c r="Z203" s="193" t="b">
        <x:v>1</x:v>
      </x:c>
      <x:c r="AA203" s="193" t="b">
        <x:v>0</x:v>
      </x:c>
      <x:c r="AB203" s="193" t="b">
        <x:v>1</x:v>
      </x:c>
      <x:c r="AC203" s="193" t="b">
        <x:v>1</x:v>
      </x:c>
      <x:c r="AD203" s="193" t="b">
        <x:v>0</x:v>
      </x:c>
      <x:c r="AE203" s="193" t="b">
        <x:v>1</x:v>
      </x:c>
      <x:c r="AF203" s="193" t="b">
        <x:v>1</x:v>
      </x:c>
      <x:c r="AG203" s="193" t="b">
        <x:v>1</x:v>
      </x:c>
      <x:c r="AH203" s="193" t="b">
        <x:v>1</x:v>
      </x:c>
      <x:c r="AI203" s="193" t="b">
        <x:v>1</x:v>
      </x:c>
      <x:c r="AJ203" s="193" t="b">
        <x:v>1</x:v>
      </x:c>
    </x:row>
    <x:row r="204">
      <x:c r="A204" s="192" t="n">
        <x:v>1008029204257210200</x:v>
      </x:c>
      <x:c r="B204" s="192" t="str">
        <x:v>https://www.airbnb.com.br/rooms/1008029204257210230</x:v>
      </x:c>
      <x:c r="C204" s="192" t="str">
        <x:v>Casa Itapema/SC pertinho do mar!</x:v>
      </x:c>
      <x:c r="D204" s="192" t="str">
        <x:v>Morretes</x:v>
      </x:c>
      <x:c r="E204" s="192" t="n">
        <x:v>-27.12741</x:v>
      </x:c>
      <x:c r="F204" s="192" t="n">
        <x:v>-48.62193</x:v>
      </x:c>
      <x:c r="G204" s="192" t="str">
        <x:v>casa</x:v>
      </x:c>
      <x:c r="H204" s="192" t="n">
        <x:v>2</x:v>
      </x:c>
      <x:c r="I204" s="192" t="n">
        <x:v>1</x:v>
      </x:c>
      <x:c r="J204" s="192" t="n">
        <x:v>2</x:v>
      </x:c>
      <x:c r="K204" s="192" t="n">
        <x:v>4</x:v>
      </x:c>
      <x:c r="L204" s="192" t="n">
        <x:v>4</x:v>
      </x:c>
      <x:c r="M204" s="192" t="n">
        <x:v>5</x:v>
      </x:c>
      <x:c r="N204" s="192" t="n">
        <x:v>150</x:v>
      </x:c>
      <x:c r="O204" s="192" t="n">
        <x:v>7</x:v>
      </x:c>
      <x:c r="P204" s="193" t="b">
        <x:v>0</x:v>
      </x:c>
      <x:c r="Q204" s="193" t="b">
        <x:v>0</x:v>
      </x:c>
      <x:c r="R204" s="193" t="b">
        <x:v>0</x:v>
      </x:c>
      <x:c r="S204" s="193" t="b">
        <x:v>0</x:v>
      </x:c>
      <x:c r="T204" s="192" t="n">
        <x:v>53</x:v>
      </x:c>
      <x:c r="U204" s="192" t="n">
        <x:v>37</x:v>
      </x:c>
      <x:c r="V204" s="200" t="n">
        <x:v>0.4111111111</x:v>
      </x:c>
      <x:c r="W204" s="203" t="n">
        <x:v>298.25</x:v>
      </x:c>
      <x:c r="X204" s="203" t="n">
        <x:v>10756.8061592097</x:v>
      </x:c>
      <x:c r="Y204" s="203" t="n">
        <x:v>27810.8259241234</x:v>
      </x:c>
      <x:c r="Z204" s="193" t="b">
        <x:v>1</x:v>
      </x:c>
      <x:c r="AA204" s="193" t="b">
        <x:v>0</x:v>
      </x:c>
      <x:c r="AB204" s="193" t="b">
        <x:v>1</x:v>
      </x:c>
      <x:c r="AC204" s="193" t="b">
        <x:v>1</x:v>
      </x:c>
      <x:c r="AD204" s="193" t="b">
        <x:v>0</x:v>
      </x:c>
      <x:c r="AE204" s="193" t="b">
        <x:v>1</x:v>
      </x:c>
      <x:c r="AF204" s="193" t="b">
        <x:v>1</x:v>
      </x:c>
      <x:c r="AG204" s="193" t="b">
        <x:v>1</x:v>
      </x:c>
      <x:c r="AH204" s="193" t="b">
        <x:v>1</x:v>
      </x:c>
      <x:c r="AI204" s="193" t="b">
        <x:v>1</x:v>
      </x:c>
      <x:c r="AJ204" s="193" t="b">
        <x:v>1</x:v>
      </x:c>
    </x:row>
    <x:row r="205">
      <x:c r="A205" s="192" t="n">
        <x:v>31511990</x:v>
      </x:c>
      <x:c r="B205" s="192" t="str">
        <x:v>https://www.airbnb.com.br/rooms/31511990</x:v>
      </x:c>
      <x:c r="C205" s="192" t="str">
        <x:v>2 suítes em Itapema-SC, 5 pessoas, WI-FI, TV,</x:v>
      </x:c>
      <x:c r="D205" s="192" t="str">
        <x:v>Sertaozinho</x:v>
      </x:c>
      <x:c r="E205" s="192" t="n">
        <x:v>-27.08377</x:v>
      </x:c>
      <x:c r="F205" s="192" t="n">
        <x:v>-48.61115</x:v>
      </x:c>
      <x:c r="G205" s="192" t="str">
        <x:v>casa</x:v>
      </x:c>
      <x:c r="H205" s="192" t="n">
        <x:v>2</x:v>
      </x:c>
      <x:c r="I205" s="192" t="n">
        <x:v>2</x:v>
      </x:c>
      <x:c r="J205" s="192" t="n">
        <x:v>4</x:v>
      </x:c>
      <x:c r="K205" s="192" t="n">
        <x:v>5</x:v>
      </x:c>
      <x:c r="L205" s="192" t="n">
        <x:v>51</x:v>
      </x:c>
      <x:c r="M205" s="192" t="n">
        <x:v>4.9200000763</x:v>
      </x:c>
      <x:c r="N205" s="192" t="n">
        <x:v>100</x:v>
      </x:c>
      <x:c r="O205" s="192" t="n">
        <x:v>18</x:v>
      </x:c>
      <x:c r="P205" s="193" t="b">
        <x:v>0</x:v>
      </x:c>
      <x:c r="Q205" s="193" t="b">
        <x:v>0</x:v>
      </x:c>
      <x:c r="R205" s="193" t="b">
        <x:v>0</x:v>
      </x:c>
      <x:c r="S205" s="193" t="b">
        <x:v>0</x:v>
      </x:c>
      <x:c r="T205" s="192" t="n">
        <x:v>86</x:v>
      </x:c>
      <x:c r="U205" s="192" t="n">
        <x:v>4</x:v>
      </x:c>
      <x:c r="V205" s="200" t="n">
        <x:v>0.0444444444</x:v>
      </x:c>
      <x:c r="W205" s="203" t="n">
        <x:v>500</x:v>
      </x:c>
      <x:c r="X205" s="203" t="n">
        <x:v>2069.035895474</x:v>
      </x:c>
      <x:c r="Y205" s="203" t="n">
        <x:v>5349.3198880901</x:v>
      </x:c>
      <x:c r="Z205" s="193" t="b">
        <x:v>1</x:v>
      </x:c>
      <x:c r="AA205" s="193" t="b">
        <x:v>0</x:v>
      </x:c>
      <x:c r="AB205" s="193" t="b">
        <x:v>1</x:v>
      </x:c>
      <x:c r="AC205" s="193" t="b">
        <x:v>1</x:v>
      </x:c>
      <x:c r="AD205" s="193" t="b">
        <x:v>0</x:v>
      </x:c>
      <x:c r="AE205" s="193" t="b">
        <x:v>1</x:v>
      </x:c>
      <x:c r="AF205" s="193" t="b">
        <x:v>0</x:v>
      </x:c>
      <x:c r="AG205" s="193" t="b">
        <x:v>0</x:v>
      </x:c>
      <x:c r="AH205" s="193" t="b">
        <x:v>1</x:v>
      </x:c>
      <x:c r="AI205" s="193" t="b">
        <x:v>1</x:v>
      </x:c>
      <x:c r="AJ205" s="193" t="b">
        <x:v>0</x:v>
      </x:c>
    </x:row>
    <x:row r="206">
      <x:c r="A206" s="192" t="n">
        <x:v>3263701</x:v>
      </x:c>
      <x:c r="B206" s="192" t="str">
        <x:v>https://www.airbnb.com.br/rooms/3263701</x:v>
      </x:c>
      <x:c r="C206" s="192" t="str">
        <x:v>Apto inteiro frente praia  com 4 suites 3 garagem.</x:v>
      </x:c>
      <x:c r="D206" s="192" t="str">
        <x:v>Meia Praia</x:v>
      </x:c>
      <x:c r="E206" s="192" t="n">
        <x:v>-27.13068</x:v>
      </x:c>
      <x:c r="F206" s="192" t="n">
        <x:v>-48.59912</x:v>
      </x:c>
      <x:c r="G206" s="192" t="str">
        <x:v>apartamento</x:v>
      </x:c>
      <x:c r="H206" s="192" t="n">
        <x:v>4</x:v>
      </x:c>
      <x:c r="I206" s="192" t="n">
        <x:v>4</x:v>
      </x:c>
      <x:c r="J206" s="192" t="n">
        <x:v>4</x:v>
      </x:c>
      <x:c r="K206" s="192" t="n">
        <x:v>12</x:v>
      </x:c>
      <x:c r="L206" s="192" t="n">
        <x:v>42</x:v>
      </x:c>
      <x:c r="M206" s="192" t="n">
        <x:v>4.9000000954</x:v>
      </x:c>
      <x:c r="N206" s="192" t="n">
        <x:v>250</x:v>
      </x:c>
      <x:c r="O206" s="192" t="n">
        <x:v>62</x:v>
      </x:c>
      <x:c r="P206" s="193" t="b">
        <x:v>0</x:v>
      </x:c>
      <x:c r="Q206" s="193" t="b">
        <x:v>0</x:v>
      </x:c>
      <x:c r="R206" s="193" t="b">
        <x:v>0</x:v>
      </x:c>
      <x:c r="S206" s="193" t="b">
        <x:v>0</x:v>
      </x:c>
      <x:c r="T206" s="192" t="n">
        <x:v>26</x:v>
      </x:c>
      <x:c r="U206" s="192" t="n">
        <x:v>64</x:v>
      </x:c>
      <x:c r="V206" s="200" t="n">
        <x:v>0.7111111111</x:v>
      </x:c>
      <x:c r="W206" s="203" t="n">
        <x:v>1650</x:v>
      </x:c>
      <x:c r="X206" s="203" t="n">
        <x:v>105662.5086147903</x:v>
      </x:c>
      <x:c r="Y206" s="203" t="n">
        <x:v>273181.6108144891</x:v>
      </x:c>
      <x:c r="Z206" s="193" t="b">
        <x:v>1</x:v>
      </x:c>
      <x:c r="AA206" s="193" t="b">
        <x:v>0</x:v>
      </x:c>
      <x:c r="AB206" s="193" t="b">
        <x:v>1</x:v>
      </x:c>
      <x:c r="AC206" s="193" t="b">
        <x:v>1</x:v>
      </x:c>
      <x:c r="AD206" s="193" t="b">
        <x:v>1</x:v>
      </x:c>
      <x:c r="AE206" s="193" t="b">
        <x:v>1</x:v>
      </x:c>
      <x:c r="AF206" s="193" t="b">
        <x:v>1</x:v>
      </x:c>
      <x:c r="AG206" s="193" t="b">
        <x:v>1</x:v>
      </x:c>
      <x:c r="AH206" s="193" t="b">
        <x:v>1</x:v>
      </x:c>
      <x:c r="AI206" s="193" t="b">
        <x:v>1</x:v>
      </x:c>
      <x:c r="AJ206" s="193" t="b">
        <x:v>1</x:v>
      </x:c>
    </x:row>
    <x:row r="207">
      <x:c r="A207" s="192" t="n">
        <x:v>812231708820863100</x:v>
      </x:c>
      <x:c r="B207" s="192" t="str">
        <x:v>https://www.airbnb.com.br/rooms/812231708820863156</x:v>
      </x:c>
      <x:c r="C207" s="192" t="str">
        <x:v>O +barato 2º prédio do mar Vista mar Meia praia 4Q</x:v>
      </x:c>
      <x:c r="D207" s="192" t="str">
        <x:v>Meia Praia</x:v>
      </x:c>
      <x:c r="E207" s="192" t="n">
        <x:v>-27.138999939</x:v>
      </x:c>
      <x:c r="F207" s="192" t="n">
        <x:v>-48.5909996033</x:v>
      </x:c>
      <x:c r="G207" s="192" t="str">
        <x:v>apartamento</x:v>
      </x:c>
      <x:c r="H207" s="192" t="n">
        <x:v>4</x:v>
      </x:c>
      <x:c r="I207" s="192" t="n">
        <x:v>3</x:v>
      </x:c>
      <x:c r="J207" s="192" t="n">
        <x:v>4</x:v>
      </x:c>
      <x:c r="K207" s="192" t="n">
        <x:v>8</x:v>
      </x:c>
      <x:c r="L207" s="192" t="n">
        <x:v>19</x:v>
      </x:c>
      <x:c r="M207" s="192" t="n">
        <x:v>4.7899999619</x:v>
      </x:c>
      <x:c r="N207" s="192" t="n">
        <x:v>348</x:v>
      </x:c>
      <x:c r="O207" s="192" t="n">
        <x:v>27</x:v>
      </x:c>
      <x:c r="P207" s="193" t="b">
        <x:v>0</x:v>
      </x:c>
      <x:c r="Q207" s="193" t="b">
        <x:v>0</x:v>
      </x:c>
      <x:c r="R207" s="193" t="b">
        <x:v>0</x:v>
      </x:c>
      <x:c r="S207" s="193" t="b">
        <x:v>1</x:v>
      </x:c>
      <x:c r="T207" s="192" t="n">
        <x:v>35</x:v>
      </x:c>
      <x:c r="U207" s="192" t="n">
        <x:v>55</x:v>
      </x:c>
      <x:c r="V207" s="200" t="n">
        <x:v>0.6111111111</x:v>
      </x:c>
      <x:c r="W207" s="203" t="n">
        <x:v>500</x:v>
      </x:c>
      <x:c r="X207" s="203" t="n">
        <x:v>27443.0033156325</x:v>
      </x:c>
      <x:c r="Y207" s="203" t="n">
        <x:v>70951.5981556248</x:v>
      </x:c>
      <x:c r="Z207" s="193" t="b">
        <x:v>0</x:v>
      </x:c>
      <x:c r="AA207" s="193" t="b">
        <x:v>0</x:v>
      </x:c>
      <x:c r="AB207" s="193" t="b">
        <x:v>1</x:v>
      </x:c>
      <x:c r="AC207" s="193" t="b">
        <x:v>1</x:v>
      </x:c>
      <x:c r="AD207" s="193" t="b">
        <x:v>1</x:v>
      </x:c>
      <x:c r="AE207" s="193" t="b">
        <x:v>1</x:v>
      </x:c>
      <x:c r="AF207" s="193" t="b">
        <x:v>1</x:v>
      </x:c>
      <x:c r="AG207" s="193" t="b">
        <x:v>1</x:v>
      </x:c>
      <x:c r="AH207" s="193" t="b">
        <x:v>1</x:v>
      </x:c>
      <x:c r="AI207" s="193" t="b">
        <x:v>1</x:v>
      </x:c>
      <x:c r="AJ207" s="193" t="b">
        <x:v>1</x:v>
      </x:c>
    </x:row>
    <x:row r="208">
      <x:c r="A208" s="192" t="n">
        <x:v>1236367599770739500</x:v>
      </x:c>
      <x:c r="B208" s="192" t="str">
        <x:v>https://www.airbnb.com.br/rooms/1236367599770739400</x:v>
      </x:c>
      <x:c r="C208" s="192" t="str">
        <x:v>Frente Mar: Sua melhor escolha!</x:v>
      </x:c>
      <x:c r="D208" s="192" t="str">
        <x:v>Centro</x:v>
      </x:c>
      <x:c r="E208" s="192" t="n">
        <x:v>-27.0929134</x:v>
      </x:c>
      <x:c r="F208" s="192" t="n">
        <x:v>-48.6132024</x:v>
      </x:c>
      <x:c r="G208" s="192" t="str">
        <x:v>apartamento</x:v>
      </x:c>
      <x:c r="H208" s="192" t="n">
        <x:v>1</x:v>
      </x:c>
      <x:c r="I208" s="192" t="n">
        <x:v>1</x:v>
      </x:c>
      <x:c r="J208" s="192" t="n">
        <x:v>2</x:v>
      </x:c>
      <x:c r="K208" s="192" t="n">
        <x:v>4</x:v>
      </x:c>
      <x:c r="L208" s="192" t="n">
        <x:v>15</x:v>
      </x:c>
      <x:c r="M208" s="192" t="n">
        <x:v>4.7300000191</x:v>
      </x:c>
      <x:c r="N208" s="192" t="n">
        <x:v>200</x:v>
      </x:c>
      <x:c r="O208" s="192" t="n">
        <x:v>0</x:v>
      </x:c>
      <x:c r="P208" s="193" t="b">
        <x:v>0</x:v>
      </x:c>
      <x:c r="Q208" s="193" t="b">
        <x:v>0</x:v>
      </x:c>
      <x:c r="R208" s="193" t="b">
        <x:v>0</x:v>
      </x:c>
      <x:c r="S208" s="193" t="b">
        <x:v>1</x:v>
      </x:c>
      <x:c r="T208" s="192" t="n">
        <x:v>59</x:v>
      </x:c>
      <x:c r="U208" s="192" t="n">
        <x:v>31</x:v>
      </x:c>
      <x:c r="V208" s="200" t="n">
        <x:v>0.3444444444</x:v>
      </x:c>
      <x:c r="W208" s="203" t="n">
        <x:v>600</x:v>
      </x:c>
      <x:c r="X208" s="203" t="n">
        <x:v>19619.5699177394</x:v>
      </x:c>
      <x:c r="Y208" s="203" t="n">
        <x:v>50724.7630581553</x:v>
      </x:c>
      <x:c r="Z208" s="193" t="b">
        <x:v>1</x:v>
      </x:c>
      <x:c r="AA208" s="193" t="b">
        <x:v>1</x:v>
      </x:c>
      <x:c r="AB208" s="193" t="b">
        <x:v>1</x:v>
      </x:c>
      <x:c r="AC208" s="193" t="b">
        <x:v>1</x:v>
      </x:c>
      <x:c r="AD208" s="193" t="b">
        <x:v>1</x:v>
      </x:c>
      <x:c r="AE208" s="193" t="b">
        <x:v>1</x:v>
      </x:c>
      <x:c r="AF208" s="193" t="b">
        <x:v>1</x:v>
      </x:c>
      <x:c r="AG208" s="193" t="b">
        <x:v>1</x:v>
      </x:c>
      <x:c r="AH208" s="193" t="b">
        <x:v>1</x:v>
      </x:c>
      <x:c r="AI208" s="193" t="b">
        <x:v>1</x:v>
      </x:c>
      <x:c r="AJ208" s="193" t="b">
        <x:v>0</x:v>
      </x:c>
    </x:row>
    <x:row r="209">
      <x:c r="A209" s="192" t="n">
        <x:v>31278015</x:v>
      </x:c>
      <x:c r="B209" s="192" t="str">
        <x:v>https://www.airbnb.com.br/rooms/31278015</x:v>
      </x:c>
      <x:c r="C209" s="192" t="str">
        <x:v>Meia praia 300m do mar Wi-fi próximo de tudo</x:v>
      </x:c>
      <x:c r="D209" s="192" t="str">
        <x:v>Meia Praia</x:v>
      </x:c>
      <x:c r="E209" s="192" t="n">
        <x:v>-27.12911</x:v>
      </x:c>
      <x:c r="F209" s="192" t="n">
        <x:v>-48.60287</x:v>
      </x:c>
      <x:c r="G209" s="192" t="str">
        <x:v>apartamento</x:v>
      </x:c>
      <x:c r="H209" s="192" t="n">
        <x:v>3</x:v>
      </x:c>
      <x:c r="I209" s="192" t="n">
        <x:v>2</x:v>
      </x:c>
      <x:c r="J209" s="192" t="n">
        <x:v>6</x:v>
      </x:c>
      <x:c r="K209" s="192" t="n">
        <x:v>8</x:v>
      </x:c>
      <x:c r="L209" s="192" t="n">
        <x:v>14</x:v>
      </x:c>
      <x:c r="M209" s="192" t="n">
        <x:v>4.4299998283</x:v>
      </x:c>
      <x:c r="N209" s="192" t="n">
        <x:v>250</x:v>
      </x:c>
      <x:c r="O209" s="192" t="n">
        <x:v>16</x:v>
      </x:c>
      <x:c r="P209" s="193" t="b">
        <x:v>0</x:v>
      </x:c>
      <x:c r="Q209" s="193" t="b">
        <x:v>0</x:v>
      </x:c>
      <x:c r="R209" s="193" t="b">
        <x:v>0</x:v>
      </x:c>
      <x:c r="S209" s="193" t="b">
        <x:v>0</x:v>
      </x:c>
      <x:c r="T209" s="192" t="n">
        <x:v>56</x:v>
      </x:c>
      <x:c r="U209" s="192" t="n">
        <x:v>34</x:v>
      </x:c>
      <x:c r="V209" s="200" t="n">
        <x:v>0.3777777778</x:v>
      </x:c>
      <x:c r="W209" s="203" t="n">
        <x:v>430</x:v>
      </x:c>
      <x:c r="X209" s="203" t="n">
        <x:v>14641.0838841035</x:v>
      </x:c>
      <x:c r="Y209" s="203" t="n">
        <x:v>37853.302292026</x:v>
      </x:c>
      <x:c r="Z209" s="193" t="b">
        <x:v>0</x:v>
      </x:c>
      <x:c r="AA209" s="193" t="b">
        <x:v>0</x:v>
      </x:c>
      <x:c r="AB209" s="193" t="b">
        <x:v>1</x:v>
      </x:c>
      <x:c r="AC209" s="193" t="b">
        <x:v>1</x:v>
      </x:c>
      <x:c r="AD209" s="193" t="b">
        <x:v>1</x:v>
      </x:c>
      <x:c r="AE209" s="193" t="b">
        <x:v>0</x:v>
      </x:c>
      <x:c r="AF209" s="193" t="b">
        <x:v>0</x:v>
      </x:c>
      <x:c r="AG209" s="193" t="b">
        <x:v>1</x:v>
      </x:c>
      <x:c r="AH209" s="193" t="b">
        <x:v>1</x:v>
      </x:c>
      <x:c r="AI209" s="193" t="b">
        <x:v>1</x:v>
      </x:c>
      <x:c r="AJ209" s="193" t="b">
        <x:v>1</x:v>
      </x:c>
    </x:row>
    <x:row r="210">
      <x:c r="A210" s="192" t="n">
        <x:v>1163772289534164500</x:v>
      </x:c>
      <x:c r="B210" s="192" t="str">
        <x:v>https://www.airbnb.com.br/rooms/1163772289534164479</x:v>
      </x:c>
      <x:c r="C210" s="192" t="str">
        <x:v>Casa Frente Mar em Itapema</x:v>
      </x:c>
      <x:c r="D210" s="192" t="str">
        <x:v>Tabuleiro dos Oliveiras</x:v>
      </x:c>
      <x:c r="E210" s="192" t="n">
        <x:v>-27.1105861664</x:v>
      </x:c>
      <x:c r="F210" s="192" t="n">
        <x:v>-48.6121101379</x:v>
      </x:c>
      <x:c r="G210" s="192" t="str">
        <x:v>casa</x:v>
      </x:c>
      <x:c r="H210" s="192" t="n">
        <x:v>4</x:v>
      </x:c>
      <x:c r="I210" s="192" t="n">
        <x:v>3</x:v>
      </x:c>
      <x:c r="J210" s="192" t="n">
        <x:v>6</x:v>
      </x:c>
      <x:c r="K210" s="192" t="n">
        <x:v>12</x:v>
      </x:c>
      <x:c r="L210" s="192" t="n">
        <x:v>0</x:v>
      </x:c>
      <x:c r="M210" s="192"/>
      <x:c r="N210" s="192" t="n">
        <x:v>350</x:v>
      </x:c>
      <x:c r="O210" s="192" t="n">
        <x:v>0</x:v>
      </x:c>
      <x:c r="P210" s="193" t="b">
        <x:v>0</x:v>
      </x:c>
      <x:c r="Q210" s="193" t="b">
        <x:v>0</x:v>
      </x:c>
      <x:c r="R210" s="193" t="b">
        <x:v>0</x:v>
      </x:c>
      <x:c r="S210" s="193" t="b">
        <x:v>1</x:v>
      </x:c>
      <x:c r="T210" s="192" t="n">
        <x:v>62</x:v>
      </x:c>
      <x:c r="U210" s="192" t="n">
        <x:v>28</x:v>
      </x:c>
      <x:c r="V210" s="200" t="n">
        <x:v>0.3111111111</x:v>
      </x:c>
      <x:c r="W210" s="203" t="n">
        <x:v>1700</x:v>
      </x:c>
      <x:c r="X210" s="203" t="n">
        <x:v>49505.2693007125</x:v>
      </x:c>
      <x:c r="Y210" s="203" t="n">
        <x:v>127991.7483378837</x:v>
      </x:c>
      <x:c r="Z210" s="193" t="b">
        <x:v>1</x:v>
      </x:c>
      <x:c r="AA210" s="193" t="b">
        <x:v>0</x:v>
      </x:c>
      <x:c r="AB210" s="193" t="b">
        <x:v>1</x:v>
      </x:c>
      <x:c r="AC210" s="193" t="b">
        <x:v>1</x:v>
      </x:c>
      <x:c r="AD210" s="193" t="b">
        <x:v>0</x:v>
      </x:c>
      <x:c r="AE210" s="193" t="b">
        <x:v>1</x:v>
      </x:c>
      <x:c r="AF210" s="193" t="b">
        <x:v>1</x:v>
      </x:c>
      <x:c r="AG210" s="193" t="b">
        <x:v>1</x:v>
      </x:c>
      <x:c r="AH210" s="193" t="b">
        <x:v>1</x:v>
      </x:c>
      <x:c r="AI210" s="193" t="b">
        <x:v>1</x:v>
      </x:c>
      <x:c r="AJ210" s="193" t="b">
        <x:v>0</x:v>
      </x:c>
    </x:row>
    <x:row r="211">
      <x:c r="A211" s="192" t="n">
        <x:v>54245203</x:v>
      </x:c>
      <x:c r="B211" s="192" t="str">
        <x:v>https://www.airbnb.com.br/rooms/54245203</x:v>
      </x:c>
      <x:c r="C211" s="192" t="str">
        <x:v>Apartamento 02 Suítes - Meia Praia</x:v>
      </x:c>
      <x:c r="D211" s="192" t="str">
        <x:v>Meia Praia</x:v>
      </x:c>
      <x:c r="E211" s="192" t="n">
        <x:v>-27.13743</x:v>
      </x:c>
      <x:c r="F211" s="192" t="n">
        <x:v>-48.59675</x:v>
      </x:c>
      <x:c r="G211" s="192" t="str">
        <x:v>apartamento</x:v>
      </x:c>
      <x:c r="H211" s="192" t="n">
        <x:v>2</x:v>
      </x:c>
      <x:c r="I211" s="192" t="n">
        <x:v>2</x:v>
      </x:c>
      <x:c r="J211" s="192" t="n">
        <x:v>3</x:v>
      </x:c>
      <x:c r="K211" s="192" t="n">
        <x:v>5</x:v>
      </x:c>
      <x:c r="L211" s="192" t="n">
        <x:v>8</x:v>
      </x:c>
      <x:c r="M211" s="192" t="n">
        <x:v>5</x:v>
      </x:c>
      <x:c r="N211" s="192" t="n">
        <x:v>200</x:v>
      </x:c>
      <x:c r="O211" s="192" t="n">
        <x:v>12</x:v>
      </x:c>
      <x:c r="P211" s="193" t="b">
        <x:v>1</x:v>
      </x:c>
      <x:c r="Q211" s="193" t="b">
        <x:v>0</x:v>
      </x:c>
      <x:c r="R211" s="193" t="b">
        <x:v>1</x:v>
      </x:c>
      <x:c r="S211" s="193" t="b">
        <x:v>0</x:v>
      </x:c>
      <x:c r="T211" s="192" t="n">
        <x:v>23</x:v>
      </x:c>
      <x:c r="U211" s="192" t="n">
        <x:v>67</x:v>
      </x:c>
      <x:c r="V211" s="200" t="n">
        <x:v>0.7444444444</x:v>
      </x:c>
      <x:c r="W211" s="203" t="n">
        <x:v>578</x:v>
      </x:c>
      <x:c r="X211" s="203" t="n">
        <x:v>37626.8268109886</x:v>
      </x:c>
      <x:c r="Y211" s="203" t="n">
        <x:v>97281.02515091</x:v>
      </x:c>
      <x:c r="Z211" s="193" t="b">
        <x:v>0</x:v>
      </x:c>
      <x:c r="AA211" s="193" t="b">
        <x:v>0</x:v>
      </x:c>
      <x:c r="AB211" s="193" t="b">
        <x:v>1</x:v>
      </x:c>
      <x:c r="AC211" s="193" t="b">
        <x:v>1</x:v>
      </x:c>
      <x:c r="AD211" s="193" t="b">
        <x:v>1</x:v>
      </x:c>
      <x:c r="AE211" s="193" t="b">
        <x:v>0</x:v>
      </x:c>
      <x:c r="AF211" s="193" t="b">
        <x:v>1</x:v>
      </x:c>
      <x:c r="AG211" s="193" t="b">
        <x:v>1</x:v>
      </x:c>
      <x:c r="AH211" s="193" t="b">
        <x:v>1</x:v>
      </x:c>
      <x:c r="AI211" s="193" t="b">
        <x:v>1</x:v>
      </x:c>
      <x:c r="AJ211" s="193" t="b">
        <x:v>0</x:v>
      </x:c>
    </x:row>
    <x:row r="212">
      <x:c r="A212" s="192" t="n">
        <x:v>684782448665574100</x:v>
      </x:c>
      <x:c r="B212" s="192" t="str">
        <x:v>https://www.airbnb.com.br/rooms/684782448665574114</x:v>
      </x:c>
      <x:c r="C212" s="192" t="str">
        <x:v>Ap 3 Qt Ar/Wifi perto Russi/ Sacada grande Telado!</x:v>
      </x:c>
      <x:c r="D212" s="192" t="str">
        <x:v>Meia Praia</x:v>
      </x:c>
      <x:c r="E212" s="192" t="n">
        <x:v>-27.12936</x:v>
      </x:c>
      <x:c r="F212" s="192" t="n">
        <x:v>-48.60297</x:v>
      </x:c>
      <x:c r="G212" s="192" t="str">
        <x:v>apartamento</x:v>
      </x:c>
      <x:c r="H212" s="192" t="n">
        <x:v>3</x:v>
      </x:c>
      <x:c r="I212" s="192" t="n">
        <x:v>2</x:v>
      </x:c>
      <x:c r="J212" s="192" t="n">
        <x:v>6</x:v>
      </x:c>
      <x:c r="K212" s="192" t="n">
        <x:v>9</x:v>
      </x:c>
      <x:c r="L212" s="192" t="n">
        <x:v>29</x:v>
      </x:c>
      <x:c r="M212" s="192" t="n">
        <x:v>5</x:v>
      </x:c>
      <x:c r="N212" s="192" t="n">
        <x:v>250</x:v>
      </x:c>
      <x:c r="O212" s="192" t="n">
        <x:v>37</x:v>
      </x:c>
      <x:c r="P212" s="193" t="b">
        <x:v>0</x:v>
      </x:c>
      <x:c r="Q212" s="193" t="b">
        <x:v>0</x:v>
      </x:c>
      <x:c r="R212" s="193" t="b">
        <x:v>1</x:v>
      </x:c>
      <x:c r="S212" s="193" t="b">
        <x:v>1</x:v>
      </x:c>
      <x:c r="T212" s="192" t="n">
        <x:v>53</x:v>
      </x:c>
      <x:c r="U212" s="192" t="n">
        <x:v>37</x:v>
      </x:c>
      <x:c r="V212" s="200" t="n">
        <x:v>0.4111111111</x:v>
      </x:c>
      <x:c r="W212" s="203" t="n">
        <x:v>635</x:v>
      </x:c>
      <x:c r="X212" s="203" t="n">
        <x:v>24373.391198957</x:v>
      </x:c>
      <x:c r="Y212" s="203" t="n">
        <x:v>63015.37182897</x:v>
      </x:c>
      <x:c r="Z212" s="193" t="b">
        <x:v>1</x:v>
      </x:c>
      <x:c r="AA212" s="193" t="b">
        <x:v>0</x:v>
      </x:c>
      <x:c r="AB212" s="193" t="b">
        <x:v>1</x:v>
      </x:c>
      <x:c r="AC212" s="193" t="b">
        <x:v>1</x:v>
      </x:c>
      <x:c r="AD212" s="193" t="b">
        <x:v>1</x:v>
      </x:c>
      <x:c r="AE212" s="193" t="b">
        <x:v>1</x:v>
      </x:c>
      <x:c r="AF212" s="193" t="b">
        <x:v>1</x:v>
      </x:c>
      <x:c r="AG212" s="193" t="b">
        <x:v>1</x:v>
      </x:c>
      <x:c r="AH212" s="193" t="b">
        <x:v>1</x:v>
      </x:c>
      <x:c r="AI212" s="193" t="b">
        <x:v>1</x:v>
      </x:c>
      <x:c r="AJ212" s="193" t="b">
        <x:v>1</x:v>
      </x:c>
    </x:row>
    <x:row r="213">
      <x:c r="A213" s="192" t="n">
        <x:v>1260073533686146600</x:v>
      </x:c>
      <x:c r="B213" s="192" t="str">
        <x:v>https://www.airbnb.com.br/rooms/1260073533686146608</x:v>
      </x:c>
      <x:c r="C213" s="192" t="str">
        <x:v>Studio sofisticado vista mar e lazer! MHFB1607</x:v>
      </x:c>
      <x:c r="D213" s="192" t="str">
        <x:v>Centro</x:v>
      </x:c>
      <x:c r="E213" s="192" t="n">
        <x:v>-27.0936893</x:v>
      </x:c>
      <x:c r="F213" s="192" t="n">
        <x:v>-48.6131638</x:v>
      </x:c>
      <x:c r="G213" s="192" t="str">
        <x:v>apartamento</x:v>
      </x:c>
      <x:c r="H213" s="192" t="n">
        <x:v>1</x:v>
      </x:c>
      <x:c r="I213" s="192" t="n">
        <x:v>1</x:v>
      </x:c>
      <x:c r="J213" s="192" t="n">
        <x:v>1</x:v>
      </x:c>
      <x:c r="K213" s="192" t="n">
        <x:v>2</x:v>
      </x:c>
      <x:c r="L213" s="192" t="n">
        <x:v>12</x:v>
      </x:c>
      <x:c r="M213" s="192" t="n">
        <x:v>4.75</x:v>
      </x:c>
      <x:c r="N213" s="192" t="n">
        <x:v>150</x:v>
      </x:c>
      <x:c r="O213" s="192" t="n">
        <x:v>0</x:v>
      </x:c>
      <x:c r="P213" s="193" t="b">
        <x:v>1</x:v>
      </x:c>
      <x:c r="Q213" s="193" t="b">
        <x:v>1</x:v>
      </x:c>
      <x:c r="R213" s="193" t="b">
        <x:v>1</x:v>
      </x:c>
      <x:c r="S213" s="193" t="b">
        <x:v>0</x:v>
      </x:c>
      <x:c r="T213" s="192" t="n">
        <x:v>63</x:v>
      </x:c>
      <x:c r="U213" s="192" t="n">
        <x:v>27</x:v>
      </x:c>
      <x:c r="V213" s="200" t="n">
        <x:v>0.3</x:v>
      </x:c>
      <x:c r="W213" s="203" t="n">
        <x:v>372</x:v>
      </x:c>
      <x:c r="X213" s="203" t="n">
        <x:v>10101.2465716014</x:v>
      </x:c>
      <x:c r="Y213" s="203" t="n">
        <x:v>26115.9312403279</x:v>
      </x:c>
      <x:c r="Z213" s="193" t="b">
        <x:v>1</x:v>
      </x:c>
      <x:c r="AA213" s="193" t="b">
        <x:v>1</x:v>
      </x:c>
      <x:c r="AB213" s="193" t="b">
        <x:v>1</x:v>
      </x:c>
      <x:c r="AC213" s="193" t="b">
        <x:v>1</x:v>
      </x:c>
      <x:c r="AD213" s="193" t="b">
        <x:v>1</x:v>
      </x:c>
      <x:c r="AE213" s="193" t="b">
        <x:v>0</x:v>
      </x:c>
      <x:c r="AF213" s="193" t="b">
        <x:v>1</x:v>
      </x:c>
      <x:c r="AG213" s="193" t="b">
        <x:v>1</x:v>
      </x:c>
      <x:c r="AH213" s="193" t="b">
        <x:v>1</x:v>
      </x:c>
      <x:c r="AI213" s="193" t="b">
        <x:v>1</x:v>
      </x:c>
      <x:c r="AJ213" s="193" t="b">
        <x:v>0</x:v>
      </x:c>
    </x:row>
    <x:row r="214">
      <x:c r="A214" s="192" t="n">
        <x:v>34540951</x:v>
      </x:c>
      <x:c r="B214" s="192" t="str">
        <x:v>https://www.airbnb.com.br/rooms/34540951</x:v>
      </x:c>
      <x:c r="C214" s="192" t="str">
        <x:v>Apartamento 3 suítes Itapema - Meia Praia</x:v>
      </x:c>
      <x:c r="D214" s="192" t="str">
        <x:v>Meia Praia</x:v>
      </x:c>
      <x:c r="E214" s="192" t="n">
        <x:v>-27.12384</x:v>
      </x:c>
      <x:c r="F214" s="192" t="n">
        <x:v>-48.60459</x:v>
      </x:c>
      <x:c r="G214" s="192" t="str">
        <x:v>apartamento</x:v>
      </x:c>
      <x:c r="H214" s="192" t="n">
        <x:v>3</x:v>
      </x:c>
      <x:c r="I214" s="192" t="n">
        <x:v>3</x:v>
      </x:c>
      <x:c r="J214" s="192" t="n">
        <x:v>5</x:v>
      </x:c>
      <x:c r="K214" s="192" t="n">
        <x:v>8</x:v>
      </x:c>
      <x:c r="L214" s="192" t="n">
        <x:v>67</x:v>
      </x:c>
      <x:c r="M214" s="192" t="n">
        <x:v>4.8699998856</x:v>
      </x:c>
      <x:c r="N214" s="192" t="n">
        <x:v>400</x:v>
      </x:c>
      <x:c r="O214" s="192" t="n">
        <x:v>111</x:v>
      </x:c>
      <x:c r="P214" s="193" t="b">
        <x:v>0</x:v>
      </x:c>
      <x:c r="Q214" s="193" t="b">
        <x:v>0</x:v>
      </x:c>
      <x:c r="R214" s="193" t="b">
        <x:v>1</x:v>
      </x:c>
      <x:c r="S214" s="193" t="b">
        <x:v>1</x:v>
      </x:c>
      <x:c r="T214" s="192" t="n">
        <x:v>62</x:v>
      </x:c>
      <x:c r="U214" s="192" t="n">
        <x:v>28</x:v>
      </x:c>
      <x:c r="V214" s="200" t="n">
        <x:v>0.3111111111</x:v>
      </x:c>
      <x:c r="W214" s="203" t="n">
        <x:v>499</x:v>
      </x:c>
      <x:c r="X214" s="203" t="n">
        <x:v>13901.6059194114</x:v>
      </x:c>
      <x:c r="Y214" s="203" t="n">
        <x:v>35941.4436374782</x:v>
      </x:c>
      <x:c r="Z214" s="193" t="b">
        <x:v>1</x:v>
      </x:c>
      <x:c r="AA214" s="193" t="b">
        <x:v>0</x:v>
      </x:c>
      <x:c r="AB214" s="193" t="b">
        <x:v>1</x:v>
      </x:c>
      <x:c r="AC214" s="193" t="b">
        <x:v>1</x:v>
      </x:c>
      <x:c r="AD214" s="193" t="b">
        <x:v>1</x:v>
      </x:c>
      <x:c r="AE214" s="193" t="b">
        <x:v>1</x:v>
      </x:c>
      <x:c r="AF214" s="193" t="b">
        <x:v>1</x:v>
      </x:c>
      <x:c r="AG214" s="193" t="b">
        <x:v>1</x:v>
      </x:c>
      <x:c r="AH214" s="193" t="b">
        <x:v>1</x:v>
      </x:c>
      <x:c r="AI214" s="193" t="b">
        <x:v>1</x:v>
      </x:c>
      <x:c r="AJ214" s="193" t="b">
        <x:v>0</x:v>
      </x:c>
    </x:row>
    <x:row r="215">
      <x:c r="A215" s="192" t="n">
        <x:v>39685785</x:v>
      </x:c>
      <x:c r="B215" s="192" t="str">
        <x:v>https://www.airbnb.com.br/rooms/39685785</x:v>
      </x:c>
      <x:c r="C215" s="192" t="str">
        <x:v>Apartamento na Quadra do Mar de Itapema</x:v>
      </x:c>
      <x:c r="D215" s="192" t="str">
        <x:v>Meia Praia</x:v>
      </x:c>
      <x:c r="E215" s="192" t="n">
        <x:v>-27.14</x:v>
      </x:c>
      <x:c r="F215" s="192" t="n">
        <x:v>-48.592</x:v>
      </x:c>
      <x:c r="G215" s="192" t="str">
        <x:v>apartamento</x:v>
      </x:c>
      <x:c r="H215" s="192" t="n">
        <x:v>2</x:v>
      </x:c>
      <x:c r="I215" s="192" t="n">
        <x:v>2</x:v>
      </x:c>
      <x:c r="J215" s="192" t="n">
        <x:v>2</x:v>
      </x:c>
      <x:c r="K215" s="192" t="n">
        <x:v>7</x:v>
      </x:c>
      <x:c r="L215" s="192" t="n">
        <x:v>125</x:v>
      </x:c>
      <x:c r="M215" s="192" t="n">
        <x:v>4.9400000572</x:v>
      </x:c>
      <x:c r="N215" s="192" t="n">
        <x:v>220</x:v>
      </x:c>
      <x:c r="O215" s="192" t="n">
        <x:v>31</x:v>
      </x:c>
      <x:c r="P215" s="193" t="b">
        <x:v>0</x:v>
      </x:c>
      <x:c r="Q215" s="193" t="b">
        <x:v>0</x:v>
      </x:c>
      <x:c r="R215" s="193" t="b">
        <x:v>1</x:v>
      </x:c>
      <x:c r="S215" s="193" t="b">
        <x:v>1</x:v>
      </x:c>
      <x:c r="T215" s="192" t="n">
        <x:v>68</x:v>
      </x:c>
      <x:c r="U215" s="192" t="n">
        <x:v>22</x:v>
      </x:c>
      <x:c r="V215" s="200" t="n">
        <x:v>0.2444444444</x:v>
      </x:c>
      <x:c r="W215" s="203" t="n">
        <x:v>464.16666</x:v>
      </x:c>
      <x:c r="X215" s="203" t="n">
        <x:v>10145.2527202333</x:v>
      </x:c>
      <x:c r="Y215" s="203" t="n">
        <x:v>26229.7054704364</x:v>
      </x:c>
      <x:c r="Z215" s="193" t="b">
        <x:v>1</x:v>
      </x:c>
      <x:c r="AA215" s="193" t="b">
        <x:v>0</x:v>
      </x:c>
      <x:c r="AB215" s="193" t="b">
        <x:v>1</x:v>
      </x:c>
      <x:c r="AC215" s="193" t="b">
        <x:v>1</x:v>
      </x:c>
      <x:c r="AD215" s="193" t="b">
        <x:v>1</x:v>
      </x:c>
      <x:c r="AE215" s="193" t="b">
        <x:v>0</x:v>
      </x:c>
      <x:c r="AF215" s="193" t="b">
        <x:v>1</x:v>
      </x:c>
      <x:c r="AG215" s="193" t="b">
        <x:v>1</x:v>
      </x:c>
      <x:c r="AH215" s="193" t="b">
        <x:v>1</x:v>
      </x:c>
      <x:c r="AI215" s="193" t="b">
        <x:v>1</x:v>
      </x:c>
      <x:c r="AJ215" s="193" t="b">
        <x:v>0</x:v>
      </x:c>
    </x:row>
    <x:row r="216">
      <x:c r="A216" s="192" t="n">
        <x:v>43712530</x:v>
      </x:c>
      <x:c r="B216" s="192" t="str">
        <x:v>https://www.airbnb.com.br/rooms/43712530</x:v>
      </x:c>
      <x:c r="C216" s="192" t="str">
        <x:v>EXCELENTE  QUADRA MAR! 8 andar.</x:v>
      </x:c>
      <x:c r="D216" s="192" t="str">
        <x:v>Meia Praia</x:v>
      </x:c>
      <x:c r="E216" s="192" t="n">
        <x:v>-27.14229</x:v>
      </x:c>
      <x:c r="F216" s="192" t="n">
        <x:v>-48.58914</x:v>
      </x:c>
      <x:c r="G216" s="192" t="str">
        <x:v>apartamento</x:v>
      </x:c>
      <x:c r="H216" s="192" t="n">
        <x:v>3</x:v>
      </x:c>
      <x:c r="I216" s="192" t="n">
        <x:v>3</x:v>
      </x:c>
      <x:c r="J216" s="192" t="n">
        <x:v>3</x:v>
      </x:c>
      <x:c r="K216" s="192" t="n">
        <x:v>7</x:v>
      </x:c>
      <x:c r="L216" s="192" t="n">
        <x:v>15</x:v>
      </x:c>
      <x:c r="M216" s="192" t="n">
        <x:v>5</x:v>
      </x:c>
      <x:c r="N216" s="192" t="n">
        <x:v>400</x:v>
      </x:c>
      <x:c r="O216" s="192" t="n">
        <x:v>42</x:v>
      </x:c>
      <x:c r="P216" s="193" t="b">
        <x:v>0</x:v>
      </x:c>
      <x:c r="Q216" s="193" t="b">
        <x:v>0</x:v>
      </x:c>
      <x:c r="R216" s="193" t="b">
        <x:v>1</x:v>
      </x:c>
      <x:c r="S216" s="193" t="b">
        <x:v>1</x:v>
      </x:c>
      <x:c r="T216" s="192" t="n">
        <x:v>21</x:v>
      </x:c>
      <x:c r="U216" s="192" t="n">
        <x:v>69</x:v>
      </x:c>
      <x:c r="V216" s="200" t="n">
        <x:v>0.7666666667</x:v>
      </x:c>
      <x:c r="W216" s="203" t="n">
        <x:v>601</x:v>
      </x:c>
      <x:c r="X216" s="203" t="n">
        <x:v>41070.9591689377</x:v>
      </x:c>
      <x:c r="Y216" s="203" t="n">
        <x:v>106185.5423513576</x:v>
      </x:c>
      <x:c r="Z216" s="193" t="b">
        <x:v>0</x:v>
      </x:c>
      <x:c r="AA216" s="193" t="b">
        <x:v>0</x:v>
      </x:c>
      <x:c r="AB216" s="193" t="b">
        <x:v>1</x:v>
      </x:c>
      <x:c r="AC216" s="193" t="b">
        <x:v>1</x:v>
      </x:c>
      <x:c r="AD216" s="193" t="b">
        <x:v>1</x:v>
      </x:c>
      <x:c r="AE216" s="193" t="b">
        <x:v>1</x:v>
      </x:c>
      <x:c r="AF216" s="193" t="b">
        <x:v>1</x:v>
      </x:c>
      <x:c r="AG216" s="193" t="b">
        <x:v>1</x:v>
      </x:c>
      <x:c r="AH216" s="193" t="b">
        <x:v>1</x:v>
      </x:c>
      <x:c r="AI216" s="193" t="b">
        <x:v>1</x:v>
      </x:c>
      <x:c r="AJ216" s="193" t="b">
        <x:v>1</x:v>
      </x:c>
    </x:row>
    <x:row r="217">
      <x:c r="A217" s="192" t="n">
        <x:v>693024169316156500</x:v>
      </x:c>
      <x:c r="B217" s="192" t="str">
        <x:v>https://www.airbnb.com.br/rooms/693024169316156606</x:v>
      </x:c>
      <x:c r="C217" s="192" t="str">
        <x:v>Solar dos Pinhais -Apto Moderno l Quadra do Mar</x:v>
      </x:c>
      <x:c r="D217" s="192" t="str">
        <x:v>Meia Praia</x:v>
      </x:c>
      <x:c r="E217" s="192" t="n">
        <x:v>-27.1371247</x:v>
      </x:c>
      <x:c r="F217" s="192" t="n">
        <x:v>-48.594679</x:v>
      </x:c>
      <x:c r="G217" s="192" t="str">
        <x:v>apartamento</x:v>
      </x:c>
      <x:c r="H217" s="192" t="n">
        <x:v>2</x:v>
      </x:c>
      <x:c r="I217" s="192" t="n">
        <x:v>2</x:v>
      </x:c>
      <x:c r="J217" s="192" t="n">
        <x:v>2</x:v>
      </x:c>
      <x:c r="K217" s="192" t="n">
        <x:v>6</x:v>
      </x:c>
      <x:c r="L217" s="192" t="n">
        <x:v>29</x:v>
      </x:c>
      <x:c r="M217" s="192" t="n">
        <x:v>4.7199997902</x:v>
      </x:c>
      <x:c r="N217" s="192" t="n">
        <x:v>200</x:v>
      </x:c>
      <x:c r="O217" s="192" t="n">
        <x:v>12</x:v>
      </x:c>
      <x:c r="P217" s="193" t="b">
        <x:v>0</x:v>
      </x:c>
      <x:c r="Q217" s="193" t="b">
        <x:v>0</x:v>
      </x:c>
      <x:c r="R217" s="193" t="b">
        <x:v>0</x:v>
      </x:c>
      <x:c r="S217" s="193" t="b">
        <x:v>1</x:v>
      </x:c>
      <x:c r="T217" s="192" t="n">
        <x:v>40</x:v>
      </x:c>
      <x:c r="U217" s="192" t="n">
        <x:v>50</x:v>
      </x:c>
      <x:c r="V217" s="200" t="n">
        <x:v>0.5555555556</x:v>
      </x:c>
      <x:c r="W217" s="203" t="n">
        <x:v>562</x:v>
      </x:c>
      <x:c r="X217" s="203" t="n">
        <x:v>27729.377053583</x:v>
      </x:c>
      <x:c r="Y217" s="203" t="n">
        <x:v>71691.9935906177</x:v>
      </x:c>
      <x:c r="Z217" s="193" t="b">
        <x:v>1</x:v>
      </x:c>
      <x:c r="AA217" s="193" t="b">
        <x:v>0</x:v>
      </x:c>
      <x:c r="AB217" s="193" t="b">
        <x:v>1</x:v>
      </x:c>
      <x:c r="AC217" s="193" t="b">
        <x:v>1</x:v>
      </x:c>
      <x:c r="AD217" s="193" t="b">
        <x:v>0</x:v>
      </x:c>
      <x:c r="AE217" s="193" t="b">
        <x:v>1</x:v>
      </x:c>
      <x:c r="AF217" s="193" t="b">
        <x:v>1</x:v>
      </x:c>
      <x:c r="AG217" s="193" t="b">
        <x:v>1</x:v>
      </x:c>
      <x:c r="AH217" s="193" t="b">
        <x:v>1</x:v>
      </x:c>
      <x:c r="AI217" s="193" t="b">
        <x:v>1</x:v>
      </x:c>
      <x:c r="AJ217" s="193" t="b">
        <x:v>1</x:v>
      </x:c>
    </x:row>
    <x:row r="218">
      <x:c r="A218" s="192" t="n">
        <x:v>612245203931813000</x:v>
      </x:c>
      <x:c r="B218" s="192" t="str">
        <x:v>https://www.airbnb.com.br/rooms/612245203931813020</x:v>
      </x:c>
      <x:c r="C218" s="192" t="str">
        <x:v>Apto Meia Praia av. Principal 4 quartos, Ar cond.</x:v>
      </x:c>
      <x:c r="D218" s="192" t="str">
        <x:v>Meia Praia</x:v>
      </x:c>
      <x:c r="E218" s="192" t="n">
        <x:v>-27.12744</x:v>
      </x:c>
      <x:c r="F218" s="192" t="n">
        <x:v>-48.60161</x:v>
      </x:c>
      <x:c r="G218" s="192" t="str">
        <x:v>apartamento</x:v>
      </x:c>
      <x:c r="H218" s="192" t="n">
        <x:v>4</x:v>
      </x:c>
      <x:c r="I218" s="192" t="n">
        <x:v>3</x:v>
      </x:c>
      <x:c r="J218" s="192" t="n">
        <x:v>4</x:v>
      </x:c>
      <x:c r="K218" s="192" t="n">
        <x:v>9</x:v>
      </x:c>
      <x:c r="L218" s="192" t="n">
        <x:v>24</x:v>
      </x:c>
      <x:c r="M218" s="192" t="n">
        <x:v>4.9200000763</x:v>
      </x:c>
      <x:c r="N218" s="192" t="n">
        <x:v>300</x:v>
      </x:c>
      <x:c r="O218" s="192" t="n">
        <x:v>18</x:v>
      </x:c>
      <x:c r="P218" s="193" t="b">
        <x:v>0</x:v>
      </x:c>
      <x:c r="Q218" s="193" t="b">
        <x:v>0</x:v>
      </x:c>
      <x:c r="R218" s="193" t="b">
        <x:v>1</x:v>
      </x:c>
      <x:c r="S218" s="193" t="b">
        <x:v>1</x:v>
      </x:c>
      <x:c r="T218" s="192" t="n">
        <x:v>61</x:v>
      </x:c>
      <x:c r="U218" s="192" t="n">
        <x:v>29</x:v>
      </x:c>
      <x:c r="V218" s="200" t="n">
        <x:v>0.3222222222</x:v>
      </x:c>
      <x:c r="W218" s="203" t="n">
        <x:v>500</x:v>
      </x:c>
      <x:c r="X218" s="203" t="n">
        <x:v>14195.0083707827</x:v>
      </x:c>
      <x:c r="Y218" s="203" t="n">
        <x:v>36700.0112252944</x:v>
      </x:c>
      <x:c r="Z218" s="193" t="b">
        <x:v>1</x:v>
      </x:c>
      <x:c r="AA218" s="193" t="b">
        <x:v>0</x:v>
      </x:c>
      <x:c r="AB218" s="193" t="b">
        <x:v>1</x:v>
      </x:c>
      <x:c r="AC218" s="193" t="b">
        <x:v>1</x:v>
      </x:c>
      <x:c r="AD218" s="193" t="b">
        <x:v>1</x:v>
      </x:c>
      <x:c r="AE218" s="193" t="b">
        <x:v>1</x:v>
      </x:c>
      <x:c r="AF218" s="193" t="b">
        <x:v>1</x:v>
      </x:c>
      <x:c r="AG218" s="193" t="b">
        <x:v>1</x:v>
      </x:c>
      <x:c r="AH218" s="193" t="b">
        <x:v>1</x:v>
      </x:c>
      <x:c r="AI218" s="193" t="b">
        <x:v>1</x:v>
      </x:c>
      <x:c r="AJ218" s="193" t="b">
        <x:v>0</x:v>
      </x:c>
    </x:row>
    <x:row r="219">
      <x:c r="A219" s="192" t="n">
        <x:v>29008738</x:v>
      </x:c>
      <x:c r="B219" s="192" t="str">
        <x:v>https://www.airbnb.com.br/rooms/29008738</x:v>
      </x:c>
      <x:c r="C219" s="192" t="str">
        <x:v>50 mts do MAR, AMPLO, ótima LOCALIZAÇÃO MEIA PRAIA</x:v>
      </x:c>
      <x:c r="D219" s="192" t="str">
        <x:v>Meia Praia</x:v>
      </x:c>
      <x:c r="E219" s="192" t="n">
        <x:v>-27.12544</x:v>
      </x:c>
      <x:c r="F219" s="192" t="n">
        <x:v>-48.60338</x:v>
      </x:c>
      <x:c r="G219" s="192" t="str">
        <x:v>apartamento</x:v>
      </x:c>
      <x:c r="H219" s="192" t="n">
        <x:v>4</x:v>
      </x:c>
      <x:c r="I219" s="192" t="n">
        <x:v>3</x:v>
      </x:c>
      <x:c r="J219" s="192" t="n">
        <x:v>4</x:v>
      </x:c>
      <x:c r="K219" s="192" t="n">
        <x:v>10</x:v>
      </x:c>
      <x:c r="L219" s="192" t="n">
        <x:v>46</x:v>
      </x:c>
      <x:c r="M219" s="192" t="n">
        <x:v>5</x:v>
      </x:c>
      <x:c r="N219" s="192" t="n">
        <x:v>297</x:v>
      </x:c>
      <x:c r="O219" s="192" t="n">
        <x:v>24</x:v>
      </x:c>
      <x:c r="P219" s="193" t="b">
        <x:v>0</x:v>
      </x:c>
      <x:c r="Q219" s="193" t="b">
        <x:v>0</x:v>
      </x:c>
      <x:c r="R219" s="193" t="b">
        <x:v>1</x:v>
      </x:c>
      <x:c r="S219" s="193" t="b">
        <x:v>1</x:v>
      </x:c>
      <x:c r="T219" s="192" t="n">
        <x:v>45</x:v>
      </x:c>
      <x:c r="U219" s="192" t="n">
        <x:v>45</x:v>
      </x:c>
      <x:c r="V219" s="200" t="n">
        <x:v>0.5</x:v>
      </x:c>
      <x:c r="W219" s="203" t="n">
        <x:v>494</x:v>
      </x:c>
      <x:c r="X219" s="203" t="n">
        <x:v>22895.815475257</x:v>
      </x:c>
      <x:c r="Y219" s="203" t="n">
        <x:v>59195.2229266541</x:v>
      </x:c>
      <x:c r="Z219" s="193" t="b">
        <x:v>1</x:v>
      </x:c>
      <x:c r="AA219" s="193" t="b">
        <x:v>0</x:v>
      </x:c>
      <x:c r="AB219" s="193" t="b">
        <x:v>1</x:v>
      </x:c>
      <x:c r="AC219" s="193" t="b">
        <x:v>1</x:v>
      </x:c>
      <x:c r="AD219" s="193" t="b">
        <x:v>1</x:v>
      </x:c>
      <x:c r="AE219" s="193" t="b">
        <x:v>1</x:v>
      </x:c>
      <x:c r="AF219" s="193" t="b">
        <x:v>1</x:v>
      </x:c>
      <x:c r="AG219" s="193" t="b">
        <x:v>1</x:v>
      </x:c>
      <x:c r="AH219" s="193" t="b">
        <x:v>1</x:v>
      </x:c>
      <x:c r="AI219" s="193" t="b">
        <x:v>1</x:v>
      </x:c>
      <x:c r="AJ219" s="193" t="b">
        <x:v>0</x:v>
      </x:c>
    </x:row>
    <x:row r="220">
      <x:c r="A220" s="192" t="n">
        <x:v>769009482417170000</x:v>
      </x:c>
      <x:c r="B220" s="192" t="str">
        <x:v>https://www.airbnb.com.br/rooms/769009482417170004</x:v>
      </x:c>
      <x:c r="C220" s="192" t="str">
        <x:v>Apto pé na areia!</x:v>
      </x:c>
      <x:c r="D220" s="192" t="str">
        <x:v>Morretes</x:v>
      </x:c>
      <x:c r="E220" s="192" t="n">
        <x:v>-27.1159992218</x:v>
      </x:c>
      <x:c r="F220" s="192" t="n">
        <x:v>-48.6090011597</x:v>
      </x:c>
      <x:c r="G220" s="192" t="str">
        <x:v>apartamento</x:v>
      </x:c>
      <x:c r="H220" s="192" t="n">
        <x:v>1</x:v>
      </x:c>
      <x:c r="I220" s="192" t="n">
        <x:v>1</x:v>
      </x:c>
      <x:c r="J220" s="192" t="n">
        <x:v>4</x:v>
      </x:c>
      <x:c r="K220" s="192" t="n">
        <x:v>4</x:v>
      </x:c>
      <x:c r="L220" s="192" t="n">
        <x:v>17</x:v>
      </x:c>
      <x:c r="M220" s="192" t="n">
        <x:v>4.9400000572</x:v>
      </x:c>
      <x:c r="N220" s="192" t="n">
        <x:v>250</x:v>
      </x:c>
      <x:c r="O220" s="192" t="n">
        <x:v>13</x:v>
      </x:c>
      <x:c r="P220" s="193" t="b">
        <x:v>0</x:v>
      </x:c>
      <x:c r="Q220" s="193" t="b">
        <x:v>0</x:v>
      </x:c>
      <x:c r="R220" s="193" t="b">
        <x:v>1</x:v>
      </x:c>
      <x:c r="S220" s="193" t="b">
        <x:v>1</x:v>
      </x:c>
      <x:c r="T220" s="192" t="n">
        <x:v>55</x:v>
      </x:c>
      <x:c r="U220" s="192" t="n">
        <x:v>35</x:v>
      </x:c>
      <x:c r="V220" s="200" t="n">
        <x:v>0.3888888889</x:v>
      </x:c>
      <x:c r="W220" s="203" t="n">
        <x:v>480</x:v>
      </x:c>
      <x:c r="X220" s="203" t="n">
        <x:v>16720.1938781289</x:v>
      </x:c>
      <x:c r="Y220" s="203" t="n">
        <x:v>43228.6679224124</x:v>
      </x:c>
      <x:c r="Z220" s="193" t="b">
        <x:v>1</x:v>
      </x:c>
      <x:c r="AA220" s="193" t="b">
        <x:v>0</x:v>
      </x:c>
      <x:c r="AB220" s="193" t="b">
        <x:v>1</x:v>
      </x:c>
      <x:c r="AC220" s="193" t="b">
        <x:v>1</x:v>
      </x:c>
      <x:c r="AD220" s="193" t="b">
        <x:v>0</x:v>
      </x:c>
      <x:c r="AE220" s="193" t="b">
        <x:v>1</x:v>
      </x:c>
      <x:c r="AF220" s="193" t="b">
        <x:v>1</x:v>
      </x:c>
      <x:c r="AG220" s="193" t="b">
        <x:v>1</x:v>
      </x:c>
      <x:c r="AH220" s="193" t="b">
        <x:v>1</x:v>
      </x:c>
      <x:c r="AI220" s="193" t="b">
        <x:v>1</x:v>
      </x:c>
      <x:c r="AJ220" s="193" t="b">
        <x:v>1</x:v>
      </x:c>
    </x:row>
    <x:row r="221">
      <x:c r="A221" s="192" t="n">
        <x:v>1062615116593634700</x:v>
      </x:c>
      <x:c r="B221" s="192" t="str">
        <x:v>https://www.airbnb.com.br/rooms/1062615116593634676</x:v>
      </x:c>
      <x:c r="C221" s="192" t="str">
        <x:v>Flat Alto Padrão - Meia Praia SC</x:v>
      </x:c>
      <x:c r="D221" s="192" t="str">
        <x:v>Meia Praia</x:v>
      </x:c>
      <x:c r="E221" s="192" t="n">
        <x:v>-27.1280002594</x:v>
      </x:c>
      <x:c r="F221" s="192" t="n">
        <x:v>-48.6049995422</x:v>
      </x:c>
      <x:c r="G221" s="192" t="str">
        <x:v>apartamento</x:v>
      </x:c>
      <x:c r="H221" s="192" t="n">
        <x:v>1</x:v>
      </x:c>
      <x:c r="I221" s="192" t="n">
        <x:v>1</x:v>
      </x:c>
      <x:c r="J221" s="192" t="n">
        <x:v>1</x:v>
      </x:c>
      <x:c r="K221" s="192" t="n">
        <x:v>4</x:v>
      </x:c>
      <x:c r="L221" s="192" t="n">
        <x:v>11</x:v>
      </x:c>
      <x:c r="M221" s="192" t="n">
        <x:v>5</x:v>
      </x:c>
      <x:c r="N221" s="192" t="n">
        <x:v>180</x:v>
      </x:c>
      <x:c r="O221" s="192" t="n">
        <x:v>22</x:v>
      </x:c>
      <x:c r="P221" s="193" t="b">
        <x:v>1</x:v>
      </x:c>
      <x:c r="Q221" s="193" t="b">
        <x:v>0</x:v>
      </x:c>
      <x:c r="R221" s="193" t="b">
        <x:v>1</x:v>
      </x:c>
      <x:c r="S221" s="193" t="b">
        <x:v>1</x:v>
      </x:c>
      <x:c r="T221" s="192" t="n">
        <x:v>45</x:v>
      </x:c>
      <x:c r="U221" s="192" t="n">
        <x:v>45</x:v>
      </x:c>
      <x:c r="V221" s="200" t="n">
        <x:v>0.5</x:v>
      </x:c>
      <x:c r="W221" s="203" t="n">
        <x:v>400</x:v>
      </x:c>
      <x:c r="X221" s="203" t="n">
        <x:v>18516.5211886724</x:v>
      </x:c>
      <x:c r="Y221" s="203" t="n">
        <x:v>47872.9224898801</x:v>
      </x:c>
      <x:c r="Z221" s="193" t="b">
        <x:v>1</x:v>
      </x:c>
      <x:c r="AA221" s="193" t="b">
        <x:v>1</x:v>
      </x:c>
      <x:c r="AB221" s="193" t="b">
        <x:v>1</x:v>
      </x:c>
      <x:c r="AC221" s="193" t="b">
        <x:v>1</x:v>
      </x:c>
      <x:c r="AD221" s="193" t="b">
        <x:v>0</x:v>
      </x:c>
      <x:c r="AE221" s="193" t="b">
        <x:v>0</x:v>
      </x:c>
      <x:c r="AF221" s="193" t="b">
        <x:v>0</x:v>
      </x:c>
      <x:c r="AG221" s="193" t="b">
        <x:v>1</x:v>
      </x:c>
      <x:c r="AH221" s="193" t="b">
        <x:v>1</x:v>
      </x:c>
      <x:c r="AI221" s="193" t="b">
        <x:v>1</x:v>
      </x:c>
      <x:c r="AJ221" s="193" t="b">
        <x:v>0</x:v>
      </x:c>
    </x:row>
    <x:row r="222">
      <x:c r="A222" s="192" t="n">
        <x:v>627388721154300800</x:v>
      </x:c>
      <x:c r="B222" s="192" t="str">
        <x:v>https://www.airbnb.com.br/rooms/627388721154300829</x:v>
      </x:c>
      <x:c r="C222" s="192" t="str">
        <x:v>Apartamento maravilhoso, com 3 suítes, 150m do mar</x:v>
      </x:c>
      <x:c r="D222" s="192" t="str">
        <x:v>Meia Praia</x:v>
      </x:c>
      <x:c r="E222" s="192" t="n">
        <x:v>-27.128237</x:v>
      </x:c>
      <x:c r="F222" s="192" t="n">
        <x:v>-48.603851</x:v>
      </x:c>
      <x:c r="G222" s="192" t="str">
        <x:v>apartamento</x:v>
      </x:c>
      <x:c r="H222" s="192" t="n">
        <x:v>3</x:v>
      </x:c>
      <x:c r="I222" s="192" t="n">
        <x:v>4</x:v>
      </x:c>
      <x:c r="J222" s="192" t="n">
        <x:v>3</x:v>
      </x:c>
      <x:c r="K222" s="192" t="n">
        <x:v>8</x:v>
      </x:c>
      <x:c r="L222" s="192" t="n">
        <x:v>38</x:v>
      </x:c>
      <x:c r="M222" s="192" t="n">
        <x:v>4.8699998856</x:v>
      </x:c>
      <x:c r="N222" s="192" t="n">
        <x:v>270</x:v>
      </x:c>
      <x:c r="O222" s="192" t="n">
        <x:v>24</x:v>
      </x:c>
      <x:c r="P222" s="193" t="b">
        <x:v>0</x:v>
      </x:c>
      <x:c r="Q222" s="193" t="b">
        <x:v>0</x:v>
      </x:c>
      <x:c r="R222" s="193" t="b">
        <x:v>1</x:v>
      </x:c>
      <x:c r="S222" s="193" t="b">
        <x:v>0</x:v>
      </x:c>
      <x:c r="T222" s="192" t="n">
        <x:v>26</x:v>
      </x:c>
      <x:c r="U222" s="192" t="n">
        <x:v>64</x:v>
      </x:c>
      <x:c r="V222" s="200" t="n">
        <x:v>0.7111111111</x:v>
      </x:c>
      <x:c r="W222" s="203" t="n">
        <x:v>475</x:v>
      </x:c>
      <x:c r="X222" s="203" t="n">
        <x:v>30980.2257171841</x:v>
      </x:c>
      <x:c r="Y222" s="203" t="n">
        <x:v>80096.7919063031</x:v>
      </x:c>
      <x:c r="Z222" s="193" t="b">
        <x:v>1</x:v>
      </x:c>
      <x:c r="AA222" s="193" t="b">
        <x:v>0</x:v>
      </x:c>
      <x:c r="AB222" s="193" t="b">
        <x:v>1</x:v>
      </x:c>
      <x:c r="AC222" s="193" t="b">
        <x:v>1</x:v>
      </x:c>
      <x:c r="AD222" s="193" t="b">
        <x:v>0</x:v>
      </x:c>
      <x:c r="AE222" s="193" t="b">
        <x:v>1</x:v>
      </x:c>
      <x:c r="AF222" s="193" t="b">
        <x:v>1</x:v>
      </x:c>
      <x:c r="AG222" s="193" t="b">
        <x:v>1</x:v>
      </x:c>
      <x:c r="AH222" s="193" t="b">
        <x:v>1</x:v>
      </x:c>
      <x:c r="AI222" s="193" t="b">
        <x:v>1</x:v>
      </x:c>
      <x:c r="AJ222" s="193" t="b">
        <x:v>0</x:v>
      </x:c>
    </x:row>
    <x:row r="223">
      <x:c r="A223" s="192" t="n">
        <x:v>47260862</x:v>
      </x:c>
      <x:c r="B223" s="192" t="str">
        <x:v>https://www.airbnb.com.br/rooms/47260862</x:v>
      </x:c>
      <x:c r="C223" s="192" t="str">
        <x:v>Apartamento perto do mar. wi-fi, split, 2 garagens</x:v>
      </x:c>
      <x:c r="D223" s="192" t="str">
        <x:v>Meia Praia</x:v>
      </x:c>
      <x:c r="E223" s="192" t="n">
        <x:v>-27.14253</x:v>
      </x:c>
      <x:c r="F223" s="192" t="n">
        <x:v>-48.59484</x:v>
      </x:c>
      <x:c r="G223" s="192" t="str">
        <x:v>apartamento</x:v>
      </x:c>
      <x:c r="H223" s="192" t="n">
        <x:v>2</x:v>
      </x:c>
      <x:c r="I223" s="192" t="n">
        <x:v>3</x:v>
      </x:c>
      <x:c r="J223" s="192" t="n">
        <x:v>8</x:v>
      </x:c>
      <x:c r="K223" s="192" t="n">
        <x:v>8</x:v>
      </x:c>
      <x:c r="L223" s="192" t="n">
        <x:v>24</x:v>
      </x:c>
      <x:c r="M223" s="192" t="n">
        <x:v>5</x:v>
      </x:c>
      <x:c r="N223" s="192" t="n">
        <x:v>250</x:v>
      </x:c>
      <x:c r="O223" s="192" t="n">
        <x:v>24</x:v>
      </x:c>
      <x:c r="P223" s="193" t="b">
        <x:v>1</x:v>
      </x:c>
      <x:c r="Q223" s="193" t="b">
        <x:v>0</x:v>
      </x:c>
      <x:c r="R223" s="193" t="b">
        <x:v>1</x:v>
      </x:c>
      <x:c r="S223" s="193" t="b">
        <x:v>0</x:v>
      </x:c>
      <x:c r="T223" s="192" t="n">
        <x:v>44</x:v>
      </x:c>
      <x:c r="U223" s="192" t="n">
        <x:v>46</x:v>
      </x:c>
      <x:c r="V223" s="200" t="n">
        <x:v>0.5111111111</x:v>
      </x:c>
      <x:c r="W223" s="203" t="n">
        <x:v>450</x:v>
      </x:c>
      <x:c r="X223" s="203" t="n">
        <x:v>21348.87763543</x:v>
      </x:c>
      <x:c r="Y223" s="203" t="n">
        <x:v>55195.7440532679</x:v>
      </x:c>
      <x:c r="Z223" s="193" t="b">
        <x:v>1</x:v>
      </x:c>
      <x:c r="AA223" s="193" t="b">
        <x:v>0</x:v>
      </x:c>
      <x:c r="AB223" s="193" t="b">
        <x:v>1</x:v>
      </x:c>
      <x:c r="AC223" s="193" t="b">
        <x:v>1</x:v>
      </x:c>
      <x:c r="AD223" s="193" t="b">
        <x:v>1</x:v>
      </x:c>
      <x:c r="AE223" s="193" t="b">
        <x:v>0</x:v>
      </x:c>
      <x:c r="AF223" s="193" t="b">
        <x:v>1</x:v>
      </x:c>
      <x:c r="AG223" s="193" t="b">
        <x:v>1</x:v>
      </x:c>
      <x:c r="AH223" s="193" t="b">
        <x:v>1</x:v>
      </x:c>
      <x:c r="AI223" s="193" t="b">
        <x:v>1</x:v>
      </x:c>
      <x:c r="AJ223" s="193" t="b">
        <x:v>1</x:v>
      </x:c>
    </x:row>
    <x:row r="224">
      <x:c r="A224" s="192" t="n">
        <x:v>26026295</x:v>
      </x:c>
      <x:c r="B224" s="192" t="str">
        <x:v>https://www.airbnb.com.br/rooms/26026295</x:v>
      </x:c>
      <x:c r="C224" s="192" t="str">
        <x:v>Lindo apartamento no centro de Meia Praia</x:v>
      </x:c>
      <x:c r="D224" s="192" t="str">
        <x:v>Meia Praia</x:v>
      </x:c>
      <x:c r="E224" s="192" t="n">
        <x:v>-27.12726</x:v>
      </x:c>
      <x:c r="F224" s="192" t="n">
        <x:v>-48.60148</x:v>
      </x:c>
      <x:c r="G224" s="192" t="str">
        <x:v>apartamento</x:v>
      </x:c>
      <x:c r="H224" s="192" t="n">
        <x:v>2</x:v>
      </x:c>
      <x:c r="I224" s="192" t="n">
        <x:v>2</x:v>
      </x:c>
      <x:c r="J224" s="192" t="n">
        <x:v>3</x:v>
      </x:c>
      <x:c r="K224" s="192" t="n">
        <x:v>5</x:v>
      </x:c>
      <x:c r="L224" s="192" t="n">
        <x:v>150</x:v>
      </x:c>
      <x:c r="M224" s="192" t="n">
        <x:v>4.8299999237</x:v>
      </x:c>
      <x:c r="N224" s="192" t="n">
        <x:v>250</x:v>
      </x:c>
      <x:c r="O224" s="192" t="n">
        <x:v>22</x:v>
      </x:c>
      <x:c r="P224" s="193" t="b">
        <x:v>1</x:v>
      </x:c>
      <x:c r="Q224" s="193" t="b">
        <x:v>0</x:v>
      </x:c>
      <x:c r="R224" s="193" t="b">
        <x:v>1</x:v>
      </x:c>
      <x:c r="S224" s="193" t="b">
        <x:v>1</x:v>
      </x:c>
      <x:c r="T224" s="192" t="n">
        <x:v>27</x:v>
      </x:c>
      <x:c r="U224" s="192" t="n">
        <x:v>63</x:v>
      </x:c>
      <x:c r="V224" s="200" t="n">
        <x:v>0.7</x:v>
      </x:c>
      <x:c r="W224" s="203" t="n">
        <x:v>390</x:v>
      </x:c>
      <x:c r="X224" s="203" t="n">
        <x:v>24656.5239522061</x:v>
      </x:c>
      <x:c r="Y224" s="203" t="n">
        <x:v>63747.3879680994</x:v>
      </x:c>
      <x:c r="Z224" s="193" t="b">
        <x:v>1</x:v>
      </x:c>
      <x:c r="AA224" s="193" t="b">
        <x:v>0</x:v>
      </x:c>
      <x:c r="AB224" s="193" t="b">
        <x:v>1</x:v>
      </x:c>
      <x:c r="AC224" s="193" t="b">
        <x:v>1</x:v>
      </x:c>
      <x:c r="AD224" s="193" t="b">
        <x:v>0</x:v>
      </x:c>
      <x:c r="AE224" s="193" t="b">
        <x:v>1</x:v>
      </x:c>
      <x:c r="AF224" s="193" t="b">
        <x:v>0</x:v>
      </x:c>
      <x:c r="AG224" s="193" t="b">
        <x:v>1</x:v>
      </x:c>
      <x:c r="AH224" s="193" t="b">
        <x:v>1</x:v>
      </x:c>
      <x:c r="AI224" s="193" t="b">
        <x:v>1</x:v>
      </x:c>
      <x:c r="AJ224" s="193" t="b">
        <x:v>0</x:v>
      </x:c>
    </x:row>
    <x:row r="225">
      <x:c r="A225" s="192" t="n">
        <x:v>916052715744473200</x:v>
      </x:c>
      <x:c r="B225" s="192" t="str">
        <x:v>https://www.airbnb.com.br/rooms/916052715744473224</x:v>
      </x:c>
      <x:c r="C225" s="192" t="str">
        <x:v>Apto a 150 mts do mar com vista.</x:v>
      </x:c>
      <x:c r="D225" s="192" t="str">
        <x:v>Meia Praia</x:v>
      </x:c>
      <x:c r="E225" s="192" t="n">
        <x:v>-27.1210002899</x:v>
      </x:c>
      <x:c r="F225" s="192" t="n">
        <x:v>-48.608001709</x:v>
      </x:c>
      <x:c r="G225" s="192" t="str">
        <x:v>apartamento</x:v>
      </x:c>
      <x:c r="H225" s="192" t="n">
        <x:v>3</x:v>
      </x:c>
      <x:c r="I225" s="192" t="n">
        <x:v>4</x:v>
      </x:c>
      <x:c r="J225" s="192" t="n">
        <x:v>3</x:v>
      </x:c>
      <x:c r="K225" s="192" t="n">
        <x:v>6</x:v>
      </x:c>
      <x:c r="L225" s="192" t="n">
        <x:v>12</x:v>
      </x:c>
      <x:c r="M225" s="192" t="n">
        <x:v>4.9200000763</x:v>
      </x:c>
      <x:c r="N225" s="192" t="n">
        <x:v>300</x:v>
      </x:c>
      <x:c r="O225" s="192" t="n">
        <x:v>20</x:v>
      </x:c>
      <x:c r="P225" s="193" t="b">
        <x:v>0</x:v>
      </x:c>
      <x:c r="Q225" s="193" t="b">
        <x:v>0</x:v>
      </x:c>
      <x:c r="R225" s="193" t="b">
        <x:v>1</x:v>
      </x:c>
      <x:c r="S225" s="193" t="b">
        <x:v>0</x:v>
      </x:c>
      <x:c r="T225" s="192" t="n">
        <x:v>39</x:v>
      </x:c>
      <x:c r="U225" s="192" t="n">
        <x:v>51</x:v>
      </x:c>
      <x:c r="V225" s="200" t="n">
        <x:v>0.5666666667</x:v>
      </x:c>
      <x:c r="W225" s="203" t="n">
        <x:v>1150</x:v>
      </x:c>
      <x:c r="X225" s="203" t="n">
        <x:v>57951.1388672279</x:v>
      </x:c>
      <x:c r="Y225" s="203" t="n">
        <x:v>149827.8402796455</x:v>
      </x:c>
      <x:c r="Z225" s="193" t="b">
        <x:v>0</x:v>
      </x:c>
      <x:c r="AA225" s="193" t="b">
        <x:v>0</x:v>
      </x:c>
      <x:c r="AB225" s="193" t="b">
        <x:v>1</x:v>
      </x:c>
      <x:c r="AC225" s="193" t="b">
        <x:v>1</x:v>
      </x:c>
      <x:c r="AD225" s="193" t="b">
        <x:v>0</x:v>
      </x:c>
      <x:c r="AE225" s="193" t="b">
        <x:v>1</x:v>
      </x:c>
      <x:c r="AF225" s="193" t="b">
        <x:v>1</x:v>
      </x:c>
      <x:c r="AG225" s="193" t="b">
        <x:v>1</x:v>
      </x:c>
      <x:c r="AH225" s="193" t="b">
        <x:v>1</x:v>
      </x:c>
      <x:c r="AI225" s="193" t="b">
        <x:v>1</x:v>
      </x:c>
      <x:c r="AJ225" s="193" t="b">
        <x:v>0</x:v>
      </x:c>
    </x:row>
    <x:row r="226">
      <x:c r="A226" s="192" t="n">
        <x:v>45822839</x:v>
      </x:c>
      <x:c r="B226" s="192" t="str">
        <x:v>https://www.airbnb.com.br/rooms/45822839</x:v>
      </x:c>
      <x:c r="C226" s="192" t="str">
        <x:v>Apto Finamente mobiliado a 30 metros do mar</x:v>
      </x:c>
      <x:c r="D226" s="192" t="str">
        <x:v>Meia Praia</x:v>
      </x:c>
      <x:c r="E226" s="192" t="n">
        <x:v>-27.14504</x:v>
      </x:c>
      <x:c r="F226" s="192" t="n">
        <x:v>-48.5876</x:v>
      </x:c>
      <x:c r="G226" s="192" t="str">
        <x:v>apartamento</x:v>
      </x:c>
      <x:c r="H226" s="192" t="n">
        <x:v>2</x:v>
      </x:c>
      <x:c r="I226" s="192" t="n">
        <x:v>1</x:v>
      </x:c>
      <x:c r="J226" s="192" t="n">
        <x:v>3</x:v>
      </x:c>
      <x:c r="K226" s="192" t="n">
        <x:v>5</x:v>
      </x:c>
      <x:c r="L226" s="192" t="n">
        <x:v>8</x:v>
      </x:c>
      <x:c r="M226" s="192" t="n">
        <x:v>5</x:v>
      </x:c>
      <x:c r="N226" s="192" t="n">
        <x:v>150</x:v>
      </x:c>
      <x:c r="O226" s="192" t="n">
        <x:v>8</x:v>
      </x:c>
      <x:c r="P226" s="193" t="b">
        <x:v>1</x:v>
      </x:c>
      <x:c r="Q226" s="193" t="b">
        <x:v>0</x:v>
      </x:c>
      <x:c r="R226" s="193" t="b">
        <x:v>0</x:v>
      </x:c>
      <x:c r="S226" s="193" t="b">
        <x:v>1</x:v>
      </x:c>
      <x:c r="T226" s="192" t="n">
        <x:v>59</x:v>
      </x:c>
      <x:c r="U226" s="192" t="n">
        <x:v>31</x:v>
      </x:c>
      <x:c r="V226" s="200" t="n">
        <x:v>0.3444444444</x:v>
      </x:c>
      <x:c r="W226" s="203" t="n">
        <x:v>390</x:v>
      </x:c>
      <x:c r="X226" s="203" t="n">
        <x:v>12778.5828927393</x:v>
      </x:c>
      <x:c r="Y226" s="203" t="n">
        <x:v>33037.9611872698</x:v>
      </x:c>
      <x:c r="Z226" s="193" t="b">
        <x:v>1</x:v>
      </x:c>
      <x:c r="AA226" s="193" t="b">
        <x:v>0</x:v>
      </x:c>
      <x:c r="AB226" s="193" t="b">
        <x:v>1</x:v>
      </x:c>
      <x:c r="AC226" s="193" t="b">
        <x:v>1</x:v>
      </x:c>
      <x:c r="AD226" s="193" t="b">
        <x:v>0</x:v>
      </x:c>
      <x:c r="AE226" s="193" t="b">
        <x:v>1</x:v>
      </x:c>
      <x:c r="AF226" s="193" t="b">
        <x:v>1</x:v>
      </x:c>
      <x:c r="AG226" s="193" t="b">
        <x:v>1</x:v>
      </x:c>
      <x:c r="AH226" s="193" t="b">
        <x:v>1</x:v>
      </x:c>
      <x:c r="AI226" s="193" t="b">
        <x:v>1</x:v>
      </x:c>
      <x:c r="AJ226" s="193" t="b">
        <x:v>0</x:v>
      </x:c>
    </x:row>
    <x:row r="227">
      <x:c r="A227" s="192" t="n">
        <x:v>39420557</x:v>
      </x:c>
      <x:c r="B227" s="192" t="str">
        <x:v>https://www.airbnb.com.br/rooms/39420557</x:v>
      </x:c>
      <x:c r="C227" s="192" t="str">
        <x:v>Apartamento   aconchegante com 3 suítes.</x:v>
      </x:c>
      <x:c r="D227" s="192" t="str">
        <x:v>Meia Praia</x:v>
      </x:c>
      <x:c r="E227" s="192" t="n">
        <x:v>-27.13242</x:v>
      </x:c>
      <x:c r="F227" s="192" t="n">
        <x:v>-48.60324</x:v>
      </x:c>
      <x:c r="G227" s="192" t="str">
        <x:v>apartamento</x:v>
      </x:c>
      <x:c r="H227" s="192" t="n">
        <x:v>3</x:v>
      </x:c>
      <x:c r="I227" s="192" t="n">
        <x:v>3</x:v>
      </x:c>
      <x:c r="J227" s="192" t="n">
        <x:v>3</x:v>
      </x:c>
      <x:c r="K227" s="192" t="n">
        <x:v>8</x:v>
      </x:c>
      <x:c r="L227" s="192" t="n">
        <x:v>7</x:v>
      </x:c>
      <x:c r="M227" s="192" t="n">
        <x:v>5</x:v>
      </x:c>
      <x:c r="N227" s="192" t="n">
        <x:v>250</x:v>
      </x:c>
      <x:c r="O227" s="192" t="n">
        <x:v>17</x:v>
      </x:c>
      <x:c r="P227" s="193" t="b">
        <x:v>0</x:v>
      </x:c>
      <x:c r="Q227" s="193" t="b">
        <x:v>0</x:v>
      </x:c>
      <x:c r="R227" s="193" t="b">
        <x:v>1</x:v>
      </x:c>
      <x:c r="S227" s="193" t="b">
        <x:v>0</x:v>
      </x:c>
      <x:c r="T227" s="192" t="n">
        <x:v>33</x:v>
      </x:c>
      <x:c r="U227" s="192" t="n">
        <x:v>57</x:v>
      </x:c>
      <x:c r="V227" s="200" t="n">
        <x:v>0.6333333333</x:v>
      </x:c>
      <x:c r="W227" s="203" t="n">
        <x:v>800</x:v>
      </x:c>
      <x:c r="X227" s="203" t="n">
        <x:v>43905.2882799584</x:v>
      </x:c>
      <x:c r="Y227" s="203" t="n">
        <x:v>113513.4640738091</x:v>
      </x:c>
      <x:c r="Z227" s="193" t="b">
        <x:v>0</x:v>
      </x:c>
      <x:c r="AA227" s="193" t="b">
        <x:v>0</x:v>
      </x:c>
      <x:c r="AB227" s="193" t="b">
        <x:v>1</x:v>
      </x:c>
      <x:c r="AC227" s="193" t="b">
        <x:v>1</x:v>
      </x:c>
      <x:c r="AD227" s="193" t="b">
        <x:v>1</x:v>
      </x:c>
      <x:c r="AE227" s="193" t="b">
        <x:v>0</x:v>
      </x:c>
      <x:c r="AF227" s="193" t="b">
        <x:v>1</x:v>
      </x:c>
      <x:c r="AG227" s="193" t="b">
        <x:v>1</x:v>
      </x:c>
      <x:c r="AH227" s="193" t="b">
        <x:v>1</x:v>
      </x:c>
      <x:c r="AI227" s="193" t="b">
        <x:v>1</x:v>
      </x:c>
      <x:c r="AJ227" s="193" t="b">
        <x:v>0</x:v>
      </x:c>
    </x:row>
    <x:row r="228">
      <x:c r="A228" s="192" t="n">
        <x:v>1207383031689344800</x:v>
      </x:c>
      <x:c r="B228" s="192" t="str">
        <x:v>https://www.airbnb.com.br/rooms/1207383031689344642</x:v>
      </x:c>
      <x:c r="C228" s="192" t="str">
        <x:v>Flat ao lado da praia em Itapema!</x:v>
      </x:c>
      <x:c r="D228" s="192" t="str">
        <x:v>Centro</x:v>
      </x:c>
      <x:c r="E228" s="192" t="n">
        <x:v>-27.0932209431</x:v>
      </x:c>
      <x:c r="F228" s="192" t="n">
        <x:v>-48.6123942433</x:v>
      </x:c>
      <x:c r="G228" s="192" t="str">
        <x:v>apartamento</x:v>
      </x:c>
      <x:c r="H228" s="192" t="n">
        <x:v>1</x:v>
      </x:c>
      <x:c r="I228" s="192" t="n">
        <x:v>1</x:v>
      </x:c>
      <x:c r="J228" s="192" t="n">
        <x:v>1</x:v>
      </x:c>
      <x:c r="K228" s="192" t="n">
        <x:v>4</x:v>
      </x:c>
      <x:c r="L228" s="192" t="n">
        <x:v>8</x:v>
      </x:c>
      <x:c r="M228" s="192" t="n">
        <x:v>4.8800001144</x:v>
      </x:c>
      <x:c r="N228" s="192" t="n">
        <x:v>150</x:v>
      </x:c>
      <x:c r="O228" s="192" t="n">
        <x:v>0</x:v>
      </x:c>
      <x:c r="P228" s="193" t="b">
        <x:v>0</x:v>
      </x:c>
      <x:c r="Q228" s="193" t="b">
        <x:v>0</x:v>
      </x:c>
      <x:c r="R228" s="193" t="b">
        <x:v>0</x:v>
      </x:c>
      <x:c r="S228" s="193" t="b">
        <x:v>0</x:v>
      </x:c>
      <x:c r="T228" s="192" t="n">
        <x:v>67</x:v>
      </x:c>
      <x:c r="U228" s="192" t="n">
        <x:v>23</x:v>
      </x:c>
      <x:c r="V228" s="200" t="n">
        <x:v>0.2555555556</x:v>
      </x:c>
      <x:c r="W228" s="203" t="n">
        <x:v>500</x:v>
      </x:c>
      <x:c r="X228" s="203" t="n">
        <x:v>11243.5380333228</x:v>
      </x:c>
      <x:c r="Y228" s="203" t="n">
        <x:v>29069.2306236535</x:v>
      </x:c>
      <x:c r="Z228" s="193" t="b">
        <x:v>1</x:v>
      </x:c>
      <x:c r="AA228" s="193" t="b">
        <x:v>1</x:v>
      </x:c>
      <x:c r="AB228" s="193" t="b">
        <x:v>1</x:v>
      </x:c>
      <x:c r="AC228" s="193" t="b">
        <x:v>1</x:v>
      </x:c>
      <x:c r="AD228" s="193" t="b">
        <x:v>0</x:v>
      </x:c>
      <x:c r="AE228" s="193" t="b">
        <x:v>0</x:v>
      </x:c>
      <x:c r="AF228" s="193" t="b">
        <x:v>0</x:v>
      </x:c>
      <x:c r="AG228" s="193" t="b">
        <x:v>1</x:v>
      </x:c>
      <x:c r="AH228" s="193" t="b">
        <x:v>1</x:v>
      </x:c>
      <x:c r="AI228" s="193" t="b">
        <x:v>1</x:v>
      </x:c>
      <x:c r="AJ228" s="193" t="b">
        <x:v>0</x:v>
      </x:c>
    </x:row>
    <x:row r="229">
      <x:c r="A229" s="192" t="n">
        <x:v>52596621</x:v>
      </x:c>
      <x:c r="B229" s="192" t="str">
        <x:v>https://www.airbnb.com.br/rooms/52596621</x:v>
      </x:c>
      <x:c r="C229" s="192" t="str">
        <x:v>Ap Novo pé na areia,2.vagas garagem.
Rua 323B.</x:v>
      </x:c>
      <x:c r="D229" s="192" t="str">
        <x:v>Meia Praia</x:v>
      </x:c>
      <x:c r="E229" s="192" t="n">
        <x:v>-27.13582</x:v>
      </x:c>
      <x:c r="F229" s="192" t="n">
        <x:v>-48.59379</x:v>
      </x:c>
      <x:c r="G229" s="192" t="str">
        <x:v>apartamento</x:v>
      </x:c>
      <x:c r="H229" s="192" t="n">
        <x:v>3</x:v>
      </x:c>
      <x:c r="I229" s="192" t="n">
        <x:v>3</x:v>
      </x:c>
      <x:c r="J229" s="192" t="n">
        <x:v>3</x:v>
      </x:c>
      <x:c r="K229" s="192" t="n">
        <x:v>6</x:v>
      </x:c>
      <x:c r="L229" s="192" t="n">
        <x:v>11</x:v>
      </x:c>
      <x:c r="M229" s="192" t="n">
        <x:v>5</x:v>
      </x:c>
      <x:c r="N229" s="192" t="n">
        <x:v>300</x:v>
      </x:c>
      <x:c r="O229" s="192" t="n">
        <x:v>51</x:v>
      </x:c>
      <x:c r="P229" s="193" t="b">
        <x:v>1</x:v>
      </x:c>
      <x:c r="Q229" s="193" t="b">
        <x:v>0</x:v>
      </x:c>
      <x:c r="R229" s="193" t="b">
        <x:v>1</x:v>
      </x:c>
      <x:c r="S229" s="193" t="b">
        <x:v>0</x:v>
      </x:c>
      <x:c r="T229" s="192" t="n">
        <x:v>84</x:v>
      </x:c>
      <x:c r="U229" s="192" t="n">
        <x:v>6</x:v>
      </x:c>
      <x:c r="V229" s="200" t="n">
        <x:v>0.0666666667</x:v>
      </x:c>
      <x:c r="W229" s="203" t="n">
        <x:v>750</x:v>
      </x:c>
      <x:c r="X229" s="203" t="n">
        <x:v>4560.1795324885</x:v>
      </x:c>
      <x:c r="Y229" s="203" t="n">
        <x:v>11789.9641662878</x:v>
      </x:c>
      <x:c r="Z229" s="193" t="b">
        <x:v>1</x:v>
      </x:c>
      <x:c r="AA229" s="193" t="b">
        <x:v>0</x:v>
      </x:c>
      <x:c r="AB229" s="193" t="b">
        <x:v>1</x:v>
      </x:c>
      <x:c r="AC229" s="193" t="b">
        <x:v>1</x:v>
      </x:c>
      <x:c r="AD229" s="193" t="b">
        <x:v>0</x:v>
      </x:c>
      <x:c r="AE229" s="193" t="b">
        <x:v>0</x:v>
      </x:c>
      <x:c r="AF229" s="193" t="b">
        <x:v>1</x:v>
      </x:c>
      <x:c r="AG229" s="193" t="b">
        <x:v>1</x:v>
      </x:c>
      <x:c r="AH229" s="193" t="b">
        <x:v>1</x:v>
      </x:c>
      <x:c r="AI229" s="193" t="b">
        <x:v>1</x:v>
      </x:c>
      <x:c r="AJ229" s="193" t="b">
        <x:v>1</x:v>
      </x:c>
    </x:row>
    <x:row r="230">
      <x:c r="A230" s="192" t="n">
        <x:v>978095320445301600</x:v>
      </x:c>
      <x:c r="B230" s="192" t="str">
        <x:v>https://www.airbnb.com.br/rooms/978095320445301654</x:v>
      </x:c>
      <x:c r="C230" s="192" t="str">
        <x:v>Meia Praia, 3 suítes, conforto a 140 metros do mar</x:v>
      </x:c>
      <x:c r="D230" s="192" t="str">
        <x:v>Meia Praia</x:v>
      </x:c>
      <x:c r="E230" s="192" t="n">
        <x:v>-27.1359996796</x:v>
      </x:c>
      <x:c r="F230" s="192" t="n">
        <x:v>-48.5989990234</x:v>
      </x:c>
      <x:c r="G230" s="192" t="str">
        <x:v>apartamento</x:v>
      </x:c>
      <x:c r="H230" s="192" t="n">
        <x:v>3</x:v>
      </x:c>
      <x:c r="I230" s="192" t="n">
        <x:v>3</x:v>
      </x:c>
      <x:c r="J230" s="192" t="n">
        <x:v>4</x:v>
      </x:c>
      <x:c r="K230" s="192" t="n">
        <x:v>8</x:v>
      </x:c>
      <x:c r="L230" s="192" t="n">
        <x:v>17</x:v>
      </x:c>
      <x:c r="M230" s="192" t="n">
        <x:v>4.8800001144</x:v>
      </x:c>
      <x:c r="N230" s="192" t="n">
        <x:v>250</x:v>
      </x:c>
      <x:c r="O230" s="192" t="n">
        <x:v>35</x:v>
      </x:c>
      <x:c r="P230" s="193" t="b">
        <x:v>1</x:v>
      </x:c>
      <x:c r="Q230" s="193" t="b">
        <x:v>0</x:v>
      </x:c>
      <x:c r="R230" s="193" t="b">
        <x:v>1</x:v>
      </x:c>
      <x:c r="S230" s="193" t="b">
        <x:v>1</x:v>
      </x:c>
      <x:c r="T230" s="192" t="n">
        <x:v>73</x:v>
      </x:c>
      <x:c r="U230" s="192" t="n">
        <x:v>17</x:v>
      </x:c>
      <x:c r="V230" s="200" t="n">
        <x:v>0.1888888889</x:v>
      </x:c>
      <x:c r="W230" s="203" t="n">
        <x:v>900</x:v>
      </x:c>
      <x:c r="X230" s="203" t="n">
        <x:v>15241.9204124958</x:v>
      </x:c>
      <x:c r="Y230" s="203" t="n">
        <x:v>39406.7150664734</x:v>
      </x:c>
      <x:c r="Z230" s="193" t="b">
        <x:v>1</x:v>
      </x:c>
      <x:c r="AA230" s="193" t="b">
        <x:v>0</x:v>
      </x:c>
      <x:c r="AB230" s="193" t="b">
        <x:v>1</x:v>
      </x:c>
      <x:c r="AC230" s="193" t="b">
        <x:v>1</x:v>
      </x:c>
      <x:c r="AD230" s="193" t="b">
        <x:v>1</x:v>
      </x:c>
      <x:c r="AE230" s="193" t="b">
        <x:v>1</x:v>
      </x:c>
      <x:c r="AF230" s="193" t="b">
        <x:v>1</x:v>
      </x:c>
      <x:c r="AG230" s="193" t="b">
        <x:v>1</x:v>
      </x:c>
      <x:c r="AH230" s="193" t="b">
        <x:v>1</x:v>
      </x:c>
      <x:c r="AI230" s="193" t="b">
        <x:v>1</x:v>
      </x:c>
      <x:c r="AJ230" s="193" t="b">
        <x:v>1</x:v>
      </x:c>
    </x:row>
    <x:row r="231">
      <x:c r="A231" s="192" t="n">
        <x:v>21734892</x:v>
      </x:c>
      <x:c r="B231" s="192" t="str">
        <x:v>https://www.airbnb.com.br/rooms/21734892</x:v>
      </x:c>
      <x:c r="C231" s="192" t="str">
        <x:v>3 quartos junto à praia</x:v>
      </x:c>
      <x:c r="D231" s="192" t="str">
        <x:v>Centro</x:v>
      </x:c>
      <x:c r="E231" s="192" t="n">
        <x:v>-27.09705</x:v>
      </x:c>
      <x:c r="F231" s="192" t="n">
        <x:v>-48.61401</x:v>
      </x:c>
      <x:c r="G231" s="192" t="str">
        <x:v>apartamento</x:v>
      </x:c>
      <x:c r="H231" s="192" t="n">
        <x:v>3</x:v>
      </x:c>
      <x:c r="I231" s="192" t="n">
        <x:v>2</x:v>
      </x:c>
      <x:c r="J231" s="192" t="n">
        <x:v>6</x:v>
      </x:c>
      <x:c r="K231" s="192" t="n">
        <x:v>8</x:v>
      </x:c>
      <x:c r="L231" s="192" t="n">
        <x:v>37</x:v>
      </x:c>
      <x:c r="M231" s="192" t="n">
        <x:v>4.9200000763</x:v>
      </x:c>
      <x:c r="N231" s="192" t="n">
        <x:v>250</x:v>
      </x:c>
      <x:c r="O231" s="192" t="n">
        <x:v>17</x:v>
      </x:c>
      <x:c r="P231" s="193" t="b">
        <x:v>0</x:v>
      </x:c>
      <x:c r="Q231" s="193" t="b">
        <x:v>0</x:v>
      </x:c>
      <x:c r="R231" s="193" t="b">
        <x:v>1</x:v>
      </x:c>
      <x:c r="S231" s="193" t="b">
        <x:v>1</x:v>
      </x:c>
      <x:c r="T231" s="192" t="n">
        <x:v>59</x:v>
      </x:c>
      <x:c r="U231" s="192" t="n">
        <x:v>31</x:v>
      </x:c>
      <x:c r="V231" s="200" t="n">
        <x:v>0.3444444444</x:v>
      </x:c>
      <x:c r="W231" s="203" t="n">
        <x:v>800</x:v>
      </x:c>
      <x:c r="X231" s="203" t="n">
        <x:v>24855.9998330086</x:v>
      </x:c>
      <x:c r="Y231" s="203" t="n">
        <x:v>64263.1162349243</x:v>
      </x:c>
      <x:c r="Z231" s="193" t="b">
        <x:v>1</x:v>
      </x:c>
      <x:c r="AA231" s="193" t="b">
        <x:v>0</x:v>
      </x:c>
      <x:c r="AB231" s="193" t="b">
        <x:v>1</x:v>
      </x:c>
      <x:c r="AC231" s="193" t="b">
        <x:v>1</x:v>
      </x:c>
      <x:c r="AD231" s="193" t="b">
        <x:v>0</x:v>
      </x:c>
      <x:c r="AE231" s="193" t="b">
        <x:v>1</x:v>
      </x:c>
      <x:c r="AF231" s="193" t="b">
        <x:v>1</x:v>
      </x:c>
      <x:c r="AG231" s="193" t="b">
        <x:v>1</x:v>
      </x:c>
      <x:c r="AH231" s="193" t="b">
        <x:v>1</x:v>
      </x:c>
      <x:c r="AI231" s="193" t="b">
        <x:v>1</x:v>
      </x:c>
      <x:c r="AJ231" s="193" t="b">
        <x:v>1</x:v>
      </x:c>
    </x:row>
    <x:row r="232">
      <x:c r="A232" s="192" t="n">
        <x:v>38852725</x:v>
      </x:c>
      <x:c r="B232" s="192" t="str">
        <x:v>https://www.airbnb.com.br/rooms/38852725</x:v>
      </x:c>
      <x:c r="C232" s="192" t="str">
        <x:v>Relaxe! Vista para o mar no coração da Meia Praia</x:v>
      </x:c>
      <x:c r="D232" s="192" t="str">
        <x:v>Meia Praia</x:v>
      </x:c>
      <x:c r="E232" s="192" t="n">
        <x:v>-27.12819</x:v>
      </x:c>
      <x:c r="F232" s="192" t="n">
        <x:v>-48.60244</x:v>
      </x:c>
      <x:c r="G232" s="192" t="str">
        <x:v>apartamento</x:v>
      </x:c>
      <x:c r="H232" s="192" t="n">
        <x:v>3</x:v>
      </x:c>
      <x:c r="I232" s="192" t="n">
        <x:v>2</x:v>
      </x:c>
      <x:c r="J232" s="192" t="n">
        <x:v>5</x:v>
      </x:c>
      <x:c r="K232" s="192" t="n">
        <x:v>8</x:v>
      </x:c>
      <x:c r="L232" s="192" t="n">
        <x:v>44</x:v>
      </x:c>
      <x:c r="M232" s="192" t="n">
        <x:v>4.9800000191</x:v>
      </x:c>
      <x:c r="N232" s="192" t="n">
        <x:v>200</x:v>
      </x:c>
      <x:c r="O232" s="192" t="n">
        <x:v>25</x:v>
      </x:c>
      <x:c r="P232" s="193" t="b">
        <x:v>0</x:v>
      </x:c>
      <x:c r="Q232" s="193" t="b">
        <x:v>0</x:v>
      </x:c>
      <x:c r="R232" s="193" t="b">
        <x:v>1</x:v>
      </x:c>
      <x:c r="S232" s="193" t="b">
        <x:v>1</x:v>
      </x:c>
      <x:c r="T232" s="192" t="n">
        <x:v>62</x:v>
      </x:c>
      <x:c r="U232" s="192" t="n">
        <x:v>28</x:v>
      </x:c>
      <x:c r="V232" s="200" t="n">
        <x:v>0.3111111111</x:v>
      </x:c>
      <x:c r="W232" s="203" t="n">
        <x:v>450</x:v>
      </x:c>
      <x:c r="X232" s="203" t="n">
        <x:v>13195.4399330172</x:v>
      </x:c>
      <x:c r="Y232" s="203" t="n">
        <x:v>34115.7103268215</x:v>
      </x:c>
      <x:c r="Z232" s="193" t="b">
        <x:v>1</x:v>
      </x:c>
      <x:c r="AA232" s="193" t="b">
        <x:v>0</x:v>
      </x:c>
      <x:c r="AB232" s="193" t="b">
        <x:v>1</x:v>
      </x:c>
      <x:c r="AC232" s="193" t="b">
        <x:v>1</x:v>
      </x:c>
      <x:c r="AD232" s="193" t="b">
        <x:v>1</x:v>
      </x:c>
      <x:c r="AE232" s="193" t="b">
        <x:v>1</x:v>
      </x:c>
      <x:c r="AF232" s="193" t="b">
        <x:v>1</x:v>
      </x:c>
      <x:c r="AG232" s="193" t="b">
        <x:v>1</x:v>
      </x:c>
      <x:c r="AH232" s="193" t="b">
        <x:v>1</x:v>
      </x:c>
      <x:c r="AI232" s="193" t="b">
        <x:v>1</x:v>
      </x:c>
      <x:c r="AJ232" s="193" t="b">
        <x:v>0</x:v>
      </x:c>
    </x:row>
    <x:row r="233">
      <x:c r="A233" s="192" t="n">
        <x:v>985716714802993000</x:v>
      </x:c>
      <x:c r="B233" s="192" t="str">
        <x:v>https://www.airbnb.com.br/rooms/985716714802993034</x:v>
      </x:c>
      <x:c r="C233" s="192" t="str">
        <x:v>Cobertura Bela Vista</x:v>
      </x:c>
      <x:c r="D233" s="192" t="str">
        <x:v>Morretes</x:v>
      </x:c>
      <x:c r="E233" s="192" t="n">
        <x:v>-27.1219997406</x:v>
      </x:c>
      <x:c r="F233" s="192" t="n">
        <x:v>-48.6119995117</x:v>
      </x:c>
      <x:c r="G233" s="192" t="str">
        <x:v>apartamento</x:v>
      </x:c>
      <x:c r="H233" s="192" t="n">
        <x:v>2</x:v>
      </x:c>
      <x:c r="I233" s="192" t="n">
        <x:v>2</x:v>
      </x:c>
      <x:c r="J233" s="192" t="n">
        <x:v>2</x:v>
      </x:c>
      <x:c r="K233" s="192" t="n">
        <x:v>4</x:v>
      </x:c>
      <x:c r="L233" s="192" t="n">
        <x:v>12</x:v>
      </x:c>
      <x:c r="M233" s="192" t="n">
        <x:v>5</x:v>
      </x:c>
      <x:c r="N233" s="192" t="n">
        <x:v>290</x:v>
      </x:c>
      <x:c r="O233" s="192" t="n">
        <x:v>26</x:v>
      </x:c>
      <x:c r="P233" s="193" t="b">
        <x:v>0</x:v>
      </x:c>
      <x:c r="Q233" s="193" t="b">
        <x:v>0</x:v>
      </x:c>
      <x:c r="R233" s="193" t="b">
        <x:v>1</x:v>
      </x:c>
      <x:c r="S233" s="193" t="b">
        <x:v>0</x:v>
      </x:c>
      <x:c r="T233" s="192" t="n">
        <x:v>48</x:v>
      </x:c>
      <x:c r="U233" s="192" t="n">
        <x:v>42</x:v>
      </x:c>
      <x:c r="V233" s="200" t="n">
        <x:v>0.4666666667</x:v>
      </x:c>
      <x:c r="W233" s="203" t="n">
        <x:v>500</x:v>
      </x:c>
      <x:c r="X233" s="203" t="n">
        <x:v>21886.9514256848</x:v>
      </x:c>
      <x:c r="Y233" s="203" t="n">
        <x:v>56586.8889984892</x:v>
      </x:c>
      <x:c r="Z233" s="193" t="b">
        <x:v>0</x:v>
      </x:c>
      <x:c r="AA233" s="193" t="b">
        <x:v>0</x:v>
      </x:c>
      <x:c r="AB233" s="193" t="b">
        <x:v>1</x:v>
      </x:c>
      <x:c r="AC233" s="193" t="b">
        <x:v>1</x:v>
      </x:c>
      <x:c r="AD233" s="193" t="b">
        <x:v>0</x:v>
      </x:c>
      <x:c r="AE233" s="193" t="b">
        <x:v>1</x:v>
      </x:c>
      <x:c r="AF233" s="193" t="b">
        <x:v>1</x:v>
      </x:c>
      <x:c r="AG233" s="193" t="b">
        <x:v>1</x:v>
      </x:c>
      <x:c r="AH233" s="193" t="b">
        <x:v>1</x:v>
      </x:c>
      <x:c r="AI233" s="193" t="b">
        <x:v>1</x:v>
      </x:c>
      <x:c r="AJ233" s="193" t="b">
        <x:v>0</x:v>
      </x:c>
    </x:row>
    <x:row r="234">
      <x:c r="A234" s="192" t="n">
        <x:v>1277671971539993600</x:v>
      </x:c>
      <x:c r="B234" s="192" t="str">
        <x:v>https://www.airbnb.com.br/rooms/1277671971539993475</x:v>
      </x:c>
      <x:c r="C234" s="192" t="str">
        <x:v>Studio vista mar em Itapema, 200m da praia</x:v>
      </x:c>
      <x:c r="D234" s="192" t="str">
        <x:v>Centro</x:v>
      </x:c>
      <x:c r="E234" s="192" t="n">
        <x:v>-27.0930729515</x:v>
      </x:c>
      <x:c r="F234" s="192" t="n">
        <x:v>-48.6132642311</x:v>
      </x:c>
      <x:c r="G234" s="192" t="str">
        <x:v>apartamento</x:v>
      </x:c>
      <x:c r="H234" s="192" t="n">
        <x:v>1</x:v>
      </x:c>
      <x:c r="I234" s="192" t="n">
        <x:v>1</x:v>
      </x:c>
      <x:c r="J234" s="192" t="n">
        <x:v>1</x:v>
      </x:c>
      <x:c r="K234" s="192" t="n">
        <x:v>2</x:v>
      </x:c>
      <x:c r="L234" s="192" t="n">
        <x:v>13</x:v>
      </x:c>
      <x:c r="M234" s="192" t="n">
        <x:v>5</x:v>
      </x:c>
      <x:c r="N234" s="192" t="n">
        <x:v>180</x:v>
      </x:c>
      <x:c r="O234" s="192" t="n">
        <x:v>0</x:v>
      </x:c>
      <x:c r="P234" s="193" t="b">
        <x:v>1</x:v>
      </x:c>
      <x:c r="Q234" s="193" t="b">
        <x:v>0</x:v>
      </x:c>
      <x:c r="R234" s="193" t="b">
        <x:v>1</x:v>
      </x:c>
      <x:c r="S234" s="193" t="b">
        <x:v>1</x:v>
      </x:c>
      <x:c r="T234" s="192" t="n">
        <x:v>30</x:v>
      </x:c>
      <x:c r="U234" s="192" t="n">
        <x:v>60</x:v>
      </x:c>
      <x:c r="V234" s="200" t="n">
        <x:v>0.6666666667</x:v>
      </x:c>
      <x:c r="W234" s="203" t="n">
        <x:v>273.5</x:v>
      </x:c>
      <x:c r="X234" s="203" t="n">
        <x:v>16673.1047606071</x:v>
      </x:c>
      <x:c r="Y234" s="203" t="n">
        <x:v>43106.9229331529</x:v>
      </x:c>
      <x:c r="Z234" s="193" t="b">
        <x:v>0</x:v>
      </x:c>
      <x:c r="AA234" s="193" t="b">
        <x:v>1</x:v>
      </x:c>
      <x:c r="AB234" s="193" t="b">
        <x:v>1</x:v>
      </x:c>
      <x:c r="AC234" s="193" t="b">
        <x:v>1</x:v>
      </x:c>
      <x:c r="AD234" s="193" t="b">
        <x:v>1</x:v>
      </x:c>
      <x:c r="AE234" s="193" t="b">
        <x:v>1</x:v>
      </x:c>
      <x:c r="AF234" s="193" t="b">
        <x:v>1</x:v>
      </x:c>
      <x:c r="AG234" s="193" t="b">
        <x:v>1</x:v>
      </x:c>
      <x:c r="AH234" s="193" t="b">
        <x:v>1</x:v>
      </x:c>
      <x:c r="AI234" s="193" t="b">
        <x:v>1</x:v>
      </x:c>
      <x:c r="AJ234" s="193" t="b">
        <x:v>0</x:v>
      </x:c>
    </x:row>
    <x:row r="235">
      <x:c r="A235" s="192" t="n">
        <x:v>22231120</x:v>
      </x:c>
      <x:c r="B235" s="192" t="str">
        <x:v>https://www.airbnb.com.br/rooms/22231120</x:v>
      </x:c>
      <x:c r="C235" s="192" t="str">
        <x:v>Morada Colibri na Praia de Ilhota em Itapema SC</x:v>
      </x:c>
      <x:c r="D235" s="192" t="str">
        <x:v>Ilhota</x:v>
      </x:c>
      <x:c r="E235" s="192" t="n">
        <x:v>-27.06739</x:v>
      </x:c>
      <x:c r="F235" s="192" t="n">
        <x:v>-48.59644</x:v>
      </x:c>
      <x:c r="G235" s="192" t="str">
        <x:v>apartamento</x:v>
      </x:c>
      <x:c r="H235" s="192" t="n">
        <x:v>1</x:v>
      </x:c>
      <x:c r="I235" s="192" t="n">
        <x:v>1</x:v>
      </x:c>
      <x:c r="J235" s="192" t="n">
        <x:v>2</x:v>
      </x:c>
      <x:c r="K235" s="192" t="n">
        <x:v>4</x:v>
      </x:c>
      <x:c r="L235" s="192" t="n">
        <x:v>62</x:v>
      </x:c>
      <x:c r="M235" s="192" t="n">
        <x:v>4.9699997902</x:v>
      </x:c>
      <x:c r="N235" s="192" t="n">
        <x:v>100</x:v>
      </x:c>
      <x:c r="O235" s="192" t="n">
        <x:v>16</x:v>
      </x:c>
      <x:c r="P235" s="193" t="b">
        <x:v>1</x:v>
      </x:c>
      <x:c r="Q235" s="193" t="b">
        <x:v>0</x:v>
      </x:c>
      <x:c r="R235" s="193" t="b">
        <x:v>1</x:v>
      </x:c>
      <x:c r="S235" s="193" t="b">
        <x:v>1</x:v>
      </x:c>
      <x:c r="T235" s="192" t="n">
        <x:v>80</x:v>
      </x:c>
      <x:c r="U235" s="192" t="n">
        <x:v>10</x:v>
      </x:c>
      <x:c r="V235" s="200" t="n">
        <x:v>0.1111111111</x:v>
      </x:c>
      <x:c r="W235" s="203" t="n">
        <x:v>341</x:v>
      </x:c>
      <x:c r="X235" s="203" t="n">
        <x:v>3452.7900280776</x:v>
      </x:c>
      <x:c r="Y235" s="203" t="n">
        <x:v>8926.9008850922</x:v>
      </x:c>
      <x:c r="Z235" s="193" t="b">
        <x:v>1</x:v>
      </x:c>
      <x:c r="AA235" s="193" t="b">
        <x:v>0</x:v>
      </x:c>
      <x:c r="AB235" s="193" t="b">
        <x:v>1</x:v>
      </x:c>
      <x:c r="AC235" s="193" t="b">
        <x:v>1</x:v>
      </x:c>
      <x:c r="AD235" s="193" t="b">
        <x:v>0</x:v>
      </x:c>
      <x:c r="AE235" s="193" t="b">
        <x:v>0</x:v>
      </x:c>
      <x:c r="AF235" s="193" t="b">
        <x:v>0</x:v>
      </x:c>
      <x:c r="AG235" s="193" t="b">
        <x:v>0</x:v>
      </x:c>
      <x:c r="AH235" s="193" t="b">
        <x:v>1</x:v>
      </x:c>
      <x:c r="AI235" s="193" t="b">
        <x:v>1</x:v>
      </x:c>
      <x:c r="AJ235" s="193" t="b">
        <x:v>1</x:v>
      </x:c>
    </x:row>
    <x:row r="236">
      <x:c r="A236" s="192" t="n">
        <x:v>1321134786322096400</x:v>
      </x:c>
      <x:c r="B236" s="192" t="str">
        <x:v>https://www.airbnb.com.br/rooms/1321134786322096510</x:v>
      </x:c>
      <x:c r="C236" s="192" t="str">
        <x:v>Apto c/ Churrasqueira 140m da Praia AOJ0102</x:v>
      </x:c>
      <x:c r="D236" s="192" t="str">
        <x:v>Meia Praia</x:v>
      </x:c>
      <x:c r="E236" s="192" t="n">
        <x:v>-27.13256</x:v>
      </x:c>
      <x:c r="F236" s="192" t="n">
        <x:v>-48.59867</x:v>
      </x:c>
      <x:c r="G236" s="192" t="str">
        <x:v>apartamento</x:v>
      </x:c>
      <x:c r="H236" s="192" t="n">
        <x:v>3</x:v>
      </x:c>
      <x:c r="I236" s="192" t="n">
        <x:v>2</x:v>
      </x:c>
      <x:c r="J236" s="192" t="n">
        <x:v>4</x:v>
      </x:c>
      <x:c r="K236" s="192" t="n">
        <x:v>6</x:v>
      </x:c>
      <x:c r="L236" s="192" t="n">
        <x:v>1</x:v>
      </x:c>
      <x:c r="M236" s="192" t="n">
        <x:v>5</x:v>
      </x:c>
      <x:c r="N236" s="192" t="n">
        <x:v>337</x:v>
      </x:c>
      <x:c r="O236" s="192" t="n">
        <x:v>0</x:v>
      </x:c>
      <x:c r="P236" s="193" t="b">
        <x:v>1</x:v>
      </x:c>
      <x:c r="Q236" s="193" t="b">
        <x:v>1</x:v>
      </x:c>
      <x:c r="R236" s="193" t="b">
        <x:v>0</x:v>
      </x:c>
      <x:c r="S236" s="193" t="b">
        <x:v>0</x:v>
      </x:c>
      <x:c r="T236" s="192" t="n">
        <x:v>65</x:v>
      </x:c>
      <x:c r="U236" s="192" t="n">
        <x:v>25</x:v>
      </x:c>
      <x:c r="V236" s="200" t="n">
        <x:v>0.2777777778</x:v>
      </x:c>
      <x:c r="W236" s="203" t="n">
        <x:v>662</x:v>
      </x:c>
      <x:c r="X236" s="203" t="n">
        <x:v>16441.3993637095</x:v>
      </x:c>
      <x:c r="Y236" s="203" t="n">
        <x:v>42507.8679382573</x:v>
      </x:c>
      <x:c r="Z236" s="193" t="b">
        <x:v>1</x:v>
      </x:c>
      <x:c r="AA236" s="193" t="b">
        <x:v>0</x:v>
      </x:c>
      <x:c r="AB236" s="193" t="b">
        <x:v>1</x:v>
      </x:c>
      <x:c r="AC236" s="193" t="b">
        <x:v>1</x:v>
      </x:c>
      <x:c r="AD236" s="193" t="b">
        <x:v>0</x:v>
      </x:c>
      <x:c r="AE236" s="193" t="b">
        <x:v>0</x:v>
      </x:c>
      <x:c r="AF236" s="193" t="b">
        <x:v>1</x:v>
      </x:c>
      <x:c r="AG236" s="193" t="b">
        <x:v>1</x:v>
      </x:c>
      <x:c r="AH236" s="193" t="b">
        <x:v>1</x:v>
      </x:c>
      <x:c r="AI236" s="193" t="b">
        <x:v>1</x:v>
      </x:c>
      <x:c r="AJ236" s="193" t="b">
        <x:v>0</x:v>
      </x:c>
    </x:row>
    <x:row r="237">
      <x:c r="A237" s="192" t="n">
        <x:v>18395333</x:v>
      </x:c>
      <x:c r="B237" s="192" t="str">
        <x:v>https://www.airbnb.com.br/rooms/18395333</x:v>
      </x:c>
      <x:c r="C237" s="192" t="str">
        <x:v>Cobertura a 50 metros do mar!</x:v>
      </x:c>
      <x:c r="D237" s="192" t="str">
        <x:v>Meia Praia</x:v>
      </x:c>
      <x:c r="E237" s="192" t="n">
        <x:v>-27.13346</x:v>
      </x:c>
      <x:c r="F237" s="192" t="n">
        <x:v>-48.59545</x:v>
      </x:c>
      <x:c r="G237" s="192" t="str">
        <x:v>apartamento</x:v>
      </x:c>
      <x:c r="H237" s="192" t="n">
        <x:v>3</x:v>
      </x:c>
      <x:c r="I237" s="192" t="n">
        <x:v>3</x:v>
      </x:c>
      <x:c r="J237" s="192" t="n">
        <x:v>6</x:v>
      </x:c>
      <x:c r="K237" s="192" t="n">
        <x:v>8</x:v>
      </x:c>
      <x:c r="L237" s="192" t="n">
        <x:v>63</x:v>
      </x:c>
      <x:c r="M237" s="192" t="n">
        <x:v>4.9800000191</x:v>
      </x:c>
      <x:c r="N237" s="192" t="n">
        <x:v>450</x:v>
      </x:c>
      <x:c r="O237" s="192" t="n">
        <x:v>26</x:v>
      </x:c>
      <x:c r="P237" s="193" t="b">
        <x:v>0</x:v>
      </x:c>
      <x:c r="Q237" s="193" t="b">
        <x:v>0</x:v>
      </x:c>
      <x:c r="R237" s="193" t="b">
        <x:v>1</x:v>
      </x:c>
      <x:c r="S237" s="193" t="b">
        <x:v>1</x:v>
      </x:c>
      <x:c r="T237" s="192" t="n">
        <x:v>59</x:v>
      </x:c>
      <x:c r="U237" s="192" t="n">
        <x:v>31</x:v>
      </x:c>
      <x:c r="V237" s="200" t="n">
        <x:v>0.3444444444</x:v>
      </x:c>
      <x:c r="W237" s="203" t="n">
        <x:v>600</x:v>
      </x:c>
      <x:c r="X237" s="203" t="n">
        <x:v>19406.1737015342</x:v>
      </x:c>
      <x:c r="Y237" s="203" t="n">
        <x:v>50173.044924175</x:v>
      </x:c>
      <x:c r="Z237" s="193" t="b">
        <x:v>1</x:v>
      </x:c>
      <x:c r="AA237" s="193" t="b">
        <x:v>0</x:v>
      </x:c>
      <x:c r="AB237" s="193" t="b">
        <x:v>1</x:v>
      </x:c>
      <x:c r="AC237" s="193" t="b">
        <x:v>1</x:v>
      </x:c>
      <x:c r="AD237" s="193" t="b">
        <x:v>1</x:v>
      </x:c>
      <x:c r="AE237" s="193" t="b">
        <x:v>0</x:v>
      </x:c>
      <x:c r="AF237" s="193" t="b">
        <x:v>1</x:v>
      </x:c>
      <x:c r="AG237" s="193" t="b">
        <x:v>1</x:v>
      </x:c>
      <x:c r="AH237" s="193" t="b">
        <x:v>1</x:v>
      </x:c>
      <x:c r="AI237" s="193" t="b">
        <x:v>1</x:v>
      </x:c>
      <x:c r="AJ237" s="193" t="b">
        <x:v>1</x:v>
      </x:c>
    </x:row>
    <x:row r="238">
      <x:c r="A238" s="192" t="n">
        <x:v>38957661</x:v>
      </x:c>
      <x:c r="B238" s="192" t="str">
        <x:v>https://www.airbnb.com.br/rooms/38957661</x:v>
      </x:c>
      <x:c r="C238" s="192" t="str">
        <x:v>190 mts do mar no coração da meia praia 3 ar WIFI</x:v>
      </x:c>
      <x:c r="D238" s="192" t="str">
        <x:v>Meia Praia</x:v>
      </x:c>
      <x:c r="E238" s="192" t="n">
        <x:v>-27.1285</x:v>
      </x:c>
      <x:c r="F238" s="192" t="n">
        <x:v>-48.60494</x:v>
      </x:c>
      <x:c r="G238" s="192" t="str">
        <x:v>apartamento</x:v>
      </x:c>
      <x:c r="H238" s="192" t="n">
        <x:v>3</x:v>
      </x:c>
      <x:c r="I238" s="192" t="n">
        <x:v>3</x:v>
      </x:c>
      <x:c r="J238" s="192" t="n">
        <x:v>3</x:v>
      </x:c>
      <x:c r="K238" s="192" t="n">
        <x:v>8</x:v>
      </x:c>
      <x:c r="L238" s="192" t="n">
        <x:v>23</x:v>
      </x:c>
      <x:c r="M238" s="192" t="n">
        <x:v>4.8299999237</x:v>
      </x:c>
      <x:c r="N238" s="192" t="n">
        <x:v>350</x:v>
      </x:c>
      <x:c r="O238" s="192" t="n">
        <x:v>23</x:v>
      </x:c>
      <x:c r="P238" s="193" t="b">
        <x:v>0</x:v>
      </x:c>
      <x:c r="Q238" s="193" t="b">
        <x:v>0</x:v>
      </x:c>
      <x:c r="R238" s="193" t="b">
        <x:v>1</x:v>
      </x:c>
      <x:c r="S238" s="193" t="b">
        <x:v>0</x:v>
      </x:c>
      <x:c r="T238" s="192" t="n">
        <x:v>43</x:v>
      </x:c>
      <x:c r="U238" s="192" t="n">
        <x:v>47</x:v>
      </x:c>
      <x:c r="V238" s="200" t="n">
        <x:v>0.5222222222</x:v>
      </x:c>
      <x:c r="W238" s="203" t="n">
        <x:v>400</x:v>
      </x:c>
      <x:c r="X238" s="203" t="n">
        <x:v>19443.4549347989</x:v>
      </x:c>
      <x:c r="Y238" s="203" t="n">
        <x:v>50269.4324460113</x:v>
      </x:c>
      <x:c r="Z238" s="193" t="b">
        <x:v>1</x:v>
      </x:c>
      <x:c r="AA238" s="193" t="b">
        <x:v>0</x:v>
      </x:c>
      <x:c r="AB238" s="193" t="b">
        <x:v>1</x:v>
      </x:c>
      <x:c r="AC238" s="193" t="b">
        <x:v>1</x:v>
      </x:c>
      <x:c r="AD238" s="193" t="b">
        <x:v>1</x:v>
      </x:c>
      <x:c r="AE238" s="193" t="b">
        <x:v>0</x:v>
      </x:c>
      <x:c r="AF238" s="193" t="b">
        <x:v>1</x:v>
      </x:c>
      <x:c r="AG238" s="193" t="b">
        <x:v>1</x:v>
      </x:c>
      <x:c r="AH238" s="193" t="b">
        <x:v>1</x:v>
      </x:c>
      <x:c r="AI238" s="193" t="b">
        <x:v>1</x:v>
      </x:c>
      <x:c r="AJ238" s="193" t="b">
        <x:v>0</x:v>
      </x:c>
    </x:row>
    <x:row r="239">
      <x:c r="A239" s="192" t="n">
        <x:v>906701409648697500</x:v>
      </x:c>
      <x:c r="B239" s="192" t="str">
        <x:v>https://www.airbnb.com.br/rooms/906701409648697471</x:v>
      </x:c>
      <x:c r="C239" s="192" t="str">
        <x:v>Apartamento Meia Praia - Pé na areia!</x:v>
      </x:c>
      <x:c r="D239" s="192" t="str">
        <x:v>Meia Praia</x:v>
      </x:c>
      <x:c r="E239" s="192" t="n">
        <x:v>-27.138999939</x:v>
      </x:c>
      <x:c r="F239" s="192" t="n">
        <x:v>-48.591999054</x:v>
      </x:c>
      <x:c r="G239" s="192" t="str">
        <x:v>apartamento</x:v>
      </x:c>
      <x:c r="H239" s="192" t="n">
        <x:v>2</x:v>
      </x:c>
      <x:c r="I239" s="192" t="n">
        <x:v>2</x:v>
      </x:c>
      <x:c r="J239" s="192" t="n">
        <x:v>3</x:v>
      </x:c>
      <x:c r="K239" s="192" t="n">
        <x:v>6</x:v>
      </x:c>
      <x:c r="L239" s="192" t="n">
        <x:v>26</x:v>
      </x:c>
      <x:c r="M239" s="192" t="n">
        <x:v>4.9600000381</x:v>
      </x:c>
      <x:c r="N239" s="192" t="n">
        <x:v>200</x:v>
      </x:c>
      <x:c r="O239" s="192" t="n">
        <x:v>30</x:v>
      </x:c>
      <x:c r="P239" s="193" t="b">
        <x:v>0</x:v>
      </x:c>
      <x:c r="Q239" s="193" t="b">
        <x:v>0</x:v>
      </x:c>
      <x:c r="R239" s="193" t="b">
        <x:v>1</x:v>
      </x:c>
      <x:c r="S239" s="193" t="b">
        <x:v>0</x:v>
      </x:c>
      <x:c r="T239" s="192" t="n">
        <x:v>57</x:v>
      </x:c>
      <x:c r="U239" s="192" t="n">
        <x:v>33</x:v>
      </x:c>
      <x:c r="V239" s="200" t="n">
        <x:v>0.3666666667</x:v>
      </x:c>
      <x:c r="W239" s="203" t="n">
        <x:v>598</x:v>
      </x:c>
      <x:c r="X239" s="203" t="n">
        <x:v>19933.3450300848</x:v>
      </x:c>
      <x:c r="Y239" s="203" t="n">
        <x:v>51536.0024631983</x:v>
      </x:c>
      <x:c r="Z239" s="193" t="b">
        <x:v>1</x:v>
      </x:c>
      <x:c r="AA239" s="193" t="b">
        <x:v>0</x:v>
      </x:c>
      <x:c r="AB239" s="193" t="b">
        <x:v>1</x:v>
      </x:c>
      <x:c r="AC239" s="193" t="b">
        <x:v>1</x:v>
      </x:c>
      <x:c r="AD239" s="193" t="b">
        <x:v>0</x:v>
      </x:c>
      <x:c r="AE239" s="193" t="b">
        <x:v>1</x:v>
      </x:c>
      <x:c r="AF239" s="193" t="b">
        <x:v>1</x:v>
      </x:c>
      <x:c r="AG239" s="193" t="b">
        <x:v>1</x:v>
      </x:c>
      <x:c r="AH239" s="193" t="b">
        <x:v>1</x:v>
      </x:c>
      <x:c r="AI239" s="193" t="b">
        <x:v>1</x:v>
      </x:c>
      <x:c r="AJ239" s="193" t="b">
        <x:v>0</x:v>
      </x:c>
    </x:row>
    <x:row r="240">
      <x:c r="A240" s="192" t="n">
        <x:v>46678933</x:v>
      </x:c>
      <x:c r="B240" s="192" t="str">
        <x:v>https://www.airbnb.com.br/rooms/46678933</x:v>
      </x:c>
      <x:c r="C240" s="192" t="str">
        <x:v>Apt MEIA PRAIA,  3 SUÍTES  1 quadra e meia do mar</x:v>
      </x:c>
      <x:c r="D240" s="192" t="str">
        <x:v>Meia Praia</x:v>
      </x:c>
      <x:c r="E240" s="192" t="n">
        <x:v>-27.12766</x:v>
      </x:c>
      <x:c r="F240" s="192" t="n">
        <x:v>-48.6052</x:v>
      </x:c>
      <x:c r="G240" s="192" t="str">
        <x:v>apartamento</x:v>
      </x:c>
      <x:c r="H240" s="192" t="n">
        <x:v>3</x:v>
      </x:c>
      <x:c r="I240" s="192" t="n">
        <x:v>3</x:v>
      </x:c>
      <x:c r="J240" s="192" t="n">
        <x:v>4</x:v>
      </x:c>
      <x:c r="K240" s="192" t="n">
        <x:v>7</x:v>
      </x:c>
      <x:c r="L240" s="192" t="n">
        <x:v>8</x:v>
      </x:c>
      <x:c r="M240" s="192" t="n">
        <x:v>5</x:v>
      </x:c>
      <x:c r="N240" s="192" t="n">
        <x:v>250</x:v>
      </x:c>
      <x:c r="O240" s="192" t="n">
        <x:v>18</x:v>
      </x:c>
      <x:c r="P240" s="193" t="b">
        <x:v>0</x:v>
      </x:c>
      <x:c r="Q240" s="193" t="b">
        <x:v>0</x:v>
      </x:c>
      <x:c r="R240" s="193" t="b">
        <x:v>0</x:v>
      </x:c>
      <x:c r="S240" s="193" t="b">
        <x:v>0</x:v>
      </x:c>
      <x:c r="T240" s="192" t="n">
        <x:v>77</x:v>
      </x:c>
      <x:c r="U240" s="192" t="n">
        <x:v>13</x:v>
      </x:c>
      <x:c r="V240" s="200" t="n">
        <x:v>0.1444444444</x:v>
      </x:c>
      <x:c r="W240" s="203" t="n">
        <x:v>750</x:v>
      </x:c>
      <x:c r="X240" s="203" t="n">
        <x:v>9836.9188502928</x:v>
      </x:c>
      <x:c r="Y240" s="203" t="n">
        <x:v>25432.5339441944</x:v>
      </x:c>
      <x:c r="Z240" s="193" t="b">
        <x:v>1</x:v>
      </x:c>
      <x:c r="AA240" s="193" t="b">
        <x:v>0</x:v>
      </x:c>
      <x:c r="AB240" s="193" t="b">
        <x:v>1</x:v>
      </x:c>
      <x:c r="AC240" s="193" t="b">
        <x:v>1</x:v>
      </x:c>
      <x:c r="AD240" s="193" t="b">
        <x:v>1</x:v>
      </x:c>
      <x:c r="AE240" s="193" t="b">
        <x:v>0</x:v>
      </x:c>
      <x:c r="AF240" s="193" t="b">
        <x:v>1</x:v>
      </x:c>
      <x:c r="AG240" s="193" t="b">
        <x:v>1</x:v>
      </x:c>
      <x:c r="AH240" s="193" t="b">
        <x:v>1</x:v>
      </x:c>
      <x:c r="AI240" s="193" t="b">
        <x:v>1</x:v>
      </x:c>
      <x:c r="AJ240" s="193" t="b">
        <x:v>1</x:v>
      </x:c>
    </x:row>
    <x:row r="241">
      <x:c r="A241" s="192" t="n">
        <x:v>31945494</x:v>
      </x:c>
      <x:c r="B241" s="192" t="str">
        <x:v>https://www.airbnb.com.br/rooms/31945494</x:v>
      </x:c>
      <x:c r="C241" s="192" t="str">
        <x:v>Confortável apartamento, Meia Praia Mobiliado, 3ar</x:v>
      </x:c>
      <x:c r="D241" s="192" t="str">
        <x:v>Meia Praia</x:v>
      </x:c>
      <x:c r="E241" s="192" t="n">
        <x:v>-27.12986</x:v>
      </x:c>
      <x:c r="F241" s="192" t="n">
        <x:v>-48.60147</x:v>
      </x:c>
      <x:c r="G241" s="192" t="str">
        <x:v>apartamento</x:v>
      </x:c>
      <x:c r="H241" s="192" t="n">
        <x:v>3</x:v>
      </x:c>
      <x:c r="I241" s="192" t="n">
        <x:v>2</x:v>
      </x:c>
      <x:c r="J241" s="192" t="n">
        <x:v>4</x:v>
      </x:c>
      <x:c r="K241" s="192" t="n">
        <x:v>8</x:v>
      </x:c>
      <x:c r="L241" s="192" t="n">
        <x:v>32</x:v>
      </x:c>
      <x:c r="M241" s="192" t="n">
        <x:v>4.7800002098</x:v>
      </x:c>
      <x:c r="N241" s="192" t="n">
        <x:v>100</x:v>
      </x:c>
      <x:c r="O241" s="192" t="n">
        <x:v>14</x:v>
      </x:c>
      <x:c r="P241" s="193" t="b">
        <x:v>1</x:v>
      </x:c>
      <x:c r="Q241" s="193" t="b">
        <x:v>0</x:v>
      </x:c>
      <x:c r="R241" s="193" t="b">
        <x:v>0</x:v>
      </x:c>
      <x:c r="S241" s="193" t="b">
        <x:v>0</x:v>
      </x:c>
      <x:c r="T241" s="192" t="n">
        <x:v>53</x:v>
      </x:c>
      <x:c r="U241" s="192" t="n">
        <x:v>37</x:v>
      </x:c>
      <x:c r="V241" s="200" t="n">
        <x:v>0.4111111111</x:v>
      </x:c>
      <x:c r="W241" s="203" t="n">
        <x:v>630</x:v>
      </x:c>
      <x:c r="X241" s="203" t="n">
        <x:v>23932.9436436929</x:v>
      </x:c>
      <x:c r="Y241" s="203" t="n">
        <x:v>61876.6313787977</x:v>
      </x:c>
      <x:c r="Z241" s="193" t="b">
        <x:v>1</x:v>
      </x:c>
      <x:c r="AA241" s="193" t="b">
        <x:v>0</x:v>
      </x:c>
      <x:c r="AB241" s="193" t="b">
        <x:v>1</x:v>
      </x:c>
      <x:c r="AC241" s="193" t="b">
        <x:v>1</x:v>
      </x:c>
      <x:c r="AD241" s="193" t="b">
        <x:v>0</x:v>
      </x:c>
      <x:c r="AE241" s="193" t="b">
        <x:v>1</x:v>
      </x:c>
      <x:c r="AF241" s="193" t="b">
        <x:v>1</x:v>
      </x:c>
      <x:c r="AG241" s="193" t="b">
        <x:v>1</x:v>
      </x:c>
      <x:c r="AH241" s="193" t="b">
        <x:v>1</x:v>
      </x:c>
      <x:c r="AI241" s="193" t="b">
        <x:v>1</x:v>
      </x:c>
      <x:c r="AJ241" s="193" t="b">
        <x:v>1</x:v>
      </x:c>
    </x:row>
    <x:row r="242">
      <x:c r="A242" s="192" t="n">
        <x:v>1137698308528017500</x:v>
      </x:c>
      <x:c r="B242" s="192" t="str">
        <x:v>https://www.airbnb.com.br/rooms/1137698308528017474</x:v>
      </x:c>
      <x:c r="C242" s="192" t="str">
        <x:v>Apto confortável beira mar em Meia Praia CEO0104</x:v>
      </x:c>
      <x:c r="D242" s="192" t="str">
        <x:v>Meia Praia</x:v>
      </x:c>
      <x:c r="E242" s="192" t="n">
        <x:v>-27.1280002594</x:v>
      </x:c>
      <x:c r="F242" s="192" t="n">
        <x:v>-48.6010017395</x:v>
      </x:c>
      <x:c r="G242" s="192" t="str">
        <x:v>apartamento</x:v>
      </x:c>
      <x:c r="H242" s="192" t="n">
        <x:v>3</x:v>
      </x:c>
      <x:c r="I242" s="192" t="n">
        <x:v>2</x:v>
      </x:c>
      <x:c r="J242" s="192" t="n">
        <x:v>4</x:v>
      </x:c>
      <x:c r="K242" s="192" t="n">
        <x:v>6</x:v>
      </x:c>
      <x:c r="L242" s="192" t="n">
        <x:v>7</x:v>
      </x:c>
      <x:c r="M242" s="192" t="n">
        <x:v>5</x:v>
      </x:c>
      <x:c r="N242" s="192" t="n">
        <x:v>450</x:v>
      </x:c>
      <x:c r="O242" s="192" t="n">
        <x:v>24</x:v>
      </x:c>
      <x:c r="P242" s="193" t="b">
        <x:v>1</x:v>
      </x:c>
      <x:c r="Q242" s="193" t="b">
        <x:v>1</x:v>
      </x:c>
      <x:c r="R242" s="193" t="b">
        <x:v>1</x:v>
      </x:c>
      <x:c r="S242" s="193" t="b">
        <x:v>0</x:v>
      </x:c>
      <x:c r="T242" s="192" t="n">
        <x:v>53</x:v>
      </x:c>
      <x:c r="U242" s="192" t="n">
        <x:v>37</x:v>
      </x:c>
      <x:c r="V242" s="200" t="n">
        <x:v>0.4111111111</x:v>
      </x:c>
      <x:c r="W242" s="203" t="n">
        <x:v>575</x:v>
      </x:c>
      <x:c r="X242" s="203" t="n">
        <x:v>21054.6594708214</x:v>
      </x:c>
      <x:c r="Y242" s="203" t="n">
        <x:v>54435.0675068528</x:v>
      </x:c>
      <x:c r="Z242" s="193" t="b">
        <x:v>1</x:v>
      </x:c>
      <x:c r="AA242" s="193" t="b">
        <x:v>0</x:v>
      </x:c>
      <x:c r="AB242" s="193" t="b">
        <x:v>1</x:v>
      </x:c>
      <x:c r="AC242" s="193" t="b">
        <x:v>1</x:v>
      </x:c>
      <x:c r="AD242" s="193" t="b">
        <x:v>1</x:v>
      </x:c>
      <x:c r="AE242" s="193" t="b">
        <x:v>1</x:v>
      </x:c>
      <x:c r="AF242" s="193" t="b">
        <x:v>1</x:v>
      </x:c>
      <x:c r="AG242" s="193" t="b">
        <x:v>1</x:v>
      </x:c>
      <x:c r="AH242" s="193" t="b">
        <x:v>1</x:v>
      </x:c>
      <x:c r="AI242" s="193" t="b">
        <x:v>1</x:v>
      </x:c>
      <x:c r="AJ242" s="193" t="b">
        <x:v>1</x:v>
      </x:c>
    </x:row>
    <x:row r="243">
      <x:c r="A243" s="192" t="n">
        <x:v>44425260</x:v>
      </x:c>
      <x:c r="B243" s="192" t="str">
        <x:v>https://www.airbnb.com.br/rooms/44425260</x:v>
      </x:c>
      <x:c r="C243" s="192" t="str">
        <x:v>Ape a 180 metros do mar! Great location!</x:v>
      </x:c>
      <x:c r="D243" s="192" t="str">
        <x:v>Meia Praia</x:v>
      </x:c>
      <x:c r="E243" s="192" t="n">
        <x:v>-27.13103</x:v>
      </x:c>
      <x:c r="F243" s="192" t="n">
        <x:v>-48.60139</x:v>
      </x:c>
      <x:c r="G243" s="192" t="str">
        <x:v>apartamento</x:v>
      </x:c>
      <x:c r="H243" s="192" t="n">
        <x:v>2</x:v>
      </x:c>
      <x:c r="I243" s="192" t="n">
        <x:v>2</x:v>
      </x:c>
      <x:c r="J243" s="192" t="n">
        <x:v>5</x:v>
      </x:c>
      <x:c r="K243" s="192" t="n">
        <x:v>8</x:v>
      </x:c>
      <x:c r="L243" s="192" t="n">
        <x:v>6</x:v>
      </x:c>
      <x:c r="M243" s="192" t="n">
        <x:v>5</x:v>
      </x:c>
      <x:c r="N243" s="192" t="n">
        <x:v>350</x:v>
      </x:c>
      <x:c r="O243" s="192" t="n">
        <x:v>11</x:v>
      </x:c>
      <x:c r="P243" s="193" t="b">
        <x:v>0</x:v>
      </x:c>
      <x:c r="Q243" s="193" t="b">
        <x:v>0</x:v>
      </x:c>
      <x:c r="R243" s="193" t="b">
        <x:v>0</x:v>
      </x:c>
      <x:c r="S243" s="193" t="b">
        <x:v>0</x:v>
      </x:c>
      <x:c r="T243" s="192" t="n">
        <x:v>66</x:v>
      </x:c>
      <x:c r="U243" s="192" t="n">
        <x:v>24</x:v>
      </x:c>
      <x:c r="V243" s="200" t="n">
        <x:v>0.2666666667</x:v>
      </x:c>
      <x:c r="W243" s="203" t="n">
        <x:v>450</x:v>
      </x:c>
      <x:c r="X243" s="203" t="n">
        <x:v>10751.4553060266</x:v>
      </x:c>
      <x:c r="Y243" s="203" t="n">
        <x:v>27796.9917391229</x:v>
      </x:c>
      <x:c r="Z243" s="193" t="b">
        <x:v>1</x:v>
      </x:c>
      <x:c r="AA243" s="193" t="b">
        <x:v>0</x:v>
      </x:c>
      <x:c r="AB243" s="193" t="b">
        <x:v>1</x:v>
      </x:c>
      <x:c r="AC243" s="193" t="b">
        <x:v>1</x:v>
      </x:c>
      <x:c r="AD243" s="193" t="b">
        <x:v>1</x:v>
      </x:c>
      <x:c r="AE243" s="193" t="b">
        <x:v>1</x:v>
      </x:c>
      <x:c r="AF243" s="193" t="b">
        <x:v>1</x:v>
      </x:c>
      <x:c r="AG243" s="193" t="b">
        <x:v>1</x:v>
      </x:c>
      <x:c r="AH243" s="193" t="b">
        <x:v>1</x:v>
      </x:c>
      <x:c r="AI243" s="193" t="b">
        <x:v>1</x:v>
      </x:c>
      <x:c r="AJ243" s="193" t="b">
        <x:v>1</x:v>
      </x:c>
    </x:row>
    <x:row r="244">
      <x:c r="A244" s="192" t="n">
        <x:v>41590719</x:v>
      </x:c>
      <x:c r="B244" s="192" t="str">
        <x:v>https://www.airbnb.com.br/rooms/41590719</x:v>
      </x:c>
      <x:c r="C244" s="192" t="str">
        <x:v>Apart Meia Praia c/ Wi-fi, Ar e Rede de proteção</x:v>
      </x:c>
      <x:c r="D244" s="192" t="str">
        <x:v>Meia Praia</x:v>
      </x:c>
      <x:c r="E244" s="192" t="n">
        <x:v>-27.14307</x:v>
      </x:c>
      <x:c r="F244" s="192" t="n">
        <x:v>-48.59441</x:v>
      </x:c>
      <x:c r="G244" s="192" t="str">
        <x:v>apartamento</x:v>
      </x:c>
      <x:c r="H244" s="192" t="n">
        <x:v>2</x:v>
      </x:c>
      <x:c r="I244" s="192" t="n">
        <x:v>1</x:v>
      </x:c>
      <x:c r="J244" s="192" t="n">
        <x:v>4</x:v>
      </x:c>
      <x:c r="K244" s="192" t="n">
        <x:v>6</x:v>
      </x:c>
      <x:c r="L244" s="192" t="n">
        <x:v>58</x:v>
      </x:c>
      <x:c r="M244" s="192" t="n">
        <x:v>4.9299998283</x:v>
      </x:c>
      <x:c r="N244" s="192" t="n">
        <x:v>250</x:v>
      </x:c>
      <x:c r="O244" s="192" t="n">
        <x:v>22</x:v>
      </x:c>
      <x:c r="P244" s="193" t="b">
        <x:v>0</x:v>
      </x:c>
      <x:c r="Q244" s="193" t="b">
        <x:v>0</x:v>
      </x:c>
      <x:c r="R244" s="193" t="b">
        <x:v>1</x:v>
      </x:c>
      <x:c r="S244" s="193" t="b">
        <x:v>1</x:v>
      </x:c>
      <x:c r="T244" s="192" t="n">
        <x:v>65</x:v>
      </x:c>
      <x:c r="U244" s="192" t="n">
        <x:v>25</x:v>
      </x:c>
      <x:c r="V244" s="200" t="n">
        <x:v>0.2777777778</x:v>
      </x:c>
      <x:c r="W244" s="203" t="n">
        <x:v>400</x:v>
      </x:c>
      <x:c r="X244" s="203" t="n">
        <x:v>10066.902924911</x:v>
      </x:c>
      <x:c r="Y244" s="203" t="n">
        <x:v>26027.1386037803</x:v>
      </x:c>
      <x:c r="Z244" s="193" t="b">
        <x:v>1</x:v>
      </x:c>
      <x:c r="AA244" s="193" t="b">
        <x:v>0</x:v>
      </x:c>
      <x:c r="AB244" s="193" t="b">
        <x:v>1</x:v>
      </x:c>
      <x:c r="AC244" s="193" t="b">
        <x:v>1</x:v>
      </x:c>
      <x:c r="AD244" s="193" t="b">
        <x:v>1</x:v>
      </x:c>
      <x:c r="AE244" s="193" t="b">
        <x:v>1</x:v>
      </x:c>
      <x:c r="AF244" s="193" t="b">
        <x:v>1</x:v>
      </x:c>
      <x:c r="AG244" s="193" t="b">
        <x:v>1</x:v>
      </x:c>
      <x:c r="AH244" s="193" t="b">
        <x:v>1</x:v>
      </x:c>
      <x:c r="AI244" s="193" t="b">
        <x:v>1</x:v>
      </x:c>
      <x:c r="AJ244" s="193" t="b">
        <x:v>0</x:v>
      </x:c>
    </x:row>
    <x:row r="245">
      <x:c r="A245" s="192" t="n">
        <x:v>1014245162199656000</x:v>
      </x:c>
      <x:c r="B245" s="192" t="str">
        <x:v>https://www.airbnb.com.br/rooms/1014245162199655907</x:v>
      </x:c>
      <x:c r="C245" s="192" t="str">
        <x:v>Prédio Frente Mar
Apto Lateral</x:v>
      </x:c>
      <x:c r="D245" s="192" t="str">
        <x:v>Meia Praia</x:v>
      </x:c>
      <x:c r="E245" s="192" t="n">
        <x:v>-27.1380004883</x:v>
      </x:c>
      <x:c r="F245" s="192" t="n">
        <x:v>-48.591999054</x:v>
      </x:c>
      <x:c r="G245" s="192" t="str">
        <x:v>apartamento</x:v>
      </x:c>
      <x:c r="H245" s="192" t="n">
        <x:v>2</x:v>
      </x:c>
      <x:c r="I245" s="192" t="n">
        <x:v>2</x:v>
      </x:c>
      <x:c r="J245" s="192" t="n">
        <x:v>2</x:v>
      </x:c>
      <x:c r="K245" s="192" t="n">
        <x:v>6</x:v>
      </x:c>
      <x:c r="L245" s="192" t="n">
        <x:v>8</x:v>
      </x:c>
      <x:c r="M245" s="192" t="n">
        <x:v>5</x:v>
      </x:c>
      <x:c r="N245" s="192" t="n">
        <x:v>0</x:v>
      </x:c>
      <x:c r="O245" s="192" t="n">
        <x:v>25</x:v>
      </x:c>
      <x:c r="P245" s="193" t="b">
        <x:v>0</x:v>
      </x:c>
      <x:c r="Q245" s="193" t="b">
        <x:v>0</x:v>
      </x:c>
      <x:c r="R245" s="193" t="b">
        <x:v>1</x:v>
      </x:c>
      <x:c r="S245" s="193" t="b">
        <x:v>0</x:v>
      </x:c>
      <x:c r="T245" s="192" t="n">
        <x:v>43</x:v>
      </x:c>
      <x:c r="U245" s="192" t="n">
        <x:v>47</x:v>
      </x:c>
      <x:c r="V245" s="200" t="n">
        <x:v>0.5222222222</x:v>
      </x:c>
      <x:c r="W245" s="203" t="n">
        <x:v>600</x:v>
      </x:c>
      <x:c r="X245" s="203" t="n">
        <x:v>29492.7007384059</x:v>
      </x:c>
      <x:c r="Y245" s="203" t="n">
        <x:v>76250.920034087</x:v>
      </x:c>
      <x:c r="Z245" s="193" t="b">
        <x:v>0</x:v>
      </x:c>
      <x:c r="AA245" s="193" t="b">
        <x:v>0</x:v>
      </x:c>
      <x:c r="AB245" s="193" t="b">
        <x:v>1</x:v>
      </x:c>
      <x:c r="AC245" s="193" t="b">
        <x:v>1</x:v>
      </x:c>
      <x:c r="AD245" s="193" t="b">
        <x:v>1</x:v>
      </x:c>
      <x:c r="AE245" s="193" t="b">
        <x:v>1</x:v>
      </x:c>
      <x:c r="AF245" s="193" t="b">
        <x:v>1</x:v>
      </x:c>
      <x:c r="AG245" s="193" t="b">
        <x:v>1</x:v>
      </x:c>
      <x:c r="AH245" s="193" t="b">
        <x:v>1</x:v>
      </x:c>
      <x:c r="AI245" s="193" t="b">
        <x:v>1</x:v>
      </x:c>
      <x:c r="AJ245" s="193" t="b">
        <x:v>1</x:v>
      </x:c>
    </x:row>
    <x:row r="246">
      <x:c r="A246" s="192" t="n">
        <x:v>985445004274818600</x:v>
      </x:c>
      <x:c r="B246" s="192" t="str">
        <x:v>https://www.airbnb.com.br/rooms/985445004274818605</x:v>
      </x:c>
      <x:c r="C246" s="192" t="str">
        <x:v>Quarto com Banheiro no  centro de Itapema</x:v>
      </x:c>
      <x:c r="D246" s="192" t="str">
        <x:v>Centro</x:v>
      </x:c>
      <x:c r="E246" s="192" t="n">
        <x:v>-27.1000003815</x:v>
      </x:c>
      <x:c r="F246" s="192" t="n">
        <x:v>-48.6170005798</x:v>
      </x:c>
      <x:c r="G246" s="192" t="str">
        <x:v>outros</x:v>
      </x:c>
      <x:c r="H246" s="192" t="n">
        <x:v>1</x:v>
      </x:c>
      <x:c r="I246" s="192" t="n">
        <x:v>1</x:v>
      </x:c>
      <x:c r="J246" s="192" t="n">
        <x:v>1</x:v>
      </x:c>
      <x:c r="K246" s="192" t="n">
        <x:v>2</x:v>
      </x:c>
      <x:c r="L246" s="192" t="n">
        <x:v>19</x:v>
      </x:c>
      <x:c r="M246" s="192" t="n">
        <x:v>5</x:v>
      </x:c>
      <x:c r="N246" s="192" t="n">
        <x:v>0</x:v>
      </x:c>
      <x:c r="O246" s="192" t="n">
        <x:v>5</x:v>
      </x:c>
      <x:c r="P246" s="193" t="b">
        <x:v>1</x:v>
      </x:c>
      <x:c r="Q246" s="193" t="b">
        <x:v>0</x:v>
      </x:c>
      <x:c r="R246" s="193" t="b">
        <x:v>1</x:v>
      </x:c>
      <x:c r="S246" s="193" t="b">
        <x:v>1</x:v>
      </x:c>
      <x:c r="T246" s="192" t="n">
        <x:v>59</x:v>
      </x:c>
      <x:c r="U246" s="192" t="n">
        <x:v>31</x:v>
      </x:c>
      <x:c r="V246" s="200" t="n">
        <x:v>0.3444444444</x:v>
      </x:c>
      <x:c r="W246" s="203" t="n">
        <x:v>150</x:v>
      </x:c>
      <x:c r="X246" s="203" t="n">
        <x:v>4773.0408572675</x:v>
      </x:c>
      <x:c r="Y246" s="203" t="n">
        <x:v>12340.2993830604</x:v>
      </x:c>
      <x:c r="Z246" s="193" t="b">
        <x:v>1</x:v>
      </x:c>
      <x:c r="AA246" s="193" t="b">
        <x:v>0</x:v>
      </x:c>
      <x:c r="AB246" s="193" t="b">
        <x:v>1</x:v>
      </x:c>
      <x:c r="AC246" s="193" t="b">
        <x:v>1</x:v>
      </x:c>
      <x:c r="AD246" s="193" t="b">
        <x:v>0</x:v>
      </x:c>
      <x:c r="AE246" s="193" t="b">
        <x:v>1</x:v>
      </x:c>
      <x:c r="AF246" s="193" t="b">
        <x:v>1</x:v>
      </x:c>
      <x:c r="AG246" s="193" t="b">
        <x:v>0</x:v>
      </x:c>
      <x:c r="AH246" s="193" t="b">
        <x:v>1</x:v>
      </x:c>
      <x:c r="AI246" s="193" t="b">
        <x:v>0</x:v>
      </x:c>
      <x:c r="AJ246" s="193" t="b">
        <x:v>0</x:v>
      </x:c>
    </x:row>
    <x:row r="247">
      <x:c r="A247" s="192" t="n">
        <x:v>28075525</x:v>
      </x:c>
      <x:c r="B247" s="192" t="str">
        <x:v>https://www.airbnb.com.br/rooms/28075525</x:v>
      </x:c>
      <x:c r="C247" s="192" t="str">
        <x:v>Temporada 2 quartos quadra mar - Meia Praia *012</x:v>
      </x:c>
      <x:c r="D247" s="192" t="str">
        <x:v>Meia Praia</x:v>
      </x:c>
      <x:c r="E247" s="192" t="n">
        <x:v>-27.13625</x:v>
      </x:c>
      <x:c r="F247" s="192" t="n">
        <x:v>-48.59592</x:v>
      </x:c>
      <x:c r="G247" s="192" t="str">
        <x:v>apartamento</x:v>
      </x:c>
      <x:c r="H247" s="192" t="n">
        <x:v>2</x:v>
      </x:c>
      <x:c r="I247" s="192" t="n">
        <x:v>2</x:v>
      </x:c>
      <x:c r="J247" s="192" t="n">
        <x:v>2</x:v>
      </x:c>
      <x:c r="K247" s="192" t="n">
        <x:v>6</x:v>
      </x:c>
      <x:c r="L247" s="192" t="n">
        <x:v>20</x:v>
      </x:c>
      <x:c r="M247" s="192" t="n">
        <x:v>4.9499998093</x:v>
      </x:c>
      <x:c r="N247" s="192" t="n">
        <x:v>250</x:v>
      </x:c>
      <x:c r="O247" s="192" t="n">
        <x:v>90</x:v>
      </x:c>
      <x:c r="P247" s="193" t="b">
        <x:v>0</x:v>
      </x:c>
      <x:c r="Q247" s="193" t="b">
        <x:v>0</x:v>
      </x:c>
      <x:c r="R247" s="193" t="b">
        <x:v>1</x:v>
      </x:c>
      <x:c r="S247" s="193" t="b">
        <x:v>1</x:v>
      </x:c>
      <x:c r="T247" s="192" t="n">
        <x:v>21</x:v>
      </x:c>
      <x:c r="U247" s="192" t="n">
        <x:v>69</x:v>
      </x:c>
      <x:c r="V247" s="200" t="n">
        <x:v>0.7666666667</x:v>
      </x:c>
      <x:c r="W247" s="203" t="n">
        <x:v>397.5</x:v>
      </x:c>
      <x:c r="X247" s="203" t="n">
        <x:v>27891.7476808087</x:v>
      </x:c>
      <x:c r="Y247" s="203" t="n">
        <x:v>72111.7893164241</x:v>
      </x:c>
      <x:c r="Z247" s="193" t="b">
        <x:v>0</x:v>
      </x:c>
      <x:c r="AA247" s="193" t="b">
        <x:v>0</x:v>
      </x:c>
      <x:c r="AB247" s="193" t="b">
        <x:v>1</x:v>
      </x:c>
      <x:c r="AC247" s="193" t="b">
        <x:v>1</x:v>
      </x:c>
      <x:c r="AD247" s="193" t="b">
        <x:v>1</x:v>
      </x:c>
      <x:c r="AE247" s="193" t="b">
        <x:v>1</x:v>
      </x:c>
      <x:c r="AF247" s="193" t="b">
        <x:v>1</x:v>
      </x:c>
      <x:c r="AG247" s="193" t="b">
        <x:v>1</x:v>
      </x:c>
      <x:c r="AH247" s="193" t="b">
        <x:v>1</x:v>
      </x:c>
      <x:c r="AI247" s="193" t="b">
        <x:v>1</x:v>
      </x:c>
      <x:c r="AJ247" s="193" t="b">
        <x:v>1</x:v>
      </x:c>
    </x:row>
    <x:row r="248">
      <x:c r="A248" s="192" t="n">
        <x:v>25165914</x:v>
      </x:c>
      <x:c r="B248" s="192" t="str">
        <x:v>https://www.airbnb.com.br/rooms/25165914</x:v>
      </x:c>
      <x:c r="C248" s="192" t="str">
        <x:v>Hochheim Beachside Itapema</x:v>
      </x:c>
      <x:c r="D248" s="192" t="str">
        <x:v>Meia Praia</x:v>
      </x:c>
      <x:c r="E248" s="192" t="n">
        <x:v>-27.13756</x:v>
      </x:c>
      <x:c r="F248" s="192" t="n">
        <x:v>-48.59238</x:v>
      </x:c>
      <x:c r="G248" s="192" t="str">
        <x:v>apartamento</x:v>
      </x:c>
      <x:c r="H248" s="192" t="n">
        <x:v>3</x:v>
      </x:c>
      <x:c r="I248" s="192" t="n">
        <x:v>2</x:v>
      </x:c>
      <x:c r="J248" s="192" t="n">
        <x:v>4</x:v>
      </x:c>
      <x:c r="K248" s="192" t="n">
        <x:v>6</x:v>
      </x:c>
      <x:c r="L248" s="192" t="n">
        <x:v>15</x:v>
      </x:c>
      <x:c r="M248" s="192" t="n">
        <x:v>4.8699998856</x:v>
      </x:c>
      <x:c r="N248" s="192" t="n">
        <x:v>210</x:v>
      </x:c>
      <x:c r="O248" s="192" t="n">
        <x:v>16</x:v>
      </x:c>
      <x:c r="P248" s="193" t="b">
        <x:v>0</x:v>
      </x:c>
      <x:c r="Q248" s="193" t="b">
        <x:v>0</x:v>
      </x:c>
      <x:c r="R248" s="193" t="b">
        <x:v>0</x:v>
      </x:c>
      <x:c r="S248" s="193" t="b">
        <x:v>0</x:v>
      </x:c>
      <x:c r="T248" s="192" t="n">
        <x:v>85</x:v>
      </x:c>
      <x:c r="U248" s="192" t="n">
        <x:v>5</x:v>
      </x:c>
      <x:c r="V248" s="200" t="n">
        <x:v>0.0555555556</x:v>
      </x:c>
      <x:c r="W248" s="203" t="n">
        <x:v>700</x:v>
      </x:c>
      <x:c r="X248" s="203" t="n">
        <x:v>3551.6107639146</x:v>
      </x:c>
      <x:c r="Y248" s="203" t="n">
        <x:v>9182.3936625375</x:v>
      </x:c>
      <x:c r="Z248" s="193" t="b">
        <x:v>1</x:v>
      </x:c>
      <x:c r="AA248" s="193" t="b">
        <x:v>0</x:v>
      </x:c>
      <x:c r="AB248" s="193" t="b">
        <x:v>1</x:v>
      </x:c>
      <x:c r="AC248" s="193" t="b">
        <x:v>1</x:v>
      </x:c>
      <x:c r="AD248" s="193" t="b">
        <x:v>1</x:v>
      </x:c>
      <x:c r="AE248" s="193" t="b">
        <x:v>1</x:v>
      </x:c>
      <x:c r="AF248" s="193" t="b">
        <x:v>1</x:v>
      </x:c>
      <x:c r="AG248" s="193" t="b">
        <x:v>1</x:v>
      </x:c>
      <x:c r="AH248" s="193" t="b">
        <x:v>1</x:v>
      </x:c>
      <x:c r="AI248" s="193" t="b">
        <x:v>1</x:v>
      </x:c>
      <x:c r="AJ248" s="193" t="b">
        <x:v>1</x:v>
      </x:c>
    </x:row>
    <x:row r="249">
      <x:c r="A249" s="192" t="n">
        <x:v>52346232</x:v>
      </x:c>
      <x:c r="B249" s="192" t="str">
        <x:v>https://www.airbnb.com.br/rooms/52346232</x:v>
      </x:c>
      <x:c r="C249" s="192" t="str">
        <x:v>Vista para o mar - Apto de 3 Dormitórios no coração da Meia Praia</x:v>
      </x:c>
      <x:c r="D249" s="192" t="str">
        <x:v>Meia Praia</x:v>
      </x:c>
      <x:c r="E249" s="192" t="n">
        <x:v>-27.1279</x:v>
      </x:c>
      <x:c r="F249" s="192" t="n">
        <x:v>-48.60001</x:v>
      </x:c>
      <x:c r="G249" s="192" t="str">
        <x:v>apartamento</x:v>
      </x:c>
      <x:c r="H249" s="192" t="n">
        <x:v>3</x:v>
      </x:c>
      <x:c r="I249" s="192" t="n">
        <x:v>2</x:v>
      </x:c>
      <x:c r="J249" s="192" t="n">
        <x:v>6</x:v>
      </x:c>
      <x:c r="K249" s="192" t="n">
        <x:v>8</x:v>
      </x:c>
      <x:c r="L249" s="192" t="n">
        <x:v>47</x:v>
      </x:c>
      <x:c r="M249" s="192" t="n">
        <x:v>4.7699999809</x:v>
      </x:c>
      <x:c r="N249" s="192" t="n">
        <x:v>300</x:v>
      </x:c>
      <x:c r="O249" s="192" t="n">
        <x:v>12</x:v>
      </x:c>
      <x:c r="P249" s="193" t="b">
        <x:v>0</x:v>
      </x:c>
      <x:c r="Q249" s="193" t="b">
        <x:v>1</x:v>
      </x:c>
      <x:c r="R249" s="193" t="b">
        <x:v>0</x:v>
      </x:c>
      <x:c r="S249" s="193" t="b">
        <x:v>0</x:v>
      </x:c>
      <x:c r="T249" s="192" t="n">
        <x:v>57</x:v>
      </x:c>
      <x:c r="U249" s="192" t="n">
        <x:v>33</x:v>
      </x:c>
      <x:c r="V249" s="200" t="n">
        <x:v>0.3666666667</x:v>
      </x:c>
      <x:c r="W249" s="203" t="n">
        <x:v>890</x:v>
      </x:c>
      <x:c r="X249" s="203" t="n">
        <x:v>28577.3467771567</x:v>
      </x:c>
      <x:c r="Y249" s="203" t="n">
        <x:v>73884.3486467738</x:v>
      </x:c>
      <x:c r="Z249" s="193" t="b">
        <x:v>1</x:v>
      </x:c>
      <x:c r="AA249" s="193" t="b">
        <x:v>0</x:v>
      </x:c>
      <x:c r="AB249" s="193" t="b">
        <x:v>1</x:v>
      </x:c>
      <x:c r="AC249" s="193" t="b">
        <x:v>1</x:v>
      </x:c>
      <x:c r="AD249" s="193" t="b">
        <x:v>1</x:v>
      </x:c>
      <x:c r="AE249" s="193" t="b">
        <x:v>0</x:v>
      </x:c>
      <x:c r="AF249" s="193" t="b">
        <x:v>1</x:v>
      </x:c>
      <x:c r="AG249" s="193" t="b">
        <x:v>1</x:v>
      </x:c>
      <x:c r="AH249" s="193" t="b">
        <x:v>1</x:v>
      </x:c>
      <x:c r="AI249" s="193" t="b">
        <x:v>1</x:v>
      </x:c>
      <x:c r="AJ249" s="193" t="b">
        <x:v>1</x:v>
      </x:c>
    </x:row>
    <x:row r="250">
      <x:c r="A250" s="192" t="n">
        <x:v>826617189908528500</x:v>
      </x:c>
      <x:c r="B250" s="192" t="str">
        <x:v>https://www.airbnb.com.br/rooms/826617189908528565</x:v>
      </x:c>
      <x:c r="C250" s="192" t="str">
        <x:v>Flat novíssimo 3 min da praia</x:v>
      </x:c>
      <x:c r="D250" s="192" t="str">
        <x:v>Meia Praia</x:v>
      </x:c>
      <x:c r="E250" s="192" t="n">
        <x:v>-27.1280002594</x:v>
      </x:c>
      <x:c r="F250" s="192" t="n">
        <x:v>-48.6049995422</x:v>
      </x:c>
      <x:c r="G250" s="192" t="str">
        <x:v>apartamento</x:v>
      </x:c>
      <x:c r="H250" s="192" t="n">
        <x:v>1</x:v>
      </x:c>
      <x:c r="I250" s="192" t="n">
        <x:v>1</x:v>
      </x:c>
      <x:c r="J250" s="192" t="n">
        <x:v>2</x:v>
      </x:c>
      <x:c r="K250" s="192" t="n">
        <x:v>4</x:v>
      </x:c>
      <x:c r="L250" s="192" t="n">
        <x:v>106</x:v>
      </x:c>
      <x:c r="M250" s="192" t="n">
        <x:v>4.9800000191</x:v>
      </x:c>
      <x:c r="N250" s="192" t="n">
        <x:v>150</x:v>
      </x:c>
      <x:c r="O250" s="192" t="n">
        <x:v>23</x:v>
      </x:c>
      <x:c r="P250" s="193" t="b">
        <x:v>0</x:v>
      </x:c>
      <x:c r="Q250" s="193" t="b">
        <x:v>0</x:v>
      </x:c>
      <x:c r="R250" s="193" t="b">
        <x:v>1</x:v>
      </x:c>
      <x:c r="S250" s="193" t="b">
        <x:v>1</x:v>
      </x:c>
      <x:c r="T250" s="192" t="n">
        <x:v>49</x:v>
      </x:c>
      <x:c r="U250" s="192" t="n">
        <x:v>41</x:v>
      </x:c>
      <x:c r="V250" s="200" t="n">
        <x:v>0.4555555556</x:v>
      </x:c>
      <x:c r="W250" s="203" t="n">
        <x:v>400</x:v>
      </x:c>
      <x:c r="X250" s="203" t="n">
        <x:v>16703.1367277742</x:v>
      </x:c>
      <x:c r="Y250" s="203" t="n">
        <x:v>43184.5680815994</x:v>
      </x:c>
      <x:c r="Z250" s="193" t="b">
        <x:v>1</x:v>
      </x:c>
      <x:c r="AA250" s="193" t="b">
        <x:v>1</x:v>
      </x:c>
      <x:c r="AB250" s="193" t="b">
        <x:v>1</x:v>
      </x:c>
      <x:c r="AC250" s="193" t="b">
        <x:v>1</x:v>
      </x:c>
      <x:c r="AD250" s="193" t="b">
        <x:v>1</x:v>
      </x:c>
      <x:c r="AE250" s="193" t="b">
        <x:v>1</x:v>
      </x:c>
      <x:c r="AF250" s="193" t="b">
        <x:v>1</x:v>
      </x:c>
      <x:c r="AG250" s="193" t="b">
        <x:v>1</x:v>
      </x:c>
      <x:c r="AH250" s="193" t="b">
        <x:v>1</x:v>
      </x:c>
      <x:c r="AI250" s="193" t="b">
        <x:v>1</x:v>
      </x:c>
      <x:c r="AJ250" s="193" t="b">
        <x:v>1</x:v>
      </x:c>
    </x:row>
    <x:row r="251">
      <x:c r="A251" s="192" t="n">
        <x:v>762112217871324500</x:v>
      </x:c>
      <x:c r="B251" s="192" t="str">
        <x:v>https://www.airbnb.com.br/rooms/762112217871324562</x:v>
      </x:c>
      <x:c r="C251" s="192" t="str">
        <x:v>Apto VISTA MAR,3quartos com ar, Meia Praia rua 256</x:v>
      </x:c>
      <x:c r="D251" s="192" t="str">
        <x:v>Meia Praia</x:v>
      </x:c>
      <x:c r="E251" s="192" t="n">
        <x:v>-27.1306991577</x:v>
      </x:c>
      <x:c r="F251" s="192" t="n">
        <x:v>-48.6009597778</x:v>
      </x:c>
      <x:c r="G251" s="192" t="str">
        <x:v>apartamento</x:v>
      </x:c>
      <x:c r="H251" s="192" t="n">
        <x:v>3</x:v>
      </x:c>
      <x:c r="I251" s="192" t="n">
        <x:v>1</x:v>
      </x:c>
      <x:c r="J251" s="192" t="n">
        <x:v>5</x:v>
      </x:c>
      <x:c r="K251" s="192" t="n">
        <x:v>7</x:v>
      </x:c>
      <x:c r="L251" s="192" t="n">
        <x:v>40</x:v>
      </x:c>
      <x:c r="M251" s="192" t="n">
        <x:v>4.9299998283</x:v>
      </x:c>
      <x:c r="N251" s="192" t="n">
        <x:v>200</x:v>
      </x:c>
      <x:c r="O251" s="192" t="n">
        <x:v>45</x:v>
      </x:c>
      <x:c r="P251" s="193" t="b">
        <x:v>1</x:v>
      </x:c>
      <x:c r="Q251" s="193" t="b">
        <x:v>0</x:v>
      </x:c>
      <x:c r="R251" s="193" t="b">
        <x:v>1</x:v>
      </x:c>
      <x:c r="S251" s="193" t="b">
        <x:v>1</x:v>
      </x:c>
      <x:c r="T251" s="192" t="n">
        <x:v>35</x:v>
      </x:c>
      <x:c r="U251" s="192" t="n">
        <x:v>55</x:v>
      </x:c>
      <x:c r="V251" s="200" t="n">
        <x:v>0.6111111111</x:v>
      </x:c>
      <x:c r="W251" s="203" t="n">
        <x:v>450</x:v>
      </x:c>
      <x:c r="X251" s="203" t="n">
        <x:v>25247.558170931</x:v>
      </x:c>
      <x:c r="Y251" s="203" t="n">
        <x:v>65275.4576877611</x:v>
      </x:c>
      <x:c r="Z251" s="193" t="b">
        <x:v>0</x:v>
      </x:c>
      <x:c r="AA251" s="193" t="b">
        <x:v>0</x:v>
      </x:c>
      <x:c r="AB251" s="193" t="b">
        <x:v>1</x:v>
      </x:c>
      <x:c r="AC251" s="193" t="b">
        <x:v>1</x:v>
      </x:c>
      <x:c r="AD251" s="193" t="b">
        <x:v>1</x:v>
      </x:c>
      <x:c r="AE251" s="193" t="b">
        <x:v>1</x:v>
      </x:c>
      <x:c r="AF251" s="193" t="b">
        <x:v>1</x:v>
      </x:c>
      <x:c r="AG251" s="193" t="b">
        <x:v>1</x:v>
      </x:c>
      <x:c r="AH251" s="193" t="b">
        <x:v>1</x:v>
      </x:c>
      <x:c r="AI251" s="193" t="b">
        <x:v>1</x:v>
      </x:c>
      <x:c r="AJ251" s="193" t="b">
        <x:v>1</x:v>
      </x:c>
    </x:row>
    <x:row r="252">
      <x:c r="A252" s="192" t="n">
        <x:v>48624860</x:v>
      </x:c>
      <x:c r="B252" s="192" t="str">
        <x:v>https://www.airbnb.com.br/rooms/48624860</x:v>
      </x:c>
      <x:c r="C252" s="192" t="str">
        <x:v>Apartamento  suíte+1 MEIA  PRAIA  Itapema  SC</x:v>
      </x:c>
      <x:c r="D252" s="192" t="str">
        <x:v>Meia Praia</x:v>
      </x:c>
      <x:c r="E252" s="192" t="n">
        <x:v>-27.14062</x:v>
      </x:c>
      <x:c r="F252" s="192" t="n">
        <x:v>-48.59507</x:v>
      </x:c>
      <x:c r="G252" s="192" t="str">
        <x:v>apartamento</x:v>
      </x:c>
      <x:c r="H252" s="192" t="n">
        <x:v>2</x:v>
      </x:c>
      <x:c r="I252" s="192" t="n">
        <x:v>2</x:v>
      </x:c>
      <x:c r="J252" s="192" t="n">
        <x:v>2</x:v>
      </x:c>
      <x:c r="K252" s="192" t="n">
        <x:v>7</x:v>
      </x:c>
      <x:c r="L252" s="192" t="n">
        <x:v>13</x:v>
      </x:c>
      <x:c r="M252" s="192" t="n">
        <x:v>4.9200000763</x:v>
      </x:c>
      <x:c r="N252" s="192" t="n">
        <x:v>200</x:v>
      </x:c>
      <x:c r="O252" s="192" t="n">
        <x:v>20</x:v>
      </x:c>
      <x:c r="P252" s="193" t="b">
        <x:v>0</x:v>
      </x:c>
      <x:c r="Q252" s="193" t="b">
        <x:v>0</x:v>
      </x:c>
      <x:c r="R252" s="193" t="b">
        <x:v>1</x:v>
      </x:c>
      <x:c r="S252" s="193" t="b">
        <x:v>0</x:v>
      </x:c>
      <x:c r="T252" s="192" t="n">
        <x:v>14</x:v>
      </x:c>
      <x:c r="U252" s="192" t="n">
        <x:v>76</x:v>
      </x:c>
      <x:c r="V252" s="200" t="n">
        <x:v>0.8444444444</x:v>
      </x:c>
      <x:c r="W252" s="203" t="n">
        <x:v>250</x:v>
      </x:c>
      <x:c r="X252" s="203" t="n">
        <x:v>19159.0430842161</x:v>
      </x:c>
      <x:c r="Y252" s="203" t="n">
        <x:v>49534.1093073169</x:v>
      </x:c>
      <x:c r="Z252" s="193" t="b">
        <x:v>0</x:v>
      </x:c>
      <x:c r="AA252" s="193" t="b">
        <x:v>0</x:v>
      </x:c>
      <x:c r="AB252" s="193" t="b">
        <x:v>1</x:v>
      </x:c>
      <x:c r="AC252" s="193" t="b">
        <x:v>1</x:v>
      </x:c>
      <x:c r="AD252" s="193" t="b">
        <x:v>1</x:v>
      </x:c>
      <x:c r="AE252" s="193" t="b">
        <x:v>1</x:v>
      </x:c>
      <x:c r="AF252" s="193" t="b">
        <x:v>1</x:v>
      </x:c>
      <x:c r="AG252" s="193" t="b">
        <x:v>1</x:v>
      </x:c>
      <x:c r="AH252" s="193" t="b">
        <x:v>1</x:v>
      </x:c>
      <x:c r="AI252" s="193" t="b">
        <x:v>1</x:v>
      </x:c>
      <x:c r="AJ252" s="193" t="b">
        <x:v>0</x:v>
      </x:c>
    </x:row>
    <x:row r="253">
      <x:c r="A253" s="192" t="n">
        <x:v>46451253</x:v>
      </x:c>
      <x:c r="B253" s="192" t="str">
        <x:v>https://www.airbnb.com.br/rooms/46451253</x:v>
      </x:c>
      <x:c r="C253" s="192" t="str">
        <x:v>Apartamento na quadra Praia e calçadão. Meia praia</x:v>
      </x:c>
      <x:c r="D253" s="192" t="str">
        <x:v>Meia Praia</x:v>
      </x:c>
      <x:c r="E253" s="192" t="n">
        <x:v>-27.1323299408</x:v>
      </x:c>
      <x:c r="F253" s="192" t="n">
        <x:v>-48.5975990295</x:v>
      </x:c>
      <x:c r="G253" s="192" t="str">
        <x:v>apartamento</x:v>
      </x:c>
      <x:c r="H253" s="192" t="n">
        <x:v>3</x:v>
      </x:c>
      <x:c r="I253" s="192" t="n">
        <x:v>2</x:v>
      </x:c>
      <x:c r="J253" s="192" t="n">
        <x:v>3</x:v>
      </x:c>
      <x:c r="K253" s="192" t="n">
        <x:v>7</x:v>
      </x:c>
      <x:c r="L253" s="192" t="n">
        <x:v>10</x:v>
      </x:c>
      <x:c r="M253" s="192" t="n">
        <x:v>5</x:v>
      </x:c>
      <x:c r="N253" s="192" t="n">
        <x:v>250</x:v>
      </x:c>
      <x:c r="O253" s="192" t="n">
        <x:v>48</x:v>
      </x:c>
      <x:c r="P253" s="193" t="b">
        <x:v>0</x:v>
      </x:c>
      <x:c r="Q253" s="193" t="b">
        <x:v>0</x:v>
      </x:c>
      <x:c r="R253" s="193" t="b">
        <x:v>1</x:v>
      </x:c>
      <x:c r="S253" s="193" t="b">
        <x:v>0</x:v>
      </x:c>
      <x:c r="T253" s="192" t="n">
        <x:v>71</x:v>
      </x:c>
      <x:c r="U253" s="192" t="n">
        <x:v>19</x:v>
      </x:c>
      <x:c r="V253" s="200" t="n">
        <x:v>0.2111111111</x:v>
      </x:c>
      <x:c r="W253" s="203" t="n">
        <x:v>440</x:v>
      </x:c>
      <x:c r="X253" s="203" t="n">
        <x:v>8309.1231916035</x:v>
      </x:c>
      <x:c r="Y253" s="203" t="n">
        <x:v>21482.5455849583</x:v>
      </x:c>
      <x:c r="Z253" s="193" t="b">
        <x:v>1</x:v>
      </x:c>
      <x:c r="AA253" s="193" t="b">
        <x:v>0</x:v>
      </x:c>
      <x:c r="AB253" s="193" t="b">
        <x:v>1</x:v>
      </x:c>
      <x:c r="AC253" s="193" t="b">
        <x:v>1</x:v>
      </x:c>
      <x:c r="AD253" s="193" t="b">
        <x:v>1</x:v>
      </x:c>
      <x:c r="AE253" s="193" t="b">
        <x:v>1</x:v>
      </x:c>
      <x:c r="AF253" s="193" t="b">
        <x:v>1</x:v>
      </x:c>
      <x:c r="AG253" s="193" t="b">
        <x:v>1</x:v>
      </x:c>
      <x:c r="AH253" s="193" t="b">
        <x:v>1</x:v>
      </x:c>
      <x:c r="AI253" s="193" t="b">
        <x:v>1</x:v>
      </x:c>
      <x:c r="AJ253" s="193" t="b">
        <x:v>1</x:v>
      </x:c>
    </x:row>
    <x:row r="254">
      <x:c r="A254" s="192" t="n">
        <x:v>41702158</x:v>
      </x:c>
      <x:c r="B254" s="192" t="str">
        <x:v>https://www.airbnb.com.br/rooms/41702158</x:v>
      </x:c>
      <x:c r="C254" s="192" t="str">
        <x:v>Cobertura de Frente para o Mar com vista incrível</x:v>
      </x:c>
      <x:c r="D254" s="192" t="str">
        <x:v>Meia Praia</x:v>
      </x:c>
      <x:c r="E254" s="192" t="n">
        <x:v>-27.11758</x:v>
      </x:c>
      <x:c r="F254" s="192" t="n">
        <x:v>-48.60828</x:v>
      </x:c>
      <x:c r="G254" s="192" t="str">
        <x:v>apartamento</x:v>
      </x:c>
      <x:c r="H254" s="192" t="n">
        <x:v>4</x:v>
      </x:c>
      <x:c r="I254" s="192" t="n">
        <x:v>3</x:v>
      </x:c>
      <x:c r="J254" s="192" t="n">
        <x:v>6</x:v>
      </x:c>
      <x:c r="K254" s="192" t="n">
        <x:v>12</x:v>
      </x:c>
      <x:c r="L254" s="192" t="n">
        <x:v>59</x:v>
      </x:c>
      <x:c r="M254" s="192" t="n">
        <x:v>4.9499998093</x:v>
      </x:c>
      <x:c r="N254" s="192" t="n">
        <x:v>400</x:v>
      </x:c>
      <x:c r="O254" s="192" t="n">
        <x:v>22</x:v>
      </x:c>
      <x:c r="P254" s="193" t="b">
        <x:v>1</x:v>
      </x:c>
      <x:c r="Q254" s="193" t="b">
        <x:v>0</x:v>
      </x:c>
      <x:c r="R254" s="193" t="b">
        <x:v>1</x:v>
      </x:c>
      <x:c r="S254" s="193" t="b">
        <x:v>1</x:v>
      </x:c>
      <x:c r="T254" s="192" t="n">
        <x:v>34</x:v>
      </x:c>
      <x:c r="U254" s="192" t="n">
        <x:v>56</x:v>
      </x:c>
      <x:c r="V254" s="200" t="n">
        <x:v>0.6222222222</x:v>
      </x:c>
      <x:c r="W254" s="203" t="n">
        <x:v>1200</x:v>
      </x:c>
      <x:c r="X254" s="203" t="n">
        <x:v>69069.3693099692</x:v>
      </x:c>
      <x:c r="Y254" s="203" t="n">
        <x:v>178573.0985701495</x:v>
      </x:c>
      <x:c r="Z254" s="193" t="b">
        <x:v>0</x:v>
      </x:c>
      <x:c r="AA254" s="193" t="b">
        <x:v>0</x:v>
      </x:c>
      <x:c r="AB254" s="193" t="b">
        <x:v>1</x:v>
      </x:c>
      <x:c r="AC254" s="193" t="b">
        <x:v>1</x:v>
      </x:c>
      <x:c r="AD254" s="193" t="b">
        <x:v>1</x:v>
      </x:c>
      <x:c r="AE254" s="193" t="b">
        <x:v>1</x:v>
      </x:c>
      <x:c r="AF254" s="193" t="b">
        <x:v>1</x:v>
      </x:c>
      <x:c r="AG254" s="193" t="b">
        <x:v>1</x:v>
      </x:c>
      <x:c r="AH254" s="193" t="b">
        <x:v>1</x:v>
      </x:c>
      <x:c r="AI254" s="193" t="b">
        <x:v>1</x:v>
      </x:c>
      <x:c r="AJ254" s="193" t="b">
        <x:v>1</x:v>
      </x:c>
    </x:row>
    <x:row r="255">
      <x:c r="A255" s="192" t="n">
        <x:v>30560948</x:v>
      </x:c>
      <x:c r="B255" s="192" t="str">
        <x:v>https://www.airbnb.com.br/rooms/30560948</x:v>
      </x:c>
      <x:c r="C255" s="192" t="str">
        <x:v>Pé na areia em Meia Praia</x:v>
      </x:c>
      <x:c r="D255" s="192" t="str">
        <x:v>Meia Praia</x:v>
      </x:c>
      <x:c r="E255" s="192" t="n">
        <x:v>-27.12092</x:v>
      </x:c>
      <x:c r="F255" s="192" t="n">
        <x:v>-48.60609</x:v>
      </x:c>
      <x:c r="G255" s="192" t="str">
        <x:v>apartamento</x:v>
      </x:c>
      <x:c r="H255" s="192" t="n">
        <x:v>3</x:v>
      </x:c>
      <x:c r="I255" s="192" t="n">
        <x:v>2</x:v>
      </x:c>
      <x:c r="J255" s="192" t="n">
        <x:v>4</x:v>
      </x:c>
      <x:c r="K255" s="192" t="n">
        <x:v>6</x:v>
      </x:c>
      <x:c r="L255" s="192" t="n">
        <x:v>10</x:v>
      </x:c>
      <x:c r="M255" s="192" t="n">
        <x:v>5</x:v>
      </x:c>
      <x:c r="N255" s="192" t="n">
        <x:v>300</x:v>
      </x:c>
      <x:c r="O255" s="192" t="n">
        <x:v>23</x:v>
      </x:c>
      <x:c r="P255" s="193" t="b">
        <x:v>0</x:v>
      </x:c>
      <x:c r="Q255" s="193" t="b">
        <x:v>0</x:v>
      </x:c>
      <x:c r="R255" s="193" t="b">
        <x:v>0</x:v>
      </x:c>
      <x:c r="S255" s="193" t="b">
        <x:v>0</x:v>
      </x:c>
      <x:c r="T255" s="192" t="n">
        <x:v>67</x:v>
      </x:c>
      <x:c r="U255" s="192" t="n">
        <x:v>23</x:v>
      </x:c>
      <x:c r="V255" s="200" t="n">
        <x:v>0.2555555556</x:v>
      </x:c>
      <x:c r="W255" s="203" t="n">
        <x:v>700</x:v>
      </x:c>
      <x:c r="X255" s="203" t="n">
        <x:v>16532.5954573145</x:v>
      </x:c>
      <x:c r="Y255" s="203" t="n">
        <x:v>42743.6478385985</x:v>
      </x:c>
      <x:c r="Z255" s="193" t="b">
        <x:v>1</x:v>
      </x:c>
      <x:c r="AA255" s="193" t="b">
        <x:v>0</x:v>
      </x:c>
      <x:c r="AB255" s="193" t="b">
        <x:v>1</x:v>
      </x:c>
      <x:c r="AC255" s="193" t="b">
        <x:v>1</x:v>
      </x:c>
      <x:c r="AD255" s="193" t="b">
        <x:v>0</x:v>
      </x:c>
      <x:c r="AE255" s="193" t="b">
        <x:v>1</x:v>
      </x:c>
      <x:c r="AF255" s="193" t="b">
        <x:v>1</x:v>
      </x:c>
      <x:c r="AG255" s="193" t="b">
        <x:v>1</x:v>
      </x:c>
      <x:c r="AH255" s="193" t="b">
        <x:v>1</x:v>
      </x:c>
      <x:c r="AI255" s="193" t="b">
        <x:v>1</x:v>
      </x:c>
      <x:c r="AJ255" s="193" t="b">
        <x:v>1</x:v>
      </x:c>
    </x:row>
    <x:row r="256">
      <x:c r="A256" s="192" t="n">
        <x:v>16730935</x:v>
      </x:c>
      <x:c r="B256" s="192" t="str">
        <x:v>https://www.airbnb.com.br/rooms/16730935</x:v>
      </x:c>
      <x:c r="C256" s="192" t="str">
        <x:v>Suíte em Meia Praia - Itapema/SC</x:v>
      </x:c>
      <x:c r="D256" s="192" t="str">
        <x:v>Meia Praia</x:v>
      </x:c>
      <x:c r="E256" s="192" t="n">
        <x:v>-27.13672</x:v>
      </x:c>
      <x:c r="F256" s="192" t="n">
        <x:v>-48.60095</x:v>
      </x:c>
      <x:c r="G256" s="192" t="str">
        <x:v>outros</x:v>
      </x:c>
      <x:c r="H256" s="192" t="n">
        <x:v>1</x:v>
      </x:c>
      <x:c r="I256" s="192" t="n">
        <x:v>1</x:v>
      </x:c>
      <x:c r="J256" s="192" t="n">
        <x:v>1</x:v>
      </x:c>
      <x:c r="K256" s="192" t="n">
        <x:v>2</x:v>
      </x:c>
      <x:c r="L256" s="192" t="n">
        <x:v>22</x:v>
      </x:c>
      <x:c r="M256" s="192" t="n">
        <x:v>5</x:v>
      </x:c>
      <x:c r="N256" s="192" t="n">
        <x:v>70</x:v>
      </x:c>
      <x:c r="O256" s="192" t="n">
        <x:v>10</x:v>
      </x:c>
      <x:c r="P256" s="193" t="b">
        <x:v>0</x:v>
      </x:c>
      <x:c r="Q256" s="193" t="b">
        <x:v>0</x:v>
      </x:c>
      <x:c r="R256" s="193" t="b">
        <x:v>1</x:v>
      </x:c>
      <x:c r="S256" s="193" t="b">
        <x:v>0</x:v>
      </x:c>
      <x:c r="T256" s="192" t="n">
        <x:v>89</x:v>
      </x:c>
      <x:c r="U256" s="192" t="n">
        <x:v>1</x:v>
      </x:c>
      <x:c r="V256" s="200" t="n">
        <x:v>0.0111111111</x:v>
      </x:c>
      <x:c r="W256" s="203" t="n">
        <x:v>250</x:v>
      </x:c>
      <x:c r="X256" s="203" t="n">
        <x:v>238.7234577878</x:v>
      </x:c>
      <x:c r="Y256" s="203" t="n">
        <x:v>617.1996064889</x:v>
      </x:c>
      <x:c r="Z256" s="193" t="b">
        <x:v>1</x:v>
      </x:c>
      <x:c r="AA256" s="193" t="b">
        <x:v>0</x:v>
      </x:c>
      <x:c r="AB256" s="193" t="b">
        <x:v>1</x:v>
      </x:c>
      <x:c r="AC256" s="193" t="b">
        <x:v>1</x:v>
      </x:c>
      <x:c r="AD256" s="193" t="b">
        <x:v>1</x:v>
      </x:c>
      <x:c r="AE256" s="193" t="b">
        <x:v>0</x:v>
      </x:c>
      <x:c r="AF256" s="193" t="b">
        <x:v>1</x:v>
      </x:c>
      <x:c r="AG256" s="193" t="b">
        <x:v>1</x:v>
      </x:c>
      <x:c r="AH256" s="193" t="b">
        <x:v>1</x:v>
      </x:c>
      <x:c r="AI256" s="193" t="b">
        <x:v>1</x:v>
      </x:c>
      <x:c r="AJ256" s="193" t="b">
        <x:v>1</x:v>
      </x:c>
    </x:row>
    <x:row r="257">
      <x:c r="A257" s="192" t="n">
        <x:v>26895628</x:v>
      </x:c>
      <x:c r="B257" s="192" t="str">
        <x:v>https://www.airbnb.com.br/rooms/26895628</x:v>
      </x:c>
      <x:c r="C257" s="192" t="str">
        <x:v>Amplo apartamento frente ao mar Meia Praia</x:v>
      </x:c>
      <x:c r="D257" s="192" t="str">
        <x:v>Meia Praia</x:v>
      </x:c>
      <x:c r="E257" s="192" t="n">
        <x:v>-27.13273</x:v>
      </x:c>
      <x:c r="F257" s="192" t="n">
        <x:v>-48.59691</x:v>
      </x:c>
      <x:c r="G257" s="192" t="str">
        <x:v>apartamento</x:v>
      </x:c>
      <x:c r="H257" s="192" t="n">
        <x:v>4</x:v>
      </x:c>
      <x:c r="I257" s="192" t="n">
        <x:v>3</x:v>
      </x:c>
      <x:c r="J257" s="192" t="n">
        <x:v>5</x:v>
      </x:c>
      <x:c r="K257" s="192" t="n">
        <x:v>12</x:v>
      </x:c>
      <x:c r="L257" s="192" t="n">
        <x:v>99</x:v>
      </x:c>
      <x:c r="M257" s="192" t="n">
        <x:v>4.8000001907</x:v>
      </x:c>
      <x:c r="N257" s="192" t="n">
        <x:v>300</x:v>
      </x:c>
      <x:c r="O257" s="192" t="n">
        <x:v>87</x:v>
      </x:c>
      <x:c r="P257" s="193" t="b">
        <x:v>0</x:v>
      </x:c>
      <x:c r="Q257" s="193" t="b">
        <x:v>0</x:v>
      </x:c>
      <x:c r="R257" s="193" t="b">
        <x:v>0</x:v>
      </x:c>
      <x:c r="S257" s="193" t="b">
        <x:v>0</x:v>
      </x:c>
      <x:c r="T257" s="192" t="n">
        <x:v>36</x:v>
      </x:c>
      <x:c r="U257" s="192" t="n">
        <x:v>54</x:v>
      </x:c>
      <x:c r="V257" s="200" t="n">
        <x:v>0.6</x:v>
      </x:c>
      <x:c r="W257" s="203" t="n">
        <x:v>850</x:v>
      </x:c>
      <x:c r="X257" s="203" t="n">
        <x:v>46743.0592546313</x:v>
      </x:c>
      <x:c r="Y257" s="203" t="n">
        <x:v>120850.2844479114</x:v>
      </x:c>
      <x:c r="Z257" s="193" t="b">
        <x:v>1</x:v>
      </x:c>
      <x:c r="AA257" s="193" t="b">
        <x:v>0</x:v>
      </x:c>
      <x:c r="AB257" s="193" t="b">
        <x:v>1</x:v>
      </x:c>
      <x:c r="AC257" s="193" t="b">
        <x:v>1</x:v>
      </x:c>
      <x:c r="AD257" s="193" t="b">
        <x:v>1</x:v>
      </x:c>
      <x:c r="AE257" s="193" t="b">
        <x:v>1</x:v>
      </x:c>
      <x:c r="AF257" s="193" t="b">
        <x:v>1</x:v>
      </x:c>
      <x:c r="AG257" s="193" t="b">
        <x:v>1</x:v>
      </x:c>
      <x:c r="AH257" s="193" t="b">
        <x:v>1</x:v>
      </x:c>
      <x:c r="AI257" s="193" t="b">
        <x:v>1</x:v>
      </x:c>
      <x:c r="AJ257" s="193" t="b">
        <x:v>1</x:v>
      </x:c>
    </x:row>
    <x:row r="258">
      <x:c r="A258" s="192" t="n">
        <x:v>39051477</x:v>
      </x:c>
      <x:c r="B258" s="192" t="str">
        <x:v>https://www.airbnb.com.br/rooms/39051477</x:v>
      </x:c>
      <x:c r="C258" s="192" t="str">
        <x:v>4 Suítes, 3 Vagas, Lado McDonalds, M.Praia,Itapema</x:v>
      </x:c>
      <x:c r="D258" s="192" t="str">
        <x:v>Meia Praia</x:v>
      </x:c>
      <x:c r="E258" s="192" t="n">
        <x:v>-27.13168</x:v>
      </x:c>
      <x:c r="F258" s="192" t="n">
        <x:v>-48.59845</x:v>
      </x:c>
      <x:c r="G258" s="192" t="str">
        <x:v>apartamento</x:v>
      </x:c>
      <x:c r="H258" s="192" t="n">
        <x:v>4</x:v>
      </x:c>
      <x:c r="I258" s="192" t="n">
        <x:v>4</x:v>
      </x:c>
      <x:c r="J258" s="192" t="n">
        <x:v>4</x:v>
      </x:c>
      <x:c r="K258" s="192" t="n">
        <x:v>10</x:v>
      </x:c>
      <x:c r="L258" s="192" t="n">
        <x:v>10</x:v>
      </x:c>
      <x:c r="M258" s="192" t="n">
        <x:v>4.8000001907</x:v>
      </x:c>
      <x:c r="N258" s="192" t="n">
        <x:v>450</x:v>
      </x:c>
      <x:c r="O258" s="192" t="n">
        <x:v>41</x:v>
      </x:c>
      <x:c r="P258" s="193" t="b">
        <x:v>0</x:v>
      </x:c>
      <x:c r="Q258" s="193" t="b">
        <x:v>0</x:v>
      </x:c>
      <x:c r="R258" s="193" t="b">
        <x:v>0</x:v>
      </x:c>
      <x:c r="S258" s="193" t="b">
        <x:v>0</x:v>
      </x:c>
      <x:c r="T258" s="192" t="n">
        <x:v>90</x:v>
      </x:c>
      <x:c r="U258" s="192" t="n">
        <x:v>0</x:v>
      </x:c>
      <x:c r="V258" s="200" t="n">
        <x:v>0</x:v>
      </x:c>
      <x:c r="W258" s="203" t="n">
        <x:v>1500</x:v>
      </x:c>
      <x:c r="X258" s="203" t="n">
        <x:v>0</x:v>
      </x:c>
      <x:c r="Y258" s="203" t="n">
        <x:v>0</x:v>
      </x:c>
      <x:c r="Z258" s="193" t="b">
        <x:v>1</x:v>
      </x:c>
      <x:c r="AA258" s="193" t="b">
        <x:v>0</x:v>
      </x:c>
      <x:c r="AB258" s="193" t="b">
        <x:v>1</x:v>
      </x:c>
      <x:c r="AC258" s="193" t="b">
        <x:v>1</x:v>
      </x:c>
      <x:c r="AD258" s="193" t="b">
        <x:v>1</x:v>
      </x:c>
      <x:c r="AE258" s="193" t="b">
        <x:v>0</x:v>
      </x:c>
      <x:c r="AF258" s="193" t="b">
        <x:v>0</x:v>
      </x:c>
      <x:c r="AG258" s="193" t="b">
        <x:v>1</x:v>
      </x:c>
      <x:c r="AH258" s="193" t="b">
        <x:v>1</x:v>
      </x:c>
      <x:c r="AI258" s="193" t="b">
        <x:v>1</x:v>
      </x:c>
      <x:c r="AJ258" s="193" t="b">
        <x:v>0</x:v>
      </x:c>
    </x:row>
    <x:row r="259">
      <x:c r="A259" s="192" t="n">
        <x:v>686743101124580600</x:v>
      </x:c>
      <x:c r="B259" s="192" t="str">
        <x:v>https://www.airbnb.com.br/rooms/686743101124580615</x:v>
      </x:c>
      <x:c r="C259" s="192" t="str">
        <x:v>Quadra mar 3 suítes Meia praia temporada (AL134)</x:v>
      </x:c>
      <x:c r="D259" s="192" t="str">
        <x:v>Meia Praia</x:v>
      </x:c>
      <x:c r="E259" s="192" t="n">
        <x:v>-27.13114</x:v>
      </x:c>
      <x:c r="F259" s="192" t="n">
        <x:v>-48.60092</x:v>
      </x:c>
      <x:c r="G259" s="192" t="str">
        <x:v>apartamento</x:v>
      </x:c>
      <x:c r="H259" s="192" t="n">
        <x:v>3</x:v>
      </x:c>
      <x:c r="I259" s="192" t="n">
        <x:v>4</x:v>
      </x:c>
      <x:c r="J259" s="192" t="n">
        <x:v>3</x:v>
      </x:c>
      <x:c r="K259" s="192" t="n">
        <x:v>8</x:v>
      </x:c>
      <x:c r="L259" s="192" t="n">
        <x:v>6</x:v>
      </x:c>
      <x:c r="M259" s="192" t="n">
        <x:v>5</x:v>
      </x:c>
      <x:c r="N259" s="192" t="n">
        <x:v>300</x:v>
      </x:c>
      <x:c r="O259" s="192" t="n">
        <x:v>20</x:v>
      </x:c>
      <x:c r="P259" s="193" t="b">
        <x:v>0</x:v>
      </x:c>
      <x:c r="Q259" s="193" t="b">
        <x:v>0</x:v>
      </x:c>
      <x:c r="R259" s="193" t="b">
        <x:v>0</x:v>
      </x:c>
      <x:c r="S259" s="193" t="b">
        <x:v>1</x:v>
      </x:c>
      <x:c r="T259" s="192" t="n">
        <x:v>27</x:v>
      </x:c>
      <x:c r="U259" s="192" t="n">
        <x:v>63</x:v>
      </x:c>
      <x:c r="V259" s="200" t="n">
        <x:v>0.7</x:v>
      </x:c>
      <x:c r="W259" s="203" t="n">
        <x:v>648</x:v>
      </x:c>
      <x:c r="X259" s="203" t="n">
        <x:v>40137.5886602876</x:v>
      </x:c>
      <x:c r="Y259" s="203" t="n">
        <x:v>103772.3906821185</x:v>
      </x:c>
      <x:c r="Z259" s="193" t="b">
        <x:v>1</x:v>
      </x:c>
      <x:c r="AA259" s="193" t="b">
        <x:v>0</x:v>
      </x:c>
      <x:c r="AB259" s="193" t="b">
        <x:v>1</x:v>
      </x:c>
      <x:c r="AC259" s="193" t="b">
        <x:v>1</x:v>
      </x:c>
      <x:c r="AD259" s="193" t="b">
        <x:v>1</x:v>
      </x:c>
      <x:c r="AE259" s="193" t="b">
        <x:v>1</x:v>
      </x:c>
      <x:c r="AF259" s="193" t="b">
        <x:v>1</x:v>
      </x:c>
      <x:c r="AG259" s="193" t="b">
        <x:v>1</x:v>
      </x:c>
      <x:c r="AH259" s="193" t="b">
        <x:v>1</x:v>
      </x:c>
      <x:c r="AI259" s="193" t="b">
        <x:v>1</x:v>
      </x:c>
      <x:c r="AJ259" s="193" t="b">
        <x:v>1</x:v>
      </x:c>
    </x:row>
    <x:row r="260">
      <x:c r="A260" s="192" t="n">
        <x:v>771111761043546400</x:v>
      </x:c>
      <x:c r="B260" s="192" t="str">
        <x:v>https://www.airbnb.com.br/rooms/771111761043546355</x:v>
      </x:c>
      <x:c r="C260" s="192" t="str">
        <x:v>Lindo Apartamento Quadra Mar</x:v>
      </x:c>
      <x:c r="D260" s="192" t="str">
        <x:v>Centro</x:v>
      </x:c>
      <x:c r="E260" s="192" t="n">
        <x:v>-27.09696</x:v>
      </x:c>
      <x:c r="F260" s="192" t="n">
        <x:v>-48.61464</x:v>
      </x:c>
      <x:c r="G260" s="192" t="str">
        <x:v>apartamento</x:v>
      </x:c>
      <x:c r="H260" s="192" t="n">
        <x:v>2</x:v>
      </x:c>
      <x:c r="I260" s="192" t="n">
        <x:v>1</x:v>
      </x:c>
      <x:c r="J260" s="192" t="n">
        <x:v>3</x:v>
      </x:c>
      <x:c r="K260" s="192" t="n">
        <x:v>6</x:v>
      </x:c>
      <x:c r="L260" s="192" t="n">
        <x:v>18</x:v>
      </x:c>
      <x:c r="M260" s="192" t="n">
        <x:v>4.9400000572</x:v>
      </x:c>
      <x:c r="N260" s="192" t="n">
        <x:v>150</x:v>
      </x:c>
      <x:c r="O260" s="192" t="n">
        <x:v>21</x:v>
      </x:c>
      <x:c r="P260" s="193" t="b">
        <x:v>0</x:v>
      </x:c>
      <x:c r="Q260" s="193" t="b">
        <x:v>0</x:v>
      </x:c>
      <x:c r="R260" s="193" t="b">
        <x:v>1</x:v>
      </x:c>
      <x:c r="S260" s="193" t="b">
        <x:v>0</x:v>
      </x:c>
      <x:c r="T260" s="192" t="n">
        <x:v>75</x:v>
      </x:c>
      <x:c r="U260" s="192" t="n">
        <x:v>15</x:v>
      </x:c>
      <x:c r="V260" s="200" t="n">
        <x:v>0.1666666667</x:v>
      </x:c>
      <x:c r="W260" s="203" t="n">
        <x:v>557</x:v>
      </x:c>
      <x:c r="X260" s="203" t="n">
        <x:v>8369.3034607199</x:v>
      </x:c>
      <x:c r="Y260" s="203" t="n">
        <x:v>21638.1366557363</x:v>
      </x:c>
      <x:c r="Z260" s="193" t="b">
        <x:v>1</x:v>
      </x:c>
      <x:c r="AA260" s="193" t="b">
        <x:v>0</x:v>
      </x:c>
      <x:c r="AB260" s="193" t="b">
        <x:v>1</x:v>
      </x:c>
      <x:c r="AC260" s="193" t="b">
        <x:v>1</x:v>
      </x:c>
      <x:c r="AD260" s="193" t="b">
        <x:v>0</x:v>
      </x:c>
      <x:c r="AE260" s="193" t="b">
        <x:v>1</x:v>
      </x:c>
      <x:c r="AF260" s="193" t="b">
        <x:v>1</x:v>
      </x:c>
      <x:c r="AG260" s="193" t="b">
        <x:v>1</x:v>
      </x:c>
      <x:c r="AH260" s="193" t="b">
        <x:v>1</x:v>
      </x:c>
      <x:c r="AI260" s="193" t="b">
        <x:v>1</x:v>
      </x:c>
      <x:c r="AJ260" s="193" t="b">
        <x:v>0</x:v>
      </x:c>
    </x:row>
    <x:row r="261">
      <x:c r="A261" s="192" t="n">
        <x:v>1187558666042801700</x:v>
      </x:c>
      <x:c r="B261" s="192" t="str">
        <x:v>https://www.airbnb.com.br/rooms/1187558666042801587</x:v>
      </x:c>
      <x:c r="C261" s="192" t="str">
        <x:v>Apto confortável 150m do mar em Meia Praia RCB405</x:v>
      </x:c>
      <x:c r="D261" s="192" t="str">
        <x:v>Meia Praia</x:v>
      </x:c>
      <x:c r="E261" s="192" t="n">
        <x:v>-27.1389827728</x:v>
      </x:c>
      <x:c r="F261" s="192" t="n">
        <x:v>-48.5933876038</x:v>
      </x:c>
      <x:c r="G261" s="192" t="str">
        <x:v>apartamento</x:v>
      </x:c>
      <x:c r="H261" s="192" t="n">
        <x:v>3</x:v>
      </x:c>
      <x:c r="I261" s="192" t="n">
        <x:v>2</x:v>
      </x:c>
      <x:c r="J261" s="192" t="n">
        <x:v>3</x:v>
      </x:c>
      <x:c r="K261" s="192" t="n">
        <x:v>6</x:v>
      </x:c>
      <x:c r="L261" s="192" t="n">
        <x:v>7</x:v>
      </x:c>
      <x:c r="M261" s="192" t="n">
        <x:v>5</x:v>
      </x:c>
      <x:c r="N261" s="192" t="n">
        <x:v>400</x:v>
      </x:c>
      <x:c r="O261" s="192" t="n">
        <x:v>0</x:v>
      </x:c>
      <x:c r="P261" s="193" t="b">
        <x:v>1</x:v>
      </x:c>
      <x:c r="Q261" s="193" t="b">
        <x:v>1</x:v>
      </x:c>
      <x:c r="R261" s="193" t="b">
        <x:v>1</x:v>
      </x:c>
      <x:c r="S261" s="193" t="b">
        <x:v>0</x:v>
      </x:c>
      <x:c r="T261" s="192" t="n">
        <x:v>64</x:v>
      </x:c>
      <x:c r="U261" s="192" t="n">
        <x:v>26</x:v>
      </x:c>
      <x:c r="V261" s="200" t="n">
        <x:v>0.2888888889</x:v>
      </x:c>
      <x:c r="W261" s="203" t="n">
        <x:v>541.5</x:v>
      </x:c>
      <x:c r="X261" s="203" t="n">
        <x:v>13975.8078763066</x:v>
      </x:c>
      <x:c r="Y261" s="203" t="n">
        <x:v>36133.2866135344</x:v>
      </x:c>
      <x:c r="Z261" s="193" t="b">
        <x:v>1</x:v>
      </x:c>
      <x:c r="AA261" s="193" t="b">
        <x:v>0</x:v>
      </x:c>
      <x:c r="AB261" s="193" t="b">
        <x:v>1</x:v>
      </x:c>
      <x:c r="AC261" s="193" t="b">
        <x:v>1</x:v>
      </x:c>
      <x:c r="AD261" s="193" t="b">
        <x:v>1</x:v>
      </x:c>
      <x:c r="AE261" s="193" t="b">
        <x:v>1</x:v>
      </x:c>
      <x:c r="AF261" s="193" t="b">
        <x:v>1</x:v>
      </x:c>
      <x:c r="AG261" s="193" t="b">
        <x:v>1</x:v>
      </x:c>
      <x:c r="AH261" s="193" t="b">
        <x:v>1</x:v>
      </x:c>
      <x:c r="AI261" s="193" t="b">
        <x:v>1</x:v>
      </x:c>
      <x:c r="AJ261" s="193" t="b">
        <x:v>1</x:v>
      </x:c>
    </x:row>
    <x:row r="262">
      <x:c r="A262" s="192" t="n">
        <x:v>44369632</x:v>
      </x:c>
      <x:c r="B262" s="192" t="str">
        <x:v>https://www.airbnb.com.br/rooms/44369632</x:v>
      </x:c>
      <x:c r="C262" s="192" t="str">
        <x:v>03 -  Excelente Localização! 20 metros da praia!</x:v>
      </x:c>
      <x:c r="D262" s="192" t="str">
        <x:v>Meia Praia</x:v>
      </x:c>
      <x:c r="E262" s="192" t="n">
        <x:v>-27.12988</x:v>
      </x:c>
      <x:c r="F262" s="192" t="n">
        <x:v>-48.59979</x:v>
      </x:c>
      <x:c r="G262" s="192" t="str">
        <x:v>apartamento</x:v>
      </x:c>
      <x:c r="H262" s="192" t="n">
        <x:v>3</x:v>
      </x:c>
      <x:c r="I262" s="192" t="n">
        <x:v>2</x:v>
      </x:c>
      <x:c r="J262" s="192" t="n">
        <x:v>3</x:v>
      </x:c>
      <x:c r="K262" s="192" t="n">
        <x:v>8</x:v>
      </x:c>
      <x:c r="L262" s="192" t="n">
        <x:v>44</x:v>
      </x:c>
      <x:c r="M262" s="192" t="n">
        <x:v>4.8899998665</x:v>
      </x:c>
      <x:c r="N262" s="192" t="n">
        <x:v>190</x:v>
      </x:c>
      <x:c r="O262" s="192" t="n">
        <x:v>24</x:v>
      </x:c>
      <x:c r="P262" s="193" t="b">
        <x:v>1</x:v>
      </x:c>
      <x:c r="Q262" s="193" t="b">
        <x:v>0</x:v>
      </x:c>
      <x:c r="R262" s="193" t="b">
        <x:v>1</x:v>
      </x:c>
      <x:c r="S262" s="193" t="b">
        <x:v>1</x:v>
      </x:c>
      <x:c r="T262" s="192" t="n">
        <x:v>9</x:v>
      </x:c>
      <x:c r="U262" s="192" t="n">
        <x:v>81</x:v>
      </x:c>
      <x:c r="V262" s="200" t="n">
        <x:v>0.9</x:v>
      </x:c>
      <x:c r="W262" s="203" t="n">
        <x:v>705</x:v>
      </x:c>
      <x:c r="X262" s="203" t="n">
        <x:v>57091.2266569608</x:v>
      </x:c>
      <x:c r="Y262" s="203" t="n">
        <x:v>147604.6089193507</x:v>
      </x:c>
      <x:c r="Z262" s="193" t="b">
        <x:v>0</x:v>
      </x:c>
      <x:c r="AA262" s="193" t="b">
        <x:v>0</x:v>
      </x:c>
      <x:c r="AB262" s="193" t="b">
        <x:v>1</x:v>
      </x:c>
      <x:c r="AC262" s="193" t="b">
        <x:v>1</x:v>
      </x:c>
      <x:c r="AD262" s="193" t="b">
        <x:v>0</x:v>
      </x:c>
      <x:c r="AE262" s="193" t="b">
        <x:v>1</x:v>
      </x:c>
      <x:c r="AF262" s="193" t="b">
        <x:v>1</x:v>
      </x:c>
      <x:c r="AG262" s="193" t="b">
        <x:v>1</x:v>
      </x:c>
      <x:c r="AH262" s="193" t="b">
        <x:v>1</x:v>
      </x:c>
      <x:c r="AI262" s="193" t="b">
        <x:v>1</x:v>
      </x:c>
      <x:c r="AJ262" s="193" t="b">
        <x:v>0</x:v>
      </x:c>
    </x:row>
    <x:row r="263">
      <x:c r="A263" s="192" t="n">
        <x:v>21103486</x:v>
      </x:c>
      <x:c r="B263" s="192" t="str">
        <x:v>https://www.airbnb.com.br/rooms/21103486</x:v>
      </x:c>
      <x:c r="C263" s="192" t="str">
        <x:v>Amplo Apartamento Verão 2025- Meia Praia</x:v>
      </x:c>
      <x:c r="D263" s="192" t="str">
        <x:v>Meia Praia</x:v>
      </x:c>
      <x:c r="E263" s="192" t="n">
        <x:v>-27.13927</x:v>
      </x:c>
      <x:c r="F263" s="192" t="n">
        <x:v>-48.59544</x:v>
      </x:c>
      <x:c r="G263" s="192" t="str">
        <x:v>apartamento</x:v>
      </x:c>
      <x:c r="H263" s="192" t="n">
        <x:v>3</x:v>
      </x:c>
      <x:c r="I263" s="192" t="n">
        <x:v>2</x:v>
      </x:c>
      <x:c r="J263" s="192" t="n">
        <x:v>3</x:v>
      </x:c>
      <x:c r="K263" s="192" t="n">
        <x:v>6</x:v>
      </x:c>
      <x:c r="L263" s="192" t="n">
        <x:v>8</x:v>
      </x:c>
      <x:c r="M263" s="192" t="n">
        <x:v>5</x:v>
      </x:c>
      <x:c r="N263" s="192" t="n">
        <x:v>250</x:v>
      </x:c>
      <x:c r="O263" s="192" t="n">
        <x:v>29</x:v>
      </x:c>
      <x:c r="P263" s="193" t="b">
        <x:v>0</x:v>
      </x:c>
      <x:c r="Q263" s="193" t="b">
        <x:v>0</x:v>
      </x:c>
      <x:c r="R263" s="193" t="b">
        <x:v>0</x:v>
      </x:c>
      <x:c r="S263" s="193" t="b">
        <x:v>0</x:v>
      </x:c>
      <x:c r="T263" s="192" t="n">
        <x:v>41</x:v>
      </x:c>
      <x:c r="U263" s="192" t="n">
        <x:v>49</x:v>
      </x:c>
      <x:c r="V263" s="200" t="n">
        <x:v>0.5444444444</x:v>
      </x:c>
      <x:c r="W263" s="203" t="n">
        <x:v>301.7143</x:v>
      </x:c>
      <x:c r="X263" s="203" t="n">
        <x:v>15039.6793891837</x:v>
      </x:c>
      <x:c r="Y263" s="203" t="n">
        <x:v>38883.8377541187</x:v>
      </x:c>
      <x:c r="Z263" s="193" t="b">
        <x:v>0</x:v>
      </x:c>
      <x:c r="AA263" s="193" t="b">
        <x:v>0</x:v>
      </x:c>
      <x:c r="AB263" s="193" t="b">
        <x:v>1</x:v>
      </x:c>
      <x:c r="AC263" s="193" t="b">
        <x:v>1</x:v>
      </x:c>
      <x:c r="AD263" s="193" t="b">
        <x:v>1</x:v>
      </x:c>
      <x:c r="AE263" s="193" t="b">
        <x:v>0</x:v>
      </x:c>
      <x:c r="AF263" s="193" t="b">
        <x:v>0</x:v>
      </x:c>
      <x:c r="AG263" s="193" t="b">
        <x:v>1</x:v>
      </x:c>
      <x:c r="AH263" s="193" t="b">
        <x:v>1</x:v>
      </x:c>
      <x:c r="AI263" s="193" t="b">
        <x:v>1</x:v>
      </x:c>
      <x:c r="AJ263" s="193" t="b">
        <x:v>0</x:v>
      </x:c>
    </x:row>
    <x:row r="264">
      <x:c r="A264" s="192" t="n">
        <x:v>40371384</x:v>
      </x:c>
      <x:c r="B264" s="192" t="str">
        <x:v>https://www.airbnb.com.br/rooms/40371384</x:v>
      </x:c>
      <x:c r="C264" s="192" t="str">
        <x:v>Nilmare Apart Hotel - Apartamento tipo 2</x:v>
      </x:c>
      <x:c r="D264" s="192" t="str">
        <x:v>Centro</x:v>
      </x:c>
      <x:c r="E264" s="192" t="n">
        <x:v>-27.09208</x:v>
      </x:c>
      <x:c r="F264" s="192" t="n">
        <x:v>-48.61173</x:v>
      </x:c>
      <x:c r="G264" s="192" t="str">
        <x:v>apartamento</x:v>
      </x:c>
      <x:c r="H264" s="192" t="n">
        <x:v>1</x:v>
      </x:c>
      <x:c r="I264" s="192" t="n">
        <x:v>1</x:v>
      </x:c>
      <x:c r="J264" s="192" t="n">
        <x:v>3</x:v>
      </x:c>
      <x:c r="K264" s="192" t="n">
        <x:v>6</x:v>
      </x:c>
      <x:c r="L264" s="192" t="n">
        <x:v>343</x:v>
      </x:c>
      <x:c r="M264" s="192" t="n">
        <x:v>4.8299999237</x:v>
      </x:c>
      <x:c r="N264" s="192" t="n">
        <x:v>60</x:v>
      </x:c>
      <x:c r="O264" s="192" t="n">
        <x:v>7</x:v>
      </x:c>
      <x:c r="P264" s="193" t="b">
        <x:v>1</x:v>
      </x:c>
      <x:c r="Q264" s="193" t="b">
        <x:v>1</x:v>
      </x:c>
      <x:c r="R264" s="193" t="b">
        <x:v>0</x:v>
      </x:c>
      <x:c r="S264" s="193" t="b">
        <x:v>1</x:v>
      </x:c>
      <x:c r="T264" s="192" t="n">
        <x:v>82</x:v>
      </x:c>
      <x:c r="U264" s="192" t="n">
        <x:v>8</x:v>
      </x:c>
      <x:c r="V264" s="200" t="n">
        <x:v>0.0888888889</x:v>
      </x:c>
      <x:c r="W264" s="203" t="n">
        <x:v>501.16665</x:v>
      </x:c>
      <x:c r="X264" s="203" t="n">
        <x:v>4059.8360743873</x:v>
      </x:c>
      <x:c r="Y264" s="203" t="n">
        <x:v>10496.3678506554</x:v>
      </x:c>
      <x:c r="Z264" s="193" t="b">
        <x:v>1</x:v>
      </x:c>
      <x:c r="AA264" s="193" t="b">
        <x:v>1</x:v>
      </x:c>
      <x:c r="AB264" s="193" t="b">
        <x:v>1</x:v>
      </x:c>
      <x:c r="AC264" s="193" t="b">
        <x:v>1</x:v>
      </x:c>
      <x:c r="AD264" s="193" t="b">
        <x:v>1</x:v>
      </x:c>
      <x:c r="AE264" s="193" t="b">
        <x:v>1</x:v>
      </x:c>
      <x:c r="AF264" s="193" t="b">
        <x:v>1</x:v>
      </x:c>
      <x:c r="AG264" s="193" t="b">
        <x:v>1</x:v>
      </x:c>
      <x:c r="AH264" s="193" t="b">
        <x:v>1</x:v>
      </x:c>
      <x:c r="AI264" s="193" t="b">
        <x:v>1</x:v>
      </x:c>
      <x:c r="AJ264" s="193" t="b">
        <x:v>0</x:v>
      </x:c>
    </x:row>
    <x:row r="265">
      <x:c r="A265" s="192" t="n">
        <x:v>39635217</x:v>
      </x:c>
      <x:c r="B265" s="192" t="str">
        <x:v>https://www.airbnb.com.br/rooms/39635217</x:v>
      </x:c>
      <x:c r="C265" s="192" t="str">
        <x:v>Apto a 50 metros do mar, 3 quartos e 2 vagas garag</x:v>
      </x:c>
      <x:c r="D265" s="192" t="str">
        <x:v>Meia Praia</x:v>
      </x:c>
      <x:c r="E265" s="192" t="n">
        <x:v>-27.13276</x:v>
      </x:c>
      <x:c r="F265" s="192" t="n">
        <x:v>-48.59706</x:v>
      </x:c>
      <x:c r="G265" s="192" t="str">
        <x:v>apartamento</x:v>
      </x:c>
      <x:c r="H265" s="192" t="n">
        <x:v>3</x:v>
      </x:c>
      <x:c r="I265" s="192" t="n">
        <x:v>2</x:v>
      </x:c>
      <x:c r="J265" s="192" t="n">
        <x:v>3</x:v>
      </x:c>
      <x:c r="K265" s="192" t="n">
        <x:v>9</x:v>
      </x:c>
      <x:c r="L265" s="192" t="n">
        <x:v>46</x:v>
      </x:c>
      <x:c r="M265" s="192" t="n">
        <x:v>4.9600000381</x:v>
      </x:c>
      <x:c r="N265" s="192" t="n">
        <x:v>350</x:v>
      </x:c>
      <x:c r="O265" s="192" t="n">
        <x:v>27</x:v>
      </x:c>
      <x:c r="P265" s="193" t="b">
        <x:v>1</x:v>
      </x:c>
      <x:c r="Q265" s="193" t="b">
        <x:v>0</x:v>
      </x:c>
      <x:c r="R265" s="193" t="b">
        <x:v>1</x:v>
      </x:c>
      <x:c r="S265" s="193" t="b">
        <x:v>1</x:v>
      </x:c>
      <x:c r="T265" s="192" t="n">
        <x:v>16</x:v>
      </x:c>
      <x:c r="U265" s="192" t="n">
        <x:v>74</x:v>
      </x:c>
      <x:c r="V265" s="200" t="n">
        <x:v>0.8222222222</x:v>
      </x:c>
      <x:c r="W265" s="203" t="n">
        <x:v>373.4</x:v>
      </x:c>
      <x:c r="X265" s="203" t="n">
        <x:v>27924.1754800971</x:v>
      </x:c>
      <x:c r="Y265" s="203" t="n">
        <x:v>72195.6286891676</x:v>
      </x:c>
      <x:c r="Z265" s="193" t="b">
        <x:v>0</x:v>
      </x:c>
      <x:c r="AA265" s="193" t="b">
        <x:v>0</x:v>
      </x:c>
      <x:c r="AB265" s="193" t="b">
        <x:v>1</x:v>
      </x:c>
      <x:c r="AC265" s="193" t="b">
        <x:v>1</x:v>
      </x:c>
      <x:c r="AD265" s="193" t="b">
        <x:v>1</x:v>
      </x:c>
      <x:c r="AE265" s="193" t="b">
        <x:v>0</x:v>
      </x:c>
      <x:c r="AF265" s="193" t="b">
        <x:v>0</x:v>
      </x:c>
      <x:c r="AG265" s="193" t="b">
        <x:v>1</x:v>
      </x:c>
      <x:c r="AH265" s="193" t="b">
        <x:v>1</x:v>
      </x:c>
      <x:c r="AI265" s="193" t="b">
        <x:v>1</x:v>
      </x:c>
      <x:c r="AJ265" s="193" t="b">
        <x:v>1</x:v>
      </x:c>
    </x:row>
    <x:row r="266">
      <x:c r="A266" s="192" t="n">
        <x:v>52266549</x:v>
      </x:c>
      <x:c r="B266" s="192" t="str">
        <x:v>https://www.airbnb.com.br/rooms/52266549</x:v>
      </x:c>
      <x:c r="C266" s="192" t="str">
        <x:v>Lindo Apartamento Pé na Areia e Vista para o Mar</x:v>
      </x:c>
      <x:c r="D266" s="192" t="str">
        <x:v>Morretes</x:v>
      </x:c>
      <x:c r="E266" s="192" t="n">
        <x:v>-27.1147</x:v>
      </x:c>
      <x:c r="F266" s="192" t="n">
        <x:v>-48.60836</x:v>
      </x:c>
      <x:c r="G266" s="192" t="str">
        <x:v>apartamento</x:v>
      </x:c>
      <x:c r="H266" s="192" t="n">
        <x:v>3</x:v>
      </x:c>
      <x:c r="I266" s="192" t="n">
        <x:v>2</x:v>
      </x:c>
      <x:c r="J266" s="192" t="n">
        <x:v>7</x:v>
      </x:c>
      <x:c r="K266" s="192" t="n">
        <x:v>8</x:v>
      </x:c>
      <x:c r="L266" s="192" t="n">
        <x:v>14</x:v>
      </x:c>
      <x:c r="M266" s="192" t="n">
        <x:v>4.7899999619</x:v>
      </x:c>
      <x:c r="N266" s="192" t="n">
        <x:v>300</x:v>
      </x:c>
      <x:c r="O266" s="192" t="n">
        <x:v>26</x:v>
      </x:c>
      <x:c r="P266" s="193" t="b">
        <x:v>0</x:v>
      </x:c>
      <x:c r="Q266" s="193" t="b">
        <x:v>0</x:v>
      </x:c>
      <x:c r="R266" s="193" t="b">
        <x:v>0</x:v>
      </x:c>
      <x:c r="S266" s="193" t="b">
        <x:v>0</x:v>
      </x:c>
      <x:c r="T266" s="192" t="n">
        <x:v>55</x:v>
      </x:c>
      <x:c r="U266" s="192" t="n">
        <x:v>35</x:v>
      </x:c>
      <x:c r="V266" s="200" t="n">
        <x:v>0.3888888889</x:v>
      </x:c>
      <x:c r="W266" s="203" t="n">
        <x:v>550</x:v>
      </x:c>
      <x:c r="X266" s="203" t="n">
        <x:v>20080.1596088514</x:v>
      </x:c>
      <x:c r="Y266" s="203" t="n">
        <x:v>51915.5793220512</x:v>
      </x:c>
      <x:c r="Z266" s="193" t="b">
        <x:v>1</x:v>
      </x:c>
      <x:c r="AA266" s="193" t="b">
        <x:v>0</x:v>
      </x:c>
      <x:c r="AB266" s="193" t="b">
        <x:v>1</x:v>
      </x:c>
      <x:c r="AC266" s="193" t="b">
        <x:v>1</x:v>
      </x:c>
      <x:c r="AD266" s="193" t="b">
        <x:v>0</x:v>
      </x:c>
      <x:c r="AE266" s="193" t="b">
        <x:v>1</x:v>
      </x:c>
      <x:c r="AF266" s="193" t="b">
        <x:v>1</x:v>
      </x:c>
      <x:c r="AG266" s="193" t="b">
        <x:v>1</x:v>
      </x:c>
      <x:c r="AH266" s="193" t="b">
        <x:v>1</x:v>
      </x:c>
      <x:c r="AI266" s="193" t="b">
        <x:v>1</x:v>
      </x:c>
      <x:c r="AJ266" s="193" t="b">
        <x:v>1</x:v>
      </x:c>
    </x:row>
    <x:row r="267">
      <x:c r="A267" s="192" t="n">
        <x:v>26334990</x:v>
      </x:c>
      <x:c r="B267" s="192" t="str">
        <x:v>https://www.airbnb.com.br/rooms/26334990</x:v>
      </x:c>
      <x:c r="C267" s="192" t="str">
        <x:v>Apartamento beira mar no centro de meia praia</x:v>
      </x:c>
      <x:c r="D267" s="192" t="str">
        <x:v>Meia Praia</x:v>
      </x:c>
      <x:c r="E267" s="192" t="n">
        <x:v>-27.12738</x:v>
      </x:c>
      <x:c r="F267" s="192" t="n">
        <x:v>-48.60367</x:v>
      </x:c>
      <x:c r="G267" s="192" t="str">
        <x:v>apartamento</x:v>
      </x:c>
      <x:c r="H267" s="192" t="n">
        <x:v>3</x:v>
      </x:c>
      <x:c r="I267" s="192" t="n">
        <x:v>2</x:v>
      </x:c>
      <x:c r="J267" s="192" t="n">
        <x:v>8</x:v>
      </x:c>
      <x:c r="K267" s="192" t="n">
        <x:v>11</x:v>
      </x:c>
      <x:c r="L267" s="192" t="n">
        <x:v>6</x:v>
      </x:c>
      <x:c r="M267" s="192" t="n">
        <x:v>5</x:v>
      </x:c>
      <x:c r="N267" s="192" t="n">
        <x:v>350</x:v>
      </x:c>
      <x:c r="O267" s="192" t="n">
        <x:v>19</x:v>
      </x:c>
      <x:c r="P267" s="193" t="b">
        <x:v>1</x:v>
      </x:c>
      <x:c r="Q267" s="193" t="b">
        <x:v>0</x:v>
      </x:c>
      <x:c r="R267" s="193" t="b">
        <x:v>0</x:v>
      </x:c>
      <x:c r="S267" s="193" t="b">
        <x:v>0</x:v>
      </x:c>
      <x:c r="T267" s="192" t="n">
        <x:v>48</x:v>
      </x:c>
      <x:c r="U267" s="192" t="n">
        <x:v>42</x:v>
      </x:c>
      <x:c r="V267" s="200" t="n">
        <x:v>0.4666666667</x:v>
      </x:c>
      <x:c r="W267" s="203" t="n">
        <x:v>1200</x:v>
      </x:c>
      <x:c r="X267" s="203" t="n">
        <x:v>52190.2456286148</x:v>
      </x:c>
      <x:c r="Y267" s="203" t="n">
        <x:v>134933.5308856477</x:v>
      </x:c>
      <x:c r="Z267" s="193" t="b">
        <x:v>1</x:v>
      </x:c>
      <x:c r="AA267" s="193" t="b">
        <x:v>0</x:v>
      </x:c>
      <x:c r="AB267" s="193" t="b">
        <x:v>1</x:v>
      </x:c>
      <x:c r="AC267" s="193" t="b">
        <x:v>1</x:v>
      </x:c>
      <x:c r="AD267" s="193" t="b">
        <x:v>1</x:v>
      </x:c>
      <x:c r="AE267" s="193" t="b">
        <x:v>1</x:v>
      </x:c>
      <x:c r="AF267" s="193" t="b">
        <x:v>1</x:v>
      </x:c>
      <x:c r="AG267" s="193" t="b">
        <x:v>1</x:v>
      </x:c>
      <x:c r="AH267" s="193" t="b">
        <x:v>1</x:v>
      </x:c>
      <x:c r="AI267" s="193" t="b">
        <x:v>1</x:v>
      </x:c>
      <x:c r="AJ267" s="193" t="b">
        <x:v>1</x:v>
      </x:c>
    </x:row>
    <x:row r="268">
      <x:c r="A268" s="192" t="n">
        <x:v>45480718</x:v>
      </x:c>
      <x:c r="B268" s="192" t="str">
        <x:v>https://www.airbnb.com.br/rooms/45480718</x:v>
      </x:c>
      <x:c r="C268" s="192" t="str">
        <x:v>Apartamento com 3 quartos climatizados, Rua 242.</x:v>
      </x:c>
      <x:c r="D268" s="192" t="str">
        <x:v>Meia Praia</x:v>
      </x:c>
      <x:c r="E268" s="192" t="n">
        <x:v>-27.1280923167</x:v>
      </x:c>
      <x:c r="F268" s="192" t="n">
        <x:v>-48.6044189787</x:v>
      </x:c>
      <x:c r="G268" s="192" t="str">
        <x:v>apartamento</x:v>
      </x:c>
      <x:c r="H268" s="192" t="n">
        <x:v>3</x:v>
      </x:c>
      <x:c r="I268" s="192" t="n">
        <x:v>2</x:v>
      </x:c>
      <x:c r="J268" s="192" t="n">
        <x:v>4</x:v>
      </x:c>
      <x:c r="K268" s="192" t="n">
        <x:v>8</x:v>
      </x:c>
      <x:c r="L268" s="192" t="n">
        <x:v>34</x:v>
      </x:c>
      <x:c r="M268" s="192" t="n">
        <x:v>4.7600002289</x:v>
      </x:c>
      <x:c r="N268" s="192" t="n">
        <x:v>250</x:v>
      </x:c>
      <x:c r="O268" s="192" t="n">
        <x:v>20</x:v>
      </x:c>
      <x:c r="P268" s="193" t="b">
        <x:v>0</x:v>
      </x:c>
      <x:c r="Q268" s="193" t="b">
        <x:v>0</x:v>
      </x:c>
      <x:c r="R268" s="193" t="b">
        <x:v>1</x:v>
      </x:c>
      <x:c r="S268" s="193" t="b">
        <x:v>1</x:v>
      </x:c>
      <x:c r="T268" s="192" t="n">
        <x:v>5</x:v>
      </x:c>
      <x:c r="U268" s="192" t="n">
        <x:v>85</x:v>
      </x:c>
      <x:c r="V268" s="200" t="n">
        <x:v>0.9444444444</x:v>
      </x:c>
      <x:c r="W268" s="203" t="n">
        <x:v>200</x:v>
      </x:c>
      <x:c r="X268" s="203" t="n">
        <x:v>17057.8492101655</x:v>
      </x:c>
      <x:c r="Y268" s="203" t="n">
        <x:v>44101.6476454488</x:v>
      </x:c>
      <x:c r="Z268" s="193" t="b">
        <x:v>0</x:v>
      </x:c>
      <x:c r="AA268" s="193" t="b">
        <x:v>0</x:v>
      </x:c>
      <x:c r="AB268" s="193" t="b">
        <x:v>1</x:v>
      </x:c>
      <x:c r="AC268" s="193" t="b">
        <x:v>1</x:v>
      </x:c>
      <x:c r="AD268" s="193" t="b">
        <x:v>0</x:v>
      </x:c>
      <x:c r="AE268" s="193" t="b">
        <x:v>1</x:v>
      </x:c>
      <x:c r="AF268" s="193" t="b">
        <x:v>1</x:v>
      </x:c>
      <x:c r="AG268" s="193" t="b">
        <x:v>1</x:v>
      </x:c>
      <x:c r="AH268" s="193" t="b">
        <x:v>1</x:v>
      </x:c>
      <x:c r="AI268" s="193" t="b">
        <x:v>1</x:v>
      </x:c>
      <x:c r="AJ268" s="193" t="b">
        <x:v>1</x:v>
      </x:c>
    </x:row>
    <x:row r="269">
      <x:c r="A269" s="192" t="n">
        <x:v>21632405</x:v>
      </x:c>
      <x:c r="B269" s="192" t="str">
        <x:v>https://www.airbnb.com.br/rooms/21632405</x:v>
      </x:c>
      <x:c r="C269" s="192" t="str">
        <x:v>Aluguel temporada com 3 quartos - Meia Praia *006</x:v>
      </x:c>
      <x:c r="D269" s="192" t="str">
        <x:v>Meia Praia</x:v>
      </x:c>
      <x:c r="E269" s="192" t="n">
        <x:v>-27.13204</x:v>
      </x:c>
      <x:c r="F269" s="192" t="n">
        <x:v>-48.6004</x:v>
      </x:c>
      <x:c r="G269" s="192" t="str">
        <x:v>apartamento</x:v>
      </x:c>
      <x:c r="H269" s="192" t="n">
        <x:v>3</x:v>
      </x:c>
      <x:c r="I269" s="192" t="n">
        <x:v>2</x:v>
      </x:c>
      <x:c r="J269" s="192" t="n">
        <x:v>3</x:v>
      </x:c>
      <x:c r="K269" s="192" t="n">
        <x:v>8</x:v>
      </x:c>
      <x:c r="L269" s="192" t="n">
        <x:v>11</x:v>
      </x:c>
      <x:c r="M269" s="192" t="n">
        <x:v>4.8200001717</x:v>
      </x:c>
      <x:c r="N269" s="192" t="n">
        <x:v>250</x:v>
      </x:c>
      <x:c r="O269" s="192" t="n">
        <x:v>40</x:v>
      </x:c>
      <x:c r="P269" s="193" t="b">
        <x:v>0</x:v>
      </x:c>
      <x:c r="Q269" s="193" t="b">
        <x:v>0</x:v>
      </x:c>
      <x:c r="R269" s="193" t="b">
        <x:v>1</x:v>
      </x:c>
      <x:c r="S269" s="193" t="b">
        <x:v>1</x:v>
      </x:c>
      <x:c r="T269" s="192" t="n">
        <x:v>50</x:v>
      </x:c>
      <x:c r="U269" s="192" t="n">
        <x:v>40</x:v>
      </x:c>
      <x:c r="V269" s="200" t="n">
        <x:v>0.4444444444</x:v>
      </x:c>
      <x:c r="W269" s="203" t="n">
        <x:v>408</x:v>
      </x:c>
      <x:c r="X269" s="203" t="n">
        <x:v>16275.5284405093</x:v>
      </x:c>
      <x:c r="Y269" s="203" t="n">
        <x:v>42079.0224889</x:v>
      </x:c>
      <x:c r="Z269" s="193" t="b">
        <x:v>1</x:v>
      </x:c>
      <x:c r="AA269" s="193" t="b">
        <x:v>0</x:v>
      </x:c>
      <x:c r="AB269" s="193" t="b">
        <x:v>1</x:v>
      </x:c>
      <x:c r="AC269" s="193" t="b">
        <x:v>1</x:v>
      </x:c>
      <x:c r="AD269" s="193" t="b">
        <x:v>1</x:v>
      </x:c>
      <x:c r="AE269" s="193" t="b">
        <x:v>1</x:v>
      </x:c>
      <x:c r="AF269" s="193" t="b">
        <x:v>1</x:v>
      </x:c>
      <x:c r="AG269" s="193" t="b">
        <x:v>1</x:v>
      </x:c>
      <x:c r="AH269" s="193" t="b">
        <x:v>1</x:v>
      </x:c>
      <x:c r="AI269" s="193" t="b">
        <x:v>1</x:v>
      </x:c>
      <x:c r="AJ269" s="193" t="b">
        <x:v>1</x:v>
      </x:c>
    </x:row>
    <x:row r="270">
      <x:c r="A270" s="192" t="n">
        <x:v>730553947980169700</x:v>
      </x:c>
      <x:c r="B270" s="192" t="str">
        <x:v>https://www.airbnb.com.br/rooms/730553947980169722</x:v>
      </x:c>
      <x:c r="C270" s="192" t="str">
        <x:v>Itapema - Frente mar com 2 vagas de garagem</x:v>
      </x:c>
      <x:c r="D270" s="192" t="str">
        <x:v>Centro</x:v>
      </x:c>
      <x:c r="E270" s="192" t="n">
        <x:v>-27.0956</x:v>
      </x:c>
      <x:c r="F270" s="192" t="n">
        <x:v>-48.61182</x:v>
      </x:c>
      <x:c r="G270" s="192" t="str">
        <x:v>apartamento</x:v>
      </x:c>
      <x:c r="H270" s="192" t="n">
        <x:v>3</x:v>
      </x:c>
      <x:c r="I270" s="192" t="n">
        <x:v>2</x:v>
      </x:c>
      <x:c r="J270" s="192" t="n">
        <x:v>12</x:v>
      </x:c>
      <x:c r="K270" s="192" t="n">
        <x:v>8</x:v>
      </x:c>
      <x:c r="L270" s="192" t="n">
        <x:v>7</x:v>
      </x:c>
      <x:c r="M270" s="192" t="n">
        <x:v>5</x:v>
      </x:c>
      <x:c r="N270" s="192" t="n">
        <x:v>300</x:v>
      </x:c>
      <x:c r="O270" s="192" t="n">
        <x:v>22</x:v>
      </x:c>
      <x:c r="P270" s="193" t="b">
        <x:v>0</x:v>
      </x:c>
      <x:c r="Q270" s="193" t="b">
        <x:v>0</x:v>
      </x:c>
      <x:c r="R270" s="193" t="b">
        <x:v>0</x:v>
      </x:c>
      <x:c r="S270" s="193" t="b">
        <x:v>0</x:v>
      </x:c>
      <x:c r="T270" s="192" t="n">
        <x:v>48</x:v>
      </x:c>
      <x:c r="U270" s="192" t="n">
        <x:v>42</x:v>
      </x:c>
      <x:c r="V270" s="200" t="n">
        <x:v>0.4666666667</x:v>
      </x:c>
      <x:c r="W270" s="203" t="n">
        <x:v>900</x:v>
      </x:c>
      <x:c r="X270" s="203" t="n">
        <x:v>39396.5125662326</x:v>
      </x:c>
      <x:c r="Y270" s="203" t="n">
        <x:v>101856.4001972806</x:v>
      </x:c>
      <x:c r="Z270" s="193" t="b">
        <x:v>0</x:v>
      </x:c>
      <x:c r="AA270" s="193" t="b">
        <x:v>0</x:v>
      </x:c>
      <x:c r="AB270" s="193" t="b">
        <x:v>1</x:v>
      </x:c>
      <x:c r="AC270" s="193" t="b">
        <x:v>1</x:v>
      </x:c>
      <x:c r="AD270" s="193" t="b">
        <x:v>1</x:v>
      </x:c>
      <x:c r="AE270" s="193" t="b">
        <x:v>1</x:v>
      </x:c>
      <x:c r="AF270" s="193" t="b">
        <x:v>1</x:v>
      </x:c>
      <x:c r="AG270" s="193" t="b">
        <x:v>1</x:v>
      </x:c>
      <x:c r="AH270" s="193" t="b">
        <x:v>1</x:v>
      </x:c>
      <x:c r="AI270" s="193" t="b">
        <x:v>1</x:v>
      </x:c>
      <x:c r="AJ270" s="193" t="b">
        <x:v>1</x:v>
      </x:c>
    </x:row>
    <x:row r="271">
      <x:c r="A271" s="192" t="n">
        <x:v>618943952389206100</x:v>
      </x:c>
      <x:c r="B271" s="192" t="str">
        <x:v>https://www.airbnb.com.br/rooms/618943952389206201</x:v>
      </x:c>
      <x:c r="C271" s="192" t="str">
        <x:v>Prédio frente p/ mar, apt lateral com vista p/ mar</x:v>
      </x:c>
      <x:c r="D271" s="192" t="str">
        <x:v>Meia Praia</x:v>
      </x:c>
      <x:c r="E271" s="192" t="n">
        <x:v>-27.138018</x:v>
      </x:c>
      <x:c r="F271" s="192" t="n">
        <x:v>-48.592251</x:v>
      </x:c>
      <x:c r="G271" s="192" t="str">
        <x:v>apartamento</x:v>
      </x:c>
      <x:c r="H271" s="192" t="n">
        <x:v>2</x:v>
      </x:c>
      <x:c r="I271" s="192" t="n">
        <x:v>2</x:v>
      </x:c>
      <x:c r="J271" s="192" t="n">
        <x:v>5</x:v>
      </x:c>
      <x:c r="K271" s="192" t="n">
        <x:v>6</x:v>
      </x:c>
      <x:c r="L271" s="192" t="n">
        <x:v>13</x:v>
      </x:c>
      <x:c r="M271" s="192" t="n">
        <x:v>4.8499999046</x:v>
      </x:c>
      <x:c r="N271" s="192" t="n">
        <x:v>360</x:v>
      </x:c>
      <x:c r="O271" s="192" t="n">
        <x:v>13</x:v>
      </x:c>
      <x:c r="P271" s="193" t="b">
        <x:v>0</x:v>
      </x:c>
      <x:c r="Q271" s="193" t="b">
        <x:v>0</x:v>
      </x:c>
      <x:c r="R271" s="193" t="b">
        <x:v>0</x:v>
      </x:c>
      <x:c r="S271" s="193" t="b">
        <x:v>0</x:v>
      </x:c>
      <x:c r="T271" s="192" t="n">
        <x:v>71</x:v>
      </x:c>
      <x:c r="U271" s="192" t="n">
        <x:v>19</x:v>
      </x:c>
      <x:c r="V271" s="200" t="n">
        <x:v>0.2111111111</x:v>
      </x:c>
      <x:c r="W271" s="203" t="n">
        <x:v>400</x:v>
      </x:c>
      <x:c r="X271" s="203" t="n">
        <x:v>8025.341348998</x:v>
      </x:c>
      <x:c r="Y271" s="203" t="n">
        <x:v>20748.8512793885</x:v>
      </x:c>
      <x:c r="Z271" s="193" t="b">
        <x:v>1</x:v>
      </x:c>
      <x:c r="AA271" s="193" t="b">
        <x:v>0</x:v>
      </x:c>
      <x:c r="AB271" s="193" t="b">
        <x:v>1</x:v>
      </x:c>
      <x:c r="AC271" s="193" t="b">
        <x:v>1</x:v>
      </x:c>
      <x:c r="AD271" s="193" t="b">
        <x:v>1</x:v>
      </x:c>
      <x:c r="AE271" s="193" t="b">
        <x:v>1</x:v>
      </x:c>
      <x:c r="AF271" s="193" t="b">
        <x:v>1</x:v>
      </x:c>
      <x:c r="AG271" s="193" t="b">
        <x:v>1</x:v>
      </x:c>
      <x:c r="AH271" s="193" t="b">
        <x:v>1</x:v>
      </x:c>
      <x:c r="AI271" s="193" t="b">
        <x:v>1</x:v>
      </x:c>
      <x:c r="AJ271" s="193" t="b">
        <x:v>1</x:v>
      </x:c>
    </x:row>
    <x:row r="272">
      <x:c r="A272" s="192" t="n">
        <x:v>850675824952359600</x:v>
      </x:c>
      <x:c r="B272" s="192" t="str">
        <x:v>https://www.airbnb.com.br/rooms/850675824952359571</x:v>
      </x:c>
      <x:c r="C272" s="192" t="str">
        <x:v>(254) No coração de Meia Praia</x:v>
      </x:c>
      <x:c r="D272" s="192" t="str">
        <x:v>Meia Praia</x:v>
      </x:c>
      <x:c r="E272" s="192" t="n">
        <x:v>-27.1299991608</x:v>
      </x:c>
      <x:c r="F272" s="192" t="n">
        <x:v>-48.6030006409</x:v>
      </x:c>
      <x:c r="G272" s="192" t="str">
        <x:v>apartamento</x:v>
      </x:c>
      <x:c r="H272" s="192" t="n">
        <x:v>3</x:v>
      </x:c>
      <x:c r="I272" s="192" t="n">
        <x:v>2</x:v>
      </x:c>
      <x:c r="J272" s="192" t="n">
        <x:v>4</x:v>
      </x:c>
      <x:c r="K272" s="192" t="n">
        <x:v>8</x:v>
      </x:c>
      <x:c r="L272" s="192" t="n">
        <x:v>27</x:v>
      </x:c>
      <x:c r="M272" s="192" t="n">
        <x:v>4.6999998093</x:v>
      </x:c>
      <x:c r="N272" s="192" t="n">
        <x:v>200</x:v>
      </x:c>
      <x:c r="O272" s="192" t="n">
        <x:v>30</x:v>
      </x:c>
      <x:c r="P272" s="193" t="b">
        <x:v>0</x:v>
      </x:c>
      <x:c r="Q272" s="193" t="b">
        <x:v>1</x:v>
      </x:c>
      <x:c r="R272" s="193" t="b">
        <x:v>0</x:v>
      </x:c>
      <x:c r="S272" s="193" t="b">
        <x:v>1</x:v>
      </x:c>
      <x:c r="T272" s="192" t="n">
        <x:v>66</x:v>
      </x:c>
      <x:c r="U272" s="192" t="n">
        <x:v>24</x:v>
      </x:c>
      <x:c r="V272" s="200" t="n">
        <x:v>0.2666666667</x:v>
      </x:c>
      <x:c r="W272" s="203" t="n">
        <x:v>802</x:v>
      </x:c>
      <x:c r="X272" s="203" t="n">
        <x:v>18385.9360260354</x:v>
      </x:c>
      <x:c r="Y272" s="203" t="n">
        <x:v>47535.3054339789</x:v>
      </x:c>
      <x:c r="Z272" s="193" t="b">
        <x:v>1</x:v>
      </x:c>
      <x:c r="AA272" s="193" t="b">
        <x:v>0</x:v>
      </x:c>
      <x:c r="AB272" s="193" t="b">
        <x:v>1</x:v>
      </x:c>
      <x:c r="AC272" s="193" t="b">
        <x:v>1</x:v>
      </x:c>
      <x:c r="AD272" s="193" t="b">
        <x:v>0</x:v>
      </x:c>
      <x:c r="AE272" s="193" t="b">
        <x:v>0</x:v>
      </x:c>
      <x:c r="AF272" s="193" t="b">
        <x:v>1</x:v>
      </x:c>
      <x:c r="AG272" s="193" t="b">
        <x:v>1</x:v>
      </x:c>
      <x:c r="AH272" s="193" t="b">
        <x:v>1</x:v>
      </x:c>
      <x:c r="AI272" s="193" t="b">
        <x:v>1</x:v>
      </x:c>
      <x:c r="AJ272" s="193" t="b">
        <x:v>0</x:v>
      </x:c>
    </x:row>
    <x:row r="273">
      <x:c r="A273" s="192" t="n">
        <x:v>1271171762063321900</x:v>
      </x:c>
      <x:c r="B273" s="192" t="str">
        <x:v>https://www.airbnb.com.br/rooms/1271171762063321920</x:v>
      </x:c>
      <x:c r="C273" s="192" t="str">
        <x:v>Apartamento com vista para o mar SKY Bridge</x:v>
      </x:c>
      <x:c r="D273" s="192" t="str">
        <x:v>Tabuleiro dos Oliveiras</x:v>
      </x:c>
      <x:c r="E273" s="192" t="n">
        <x:v>-27.1083629241</x:v>
      </x:c>
      <x:c r="F273" s="192" t="n">
        <x:v>-48.6148791388</x:v>
      </x:c>
      <x:c r="G273" s="192" t="str">
        <x:v>apartamento</x:v>
      </x:c>
      <x:c r="H273" s="192" t="n">
        <x:v>2</x:v>
      </x:c>
      <x:c r="I273" s="192" t="n">
        <x:v>2</x:v>
      </x:c>
      <x:c r="J273" s="192" t="n">
        <x:v>2</x:v>
      </x:c>
      <x:c r="K273" s="192" t="n">
        <x:v>5</x:v>
      </x:c>
      <x:c r="L273" s="192" t="n">
        <x:v>5</x:v>
      </x:c>
      <x:c r="M273" s="192" t="n">
        <x:v>4.8000001907</x:v>
      </x:c>
      <x:c r="N273" s="192" t="n">
        <x:v>250</x:v>
      </x:c>
      <x:c r="O273" s="192" t="n">
        <x:v>0</x:v>
      </x:c>
      <x:c r="P273" s="193" t="b">
        <x:v>0</x:v>
      </x:c>
      <x:c r="Q273" s="193" t="b">
        <x:v>0</x:v>
      </x:c>
      <x:c r="R273" s="193" t="b">
        <x:v>1</x:v>
      </x:c>
      <x:c r="S273" s="193" t="b">
        <x:v>0</x:v>
      </x:c>
      <x:c r="T273" s="192" t="n">
        <x:v>56</x:v>
      </x:c>
      <x:c r="U273" s="192" t="n">
        <x:v>34</x:v>
      </x:c>
      <x:c r="V273" s="200" t="n">
        <x:v>0.3777777778</x:v>
      </x:c>
      <x:c r="W273" s="203" t="n">
        <x:v>650</x:v>
      </x:c>
      <x:c r="X273" s="203" t="n">
        <x:v>21613.5050003993</x:v>
      </x:c>
      <x:c r="Y273" s="203" t="n">
        <x:v>55879.9160531156</x:v>
      </x:c>
      <x:c r="Z273" s="193" t="b">
        <x:v>1</x:v>
      </x:c>
      <x:c r="AA273" s="193" t="b">
        <x:v>0</x:v>
      </x:c>
      <x:c r="AB273" s="193" t="b">
        <x:v>1</x:v>
      </x:c>
      <x:c r="AC273" s="193" t="b">
        <x:v>1</x:v>
      </x:c>
      <x:c r="AD273" s="193" t="b">
        <x:v>0</x:v>
      </x:c>
      <x:c r="AE273" s="193" t="b">
        <x:v>0</x:v>
      </x:c>
      <x:c r="AF273" s="193" t="b">
        <x:v>1</x:v>
      </x:c>
      <x:c r="AG273" s="193" t="b">
        <x:v>0</x:v>
      </x:c>
      <x:c r="AH273" s="193" t="b">
        <x:v>1</x:v>
      </x:c>
      <x:c r="AI273" s="193" t="b">
        <x:v>1</x:v>
      </x:c>
      <x:c r="AJ273" s="193" t="b">
        <x:v>0</x:v>
      </x:c>
    </x:row>
    <x:row r="274">
      <x:c r="A274" s="192" t="n">
        <x:v>47006355</x:v>
      </x:c>
      <x:c r="B274" s="192" t="str">
        <x:v>https://www.airbnb.com.br/rooms/47006355</x:v>
      </x:c>
      <x:c r="C274" s="192" t="str">
        <x:v>Lindo apartamento FRENTE AO MAR. Vista incrível!</x:v>
      </x:c>
      <x:c r="D274" s="192" t="str">
        <x:v>Meia Praia</x:v>
      </x:c>
      <x:c r="E274" s="192" t="n">
        <x:v>-27.13593</x:v>
      </x:c>
      <x:c r="F274" s="192" t="n">
        <x:v>-48.59386</x:v>
      </x:c>
      <x:c r="G274" s="192" t="str">
        <x:v>apartamento</x:v>
      </x:c>
      <x:c r="H274" s="192" t="n">
        <x:v>3</x:v>
      </x:c>
      <x:c r="I274" s="192" t="n">
        <x:v>1</x:v>
      </x:c>
      <x:c r="J274" s="192" t="n">
        <x:v>7</x:v>
      </x:c>
      <x:c r="K274" s="192" t="n">
        <x:v>8</x:v>
      </x:c>
      <x:c r="L274" s="192" t="n">
        <x:v>27</x:v>
      </x:c>
      <x:c r="M274" s="192" t="n">
        <x:v>4.9299998283</x:v>
      </x:c>
      <x:c r="N274" s="192" t="n">
        <x:v>150</x:v>
      </x:c>
      <x:c r="O274" s="192" t="n">
        <x:v>27</x:v>
      </x:c>
      <x:c r="P274" s="193" t="b">
        <x:v>1</x:v>
      </x:c>
      <x:c r="Q274" s="193" t="b">
        <x:v>0</x:v>
      </x:c>
      <x:c r="R274" s="193" t="b">
        <x:v>1</x:v>
      </x:c>
      <x:c r="S274" s="193" t="b">
        <x:v>1</x:v>
      </x:c>
      <x:c r="T274" s="192" t="n">
        <x:v>38</x:v>
      </x:c>
      <x:c r="U274" s="192" t="n">
        <x:v>52</x:v>
      </x:c>
      <x:c r="V274" s="200" t="n">
        <x:v>0.5777777778</x:v>
      </x:c>
      <x:c r="W274" s="203" t="n">
        <x:v>592</x:v>
      </x:c>
      <x:c r="X274" s="203" t="n">
        <x:v>30782.4588095649</x:v>
      </x:c>
      <x:c r="Y274" s="203" t="n">
        <x:v>79585.4820472293</x:v>
      </x:c>
      <x:c r="Z274" s="193" t="b">
        <x:v>1</x:v>
      </x:c>
      <x:c r="AA274" s="193" t="b">
        <x:v>0</x:v>
      </x:c>
      <x:c r="AB274" s="193" t="b">
        <x:v>1</x:v>
      </x:c>
      <x:c r="AC274" s="193" t="b">
        <x:v>1</x:v>
      </x:c>
      <x:c r="AD274" s="193" t="b">
        <x:v>1</x:v>
      </x:c>
      <x:c r="AE274" s="193" t="b">
        <x:v>1</x:v>
      </x:c>
      <x:c r="AF274" s="193" t="b">
        <x:v>1</x:v>
      </x:c>
      <x:c r="AG274" s="193" t="b">
        <x:v>1</x:v>
      </x:c>
      <x:c r="AH274" s="193" t="b">
        <x:v>1</x:v>
      </x:c>
      <x:c r="AI274" s="193" t="b">
        <x:v>1</x:v>
      </x:c>
      <x:c r="AJ274" s="193" t="b">
        <x:v>1</x:v>
      </x:c>
    </x:row>
    <x:row r="275">
      <x:c r="A275" s="192" t="n">
        <x:v>1181944920258781400</x:v>
      </x:c>
      <x:c r="B275" s="192" t="str">
        <x:v>https://www.airbnb.com.br/rooms/1181944920258781413</x:v>
      </x:c>
      <x:c r="C275" s="192" t="str">
        <x:v>Studio em Edifício com Piscina Vista Mar MHFA0905</x:v>
      </x:c>
      <x:c r="D275" s="192" t="str">
        <x:v>Centro</x:v>
      </x:c>
      <x:c r="E275" s="192" t="n">
        <x:v>-27.0936893</x:v>
      </x:c>
      <x:c r="F275" s="192" t="n">
        <x:v>-48.6131638</x:v>
      </x:c>
      <x:c r="G275" s="192" t="str">
        <x:v>apartamento</x:v>
      </x:c>
      <x:c r="H275" s="192" t="n">
        <x:v>1</x:v>
      </x:c>
      <x:c r="I275" s="192" t="n">
        <x:v>1</x:v>
      </x:c>
      <x:c r="J275" s="192" t="n">
        <x:v>1</x:v>
      </x:c>
      <x:c r="K275" s="192" t="n">
        <x:v>2</x:v>
      </x:c>
      <x:c r="L275" s="192" t="n">
        <x:v>17</x:v>
      </x:c>
      <x:c r="M275" s="192" t="n">
        <x:v>4.7100000381</x:v>
      </x:c>
      <x:c r="N275" s="192" t="n">
        <x:v>150</x:v>
      </x:c>
      <x:c r="O275" s="192" t="n">
        <x:v>0</x:v>
      </x:c>
      <x:c r="P275" s="193" t="b">
        <x:v>1</x:v>
      </x:c>
      <x:c r="Q275" s="193" t="b">
        <x:v>1</x:v>
      </x:c>
      <x:c r="R275" s="193" t="b">
        <x:v>0</x:v>
      </x:c>
      <x:c r="S275" s="193" t="b">
        <x:v>0</x:v>
      </x:c>
      <x:c r="T275" s="192" t="n">
        <x:v>75</x:v>
      </x:c>
      <x:c r="U275" s="192" t="n">
        <x:v>15</x:v>
      </x:c>
      <x:c r="V275" s="200" t="n">
        <x:v>0.1666666667</x:v>
      </x:c>
      <x:c r="W275" s="203" t="n">
        <x:v>372</x:v>
      </x:c>
      <x:c r="X275" s="203" t="n">
        <x:v>5650.7878510696</x:v>
      </x:c>
      <x:c r="Y275" s="203" t="n">
        <x:v>14609.6410899528</x:v>
      </x:c>
      <x:c r="Z275" s="193" t="b">
        <x:v>1</x:v>
      </x:c>
      <x:c r="AA275" s="193" t="b">
        <x:v>1</x:v>
      </x:c>
      <x:c r="AB275" s="193" t="b">
        <x:v>1</x:v>
      </x:c>
      <x:c r="AC275" s="193" t="b">
        <x:v>1</x:v>
      </x:c>
      <x:c r="AD275" s="193" t="b">
        <x:v>1</x:v>
      </x:c>
      <x:c r="AE275" s="193" t="b">
        <x:v>0</x:v>
      </x:c>
      <x:c r="AF275" s="193" t="b">
        <x:v>1</x:v>
      </x:c>
      <x:c r="AG275" s="193" t="b">
        <x:v>1</x:v>
      </x:c>
      <x:c r="AH275" s="193" t="b">
        <x:v>1</x:v>
      </x:c>
      <x:c r="AI275" s="193" t="b">
        <x:v>0</x:v>
      </x:c>
      <x:c r="AJ275" s="193" t="b">
        <x:v>0</x:v>
      </x:c>
    </x:row>
    <x:row r="276">
      <x:c r="A276" s="192" t="n">
        <x:v>22421016</x:v>
      </x:c>
      <x:c r="B276" s="192" t="str">
        <x:v>https://www.airbnb.com.br/rooms/22421016</x:v>
      </x:c>
      <x:c r="C276" s="192" t="str">
        <x:v>Férias no Paraiso</x:v>
      </x:c>
      <x:c r="D276" s="192" t="str">
        <x:v>Centro</x:v>
      </x:c>
      <x:c r="E276" s="192" t="n">
        <x:v>-27.0970001221</x:v>
      </x:c>
      <x:c r="F276" s="192" t="n">
        <x:v>-48.6160011292</x:v>
      </x:c>
      <x:c r="G276" s="192" t="str">
        <x:v>apartamento</x:v>
      </x:c>
      <x:c r="H276" s="192" t="n">
        <x:v>3</x:v>
      </x:c>
      <x:c r="I276" s="192" t="n">
        <x:v>3</x:v>
      </x:c>
      <x:c r="J276" s="192" t="n">
        <x:v>4</x:v>
      </x:c>
      <x:c r="K276" s="192" t="n">
        <x:v>8</x:v>
      </x:c>
      <x:c r="L276" s="192" t="n">
        <x:v>7</x:v>
      </x:c>
      <x:c r="M276" s="192" t="n">
        <x:v>5</x:v>
      </x:c>
      <x:c r="N276" s="192" t="n">
        <x:v>300</x:v>
      </x:c>
      <x:c r="O276" s="192" t="n">
        <x:v>42</x:v>
      </x:c>
      <x:c r="P276" s="193" t="b">
        <x:v>0</x:v>
      </x:c>
      <x:c r="Q276" s="193" t="b">
        <x:v>0</x:v>
      </x:c>
      <x:c r="R276" s="193" t="b">
        <x:v>0</x:v>
      </x:c>
      <x:c r="S276" s="193" t="b">
        <x:v>0</x:v>
      </x:c>
      <x:c r="T276" s="192" t="n">
        <x:v>9</x:v>
      </x:c>
      <x:c r="U276" s="192" t="n">
        <x:v>81</x:v>
      </x:c>
      <x:c r="V276" s="200" t="n">
        <x:v>0.9</x:v>
      </x:c>
      <x:c r="W276" s="203" t="n">
        <x:v>800</x:v>
      </x:c>
      <x:c r="X276" s="203" t="n">
        <x:v>64629.5347294837</x:v>
      </x:c>
      <x:c r="Y276" s="203" t="n">
        <x:v>167094.2762485193</x:v>
      </x:c>
      <x:c r="Z276" s="193" t="b">
        <x:v>0</x:v>
      </x:c>
      <x:c r="AA276" s="193" t="b">
        <x:v>0</x:v>
      </x:c>
      <x:c r="AB276" s="193" t="b">
        <x:v>1</x:v>
      </x:c>
      <x:c r="AC276" s="193" t="b">
        <x:v>1</x:v>
      </x:c>
      <x:c r="AD276" s="193" t="b">
        <x:v>1</x:v>
      </x:c>
      <x:c r="AE276" s="193" t="b">
        <x:v>1</x:v>
      </x:c>
      <x:c r="AF276" s="193" t="b">
        <x:v>1</x:v>
      </x:c>
      <x:c r="AG276" s="193" t="b">
        <x:v>1</x:v>
      </x:c>
      <x:c r="AH276" s="193" t="b">
        <x:v>1</x:v>
      </x:c>
      <x:c r="AI276" s="193" t="b">
        <x:v>1</x:v>
      </x:c>
      <x:c r="AJ276" s="193" t="b">
        <x:v>1</x:v>
      </x:c>
    </x:row>
    <x:row r="277">
      <x:c r="A277" s="192" t="n">
        <x:v>42270655</x:v>
      </x:c>
      <x:c r="B277" s="192" t="str">
        <x:v>https://www.airbnb.com.br/rooms/42270655</x:v>
      </x:c>
      <x:c r="C277" s="192" t="str">
        <x:v>Casa Interpraias com Piscina e Cascata</x:v>
      </x:c>
      <x:c r="D277" s="192" t="str">
        <x:v>Ilhota</x:v>
      </x:c>
      <x:c r="E277" s="192" t="n">
        <x:v>-27.05835</x:v>
      </x:c>
      <x:c r="F277" s="192" t="n">
        <x:v>-48.59616</x:v>
      </x:c>
      <x:c r="G277" s="192" t="str">
        <x:v>casa</x:v>
      </x:c>
      <x:c r="H277" s="192" t="n">
        <x:v>3</x:v>
      </x:c>
      <x:c r="I277" s="192" t="n">
        <x:v>2</x:v>
      </x:c>
      <x:c r="J277" s="192" t="n">
        <x:v>7</x:v>
      </x:c>
      <x:c r="K277" s="192" t="n">
        <x:v>8</x:v>
      </x:c>
      <x:c r="L277" s="192" t="n">
        <x:v>41</x:v>
      </x:c>
      <x:c r="M277" s="192" t="n">
        <x:v>5</x:v>
      </x:c>
      <x:c r="N277" s="192" t="n">
        <x:v>150</x:v>
      </x:c>
      <x:c r="O277" s="192" t="n">
        <x:v>25</x:v>
      </x:c>
      <x:c r="P277" s="193" t="b">
        <x:v>1</x:v>
      </x:c>
      <x:c r="Q277" s="193" t="b">
        <x:v>0</x:v>
      </x:c>
      <x:c r="R277" s="193" t="b">
        <x:v>1</x:v>
      </x:c>
      <x:c r="S277" s="193" t="b">
        <x:v>1</x:v>
      </x:c>
      <x:c r="T277" s="192" t="n">
        <x:v>74</x:v>
      </x:c>
      <x:c r="U277" s="192" t="n">
        <x:v>16</x:v>
      </x:c>
      <x:c r="V277" s="200" t="n">
        <x:v>0.1777777778</x:v>
      </x:c>
      <x:c r="W277" s="203" t="n">
        <x:v>490</x:v>
      </x:c>
      <x:c r="X277" s="203" t="n">
        <x:v>7824.1004870209</x:v>
      </x:c>
      <x:c r="Y277" s="203" t="n">
        <x:v>20228.5598008186</x:v>
      </x:c>
      <x:c r="Z277" s="193" t="b">
        <x:v>1</x:v>
      </x:c>
      <x:c r="AA277" s="193" t="b">
        <x:v>1</x:v>
      </x:c>
      <x:c r="AB277" s="193" t="b">
        <x:v>1</x:v>
      </x:c>
      <x:c r="AC277" s="193" t="b">
        <x:v>1</x:v>
      </x:c>
      <x:c r="AD277" s="193" t="b">
        <x:v>0</x:v>
      </x:c>
      <x:c r="AE277" s="193" t="b">
        <x:v>1</x:v>
      </x:c>
      <x:c r="AF277" s="193" t="b">
        <x:v>1</x:v>
      </x:c>
      <x:c r="AG277" s="193" t="b">
        <x:v>1</x:v>
      </x:c>
      <x:c r="AH277" s="193" t="b">
        <x:v>1</x:v>
      </x:c>
      <x:c r="AI277" s="193" t="b">
        <x:v>1</x:v>
      </x:c>
      <x:c r="AJ277" s="193" t="b">
        <x:v>1</x:v>
      </x:c>
    </x:row>
    <x:row r="278">
      <x:c r="A278" s="192" t="n">
        <x:v>756997201912524300</x:v>
      </x:c>
      <x:c r="B278" s="192" t="str">
        <x:v>https://www.airbnb.com.br/rooms/756997201912524343</x:v>
      </x:c>
      <x:c r="C278" s="192" t="str">
        <x:v>Apartamento para férias totalmente mobiliado</x:v>
      </x:c>
      <x:c r="D278" s="192" t="str">
        <x:v>Meia Praia</x:v>
      </x:c>
      <x:c r="E278" s="192" t="n">
        <x:v>-27.12545</x:v>
      </x:c>
      <x:c r="F278" s="192" t="n">
        <x:v>-48.60509</x:v>
      </x:c>
      <x:c r="G278" s="192" t="str">
        <x:v>apartamento</x:v>
      </x:c>
      <x:c r="H278" s="192" t="n">
        <x:v>3</x:v>
      </x:c>
      <x:c r="I278" s="192" t="n">
        <x:v>3</x:v>
      </x:c>
      <x:c r="J278" s="192" t="n">
        <x:v>4</x:v>
      </x:c>
      <x:c r="K278" s="192" t="n">
        <x:v>8</x:v>
      </x:c>
      <x:c r="L278" s="192" t="n">
        <x:v>6</x:v>
      </x:c>
      <x:c r="M278" s="192" t="n">
        <x:v>5</x:v>
      </x:c>
      <x:c r="N278" s="192" t="n">
        <x:v>300</x:v>
      </x:c>
      <x:c r="O278" s="192" t="n">
        <x:v>14</x:v>
      </x:c>
      <x:c r="P278" s="193" t="b">
        <x:v>0</x:v>
      </x:c>
      <x:c r="Q278" s="193" t="b">
        <x:v>0</x:v>
      </x:c>
      <x:c r="R278" s="193" t="b">
        <x:v>1</x:v>
      </x:c>
      <x:c r="S278" s="193" t="b">
        <x:v>0</x:v>
      </x:c>
      <x:c r="T278" s="192" t="n">
        <x:v>81</x:v>
      </x:c>
      <x:c r="U278" s="192" t="n">
        <x:v>9</x:v>
      </x:c>
      <x:c r="V278" s="200" t="n">
        <x:v>0.1</x:v>
      </x:c>
      <x:c r="W278" s="203" t="n">
        <x:v>850</x:v>
      </x:c>
      <x:c r="X278" s="203" t="n">
        <x:v>7911.847069239</x:v>
      </x:c>
      <x:c r="Y278" s="203" t="n">
        <x:v>20455.4212769285</x:v>
      </x:c>
      <x:c r="Z278" s="193" t="b">
        <x:v>1</x:v>
      </x:c>
      <x:c r="AA278" s="193" t="b">
        <x:v>0</x:v>
      </x:c>
      <x:c r="AB278" s="193" t="b">
        <x:v>1</x:v>
      </x:c>
      <x:c r="AC278" s="193" t="b">
        <x:v>1</x:v>
      </x:c>
      <x:c r="AD278" s="193" t="b">
        <x:v>1</x:v>
      </x:c>
      <x:c r="AE278" s="193" t="b">
        <x:v>1</x:v>
      </x:c>
      <x:c r="AF278" s="193" t="b">
        <x:v>1</x:v>
      </x:c>
      <x:c r="AG278" s="193" t="b">
        <x:v>1</x:v>
      </x:c>
      <x:c r="AH278" s="193" t="b">
        <x:v>1</x:v>
      </x:c>
      <x:c r="AI278" s="193" t="b">
        <x:v>1</x:v>
      </x:c>
      <x:c r="AJ278" s="193" t="b">
        <x:v>1</x:v>
      </x:c>
    </x:row>
    <x:row r="279">
      <x:c r="A279" s="192" t="n">
        <x:v>1233973103621276700</x:v>
      </x:c>
      <x:c r="B279" s="192" t="str">
        <x:v>https://www.airbnb.com.br/rooms/1233973103621276698</x:v>
      </x:c>
      <x:c r="C279" s="192" t="str">
        <x:v>Estúdio Moderno apenas 280m da Praia! - MHFB1307</x:v>
      </x:c>
      <x:c r="D279" s="192" t="str">
        <x:v>Centro</x:v>
      </x:c>
      <x:c r="E279" s="192" t="n">
        <x:v>-27.09306</x:v>
      </x:c>
      <x:c r="F279" s="192" t="n">
        <x:v>-48.61326</x:v>
      </x:c>
      <x:c r="G279" s="192" t="str">
        <x:v>apartamento</x:v>
      </x:c>
      <x:c r="H279" s="192" t="n">
        <x:v>1</x:v>
      </x:c>
      <x:c r="I279" s="192" t="n">
        <x:v>1</x:v>
      </x:c>
      <x:c r="J279" s="192" t="n">
        <x:v>2</x:v>
      </x:c>
      <x:c r="K279" s="192" t="n">
        <x:v>3</x:v>
      </x:c>
      <x:c r="L279" s="192" t="n">
        <x:v>22</x:v>
      </x:c>
      <x:c r="M279" s="192" t="n">
        <x:v>4.9099998474</x:v>
      </x:c>
      <x:c r="N279" s="192" t="n">
        <x:v>160</x:v>
      </x:c>
      <x:c r="O279" s="192" t="n">
        <x:v>0</x:v>
      </x:c>
      <x:c r="P279" s="193" t="b">
        <x:v>1</x:v>
      </x:c>
      <x:c r="Q279" s="193" t="b">
        <x:v>1</x:v>
      </x:c>
      <x:c r="R279" s="193" t="b">
        <x:v>1</x:v>
      </x:c>
      <x:c r="S279" s="193" t="b">
        <x:v>0</x:v>
      </x:c>
      <x:c r="T279" s="192" t="n">
        <x:v>53</x:v>
      </x:c>
      <x:c r="U279" s="192" t="n">
        <x:v>37</x:v>
      </x:c>
      <x:c r="V279" s="200" t="n">
        <x:v>0.4111111111</x:v>
      </x:c>
      <x:c r="W279" s="203" t="n">
        <x:v>372</x:v>
      </x:c>
      <x:c r="X279" s="203" t="n">
        <x:v>14330.3752291238</x:v>
      </x:c>
      <x:c r="Y279" s="203" t="n">
        <x:v>37049.9909569639</x:v>
      </x:c>
      <x:c r="Z279" s="193" t="b">
        <x:v>1</x:v>
      </x:c>
      <x:c r="AA279" s="193" t="b">
        <x:v>1</x:v>
      </x:c>
      <x:c r="AB279" s="193" t="b">
        <x:v>1</x:v>
      </x:c>
      <x:c r="AC279" s="193" t="b">
        <x:v>1</x:v>
      </x:c>
      <x:c r="AD279" s="193" t="b">
        <x:v>1</x:v>
      </x:c>
      <x:c r="AE279" s="193" t="b">
        <x:v>1</x:v>
      </x:c>
      <x:c r="AF279" s="193" t="b">
        <x:v>1</x:v>
      </x:c>
      <x:c r="AG279" s="193" t="b">
        <x:v>1</x:v>
      </x:c>
      <x:c r="AH279" s="193" t="b">
        <x:v>1</x:v>
      </x:c>
      <x:c r="AI279" s="193" t="b">
        <x:v>1</x:v>
      </x:c>
      <x:c r="AJ279" s="193" t="b">
        <x:v>0</x:v>
      </x:c>
    </x:row>
    <x:row r="280">
      <x:c r="A280" s="192" t="n">
        <x:v>38319706</x:v>
      </x:c>
      <x:c r="B280" s="192" t="str">
        <x:v>https://www.airbnb.com.br/rooms/38319706</x:v>
      </x:c>
      <x:c r="C280" s="192" t="str">
        <x:v>Apto Meia Praia 170 metros do mar…5 min a pé</x:v>
      </x:c>
      <x:c r="D280" s="192" t="str">
        <x:v>Meia Praia</x:v>
      </x:c>
      <x:c r="E280" s="192" t="n">
        <x:v>-27.14247</x:v>
      </x:c>
      <x:c r="F280" s="192" t="n">
        <x:v>-48.59146</x:v>
      </x:c>
      <x:c r="G280" s="192" t="str">
        <x:v>apartamento</x:v>
      </x:c>
      <x:c r="H280" s="192" t="n">
        <x:v>3</x:v>
      </x:c>
      <x:c r="I280" s="192" t="n">
        <x:v>2</x:v>
      </x:c>
      <x:c r="J280" s="192" t="n">
        <x:v>6</x:v>
      </x:c>
      <x:c r="K280" s="192" t="n">
        <x:v>7</x:v>
      </x:c>
      <x:c r="L280" s="192" t="n">
        <x:v>40</x:v>
      </x:c>
      <x:c r="M280" s="192" t="n">
        <x:v>5</x:v>
      </x:c>
      <x:c r="N280" s="192" t="n">
        <x:v>350</x:v>
      </x:c>
      <x:c r="O280" s="192" t="n">
        <x:v>29</x:v>
      </x:c>
      <x:c r="P280" s="193" t="b">
        <x:v>0</x:v>
      </x:c>
      <x:c r="Q280" s="193" t="b">
        <x:v>0</x:v>
      </x:c>
      <x:c r="R280" s="193" t="b">
        <x:v>1</x:v>
      </x:c>
      <x:c r="S280" s="193" t="b">
        <x:v>0</x:v>
      </x:c>
      <x:c r="T280" s="192" t="n">
        <x:v>79</x:v>
      </x:c>
      <x:c r="U280" s="192" t="n">
        <x:v>11</x:v>
      </x:c>
      <x:c r="V280" s="200" t="n">
        <x:v>0.1222222222</x:v>
      </x:c>
      <x:c r="W280" s="203" t="n">
        <x:v>590</x:v>
      </x:c>
      <x:c r="X280" s="203" t="n">
        <x:v>6452.9940519152</x:v>
      </x:c>
      <x:c r="Y280" s="203" t="n">
        <x:v>16683.6783717225</x:v>
      </x:c>
      <x:c r="Z280" s="193" t="b">
        <x:v>1</x:v>
      </x:c>
      <x:c r="AA280" s="193" t="b">
        <x:v>0</x:v>
      </x:c>
      <x:c r="AB280" s="193" t="b">
        <x:v>1</x:v>
      </x:c>
      <x:c r="AC280" s="193" t="b">
        <x:v>1</x:v>
      </x:c>
      <x:c r="AD280" s="193" t="b">
        <x:v>1</x:v>
      </x:c>
      <x:c r="AE280" s="193" t="b">
        <x:v>1</x:v>
      </x:c>
      <x:c r="AF280" s="193" t="b">
        <x:v>1</x:v>
      </x:c>
      <x:c r="AG280" s="193" t="b">
        <x:v>1</x:v>
      </x:c>
      <x:c r="AH280" s="193" t="b">
        <x:v>1</x:v>
      </x:c>
      <x:c r="AI280" s="193" t="b">
        <x:v>1</x:v>
      </x:c>
      <x:c r="AJ280" s="193" t="b">
        <x:v>1</x:v>
      </x:c>
    </x:row>
    <x:row r="281">
      <x:c r="A281" s="192" t="n">
        <x:v>39007372</x:v>
      </x:c>
      <x:c r="B281" s="192" t="str">
        <x:v>https://www.airbnb.com.br/rooms/39007372</x:v>
      </x:c>
      <x:c r="C281" s="192" t="str">
        <x:v>Apartamento 3 suítes próximo ao mar. Meia praia</x:v>
      </x:c>
      <x:c r="D281" s="192" t="str">
        <x:v>Meia Praia</x:v>
      </x:c>
      <x:c r="E281" s="192" t="n">
        <x:v>-27.1390209198</x:v>
      </x:c>
      <x:c r="F281" s="192" t="n">
        <x:v>-48.5993270874</x:v>
      </x:c>
      <x:c r="G281" s="192" t="str">
        <x:v>apartamento</x:v>
      </x:c>
      <x:c r="H281" s="192" t="n">
        <x:v>3</x:v>
      </x:c>
      <x:c r="I281" s="192" t="n">
        <x:v>3</x:v>
      </x:c>
      <x:c r="J281" s="192" t="n">
        <x:v>3</x:v>
      </x:c>
      <x:c r="K281" s="192" t="n">
        <x:v>6</x:v>
      </x:c>
      <x:c r="L281" s="192" t="n">
        <x:v>9</x:v>
      </x:c>
      <x:c r="M281" s="192" t="n">
        <x:v>5</x:v>
      </x:c>
      <x:c r="N281" s="192" t="n">
        <x:v>250</x:v>
      </x:c>
      <x:c r="O281" s="192" t="n">
        <x:v>15</x:v>
      </x:c>
      <x:c r="P281" s="193" t="b">
        <x:v>0</x:v>
      </x:c>
      <x:c r="Q281" s="193" t="b">
        <x:v>0</x:v>
      </x:c>
      <x:c r="R281" s="193" t="b">
        <x:v>0</x:v>
      </x:c>
      <x:c r="S281" s="193" t="b">
        <x:v>0</x:v>
      </x:c>
      <x:c r="T281" s="192" t="n">
        <x:v>88</x:v>
      </x:c>
      <x:c r="U281" s="192" t="n">
        <x:v>2</x:v>
      </x:c>
      <x:c r="V281" s="200" t="n">
        <x:v>0.0222222222</x:v>
      </x:c>
      <x:c r="W281" s="203" t="n">
        <x:v>1100</x:v>
      </x:c>
      <x:c r="X281" s="203" t="n">
        <x:v>2251.8090598288</x:v>
      </x:c>
      <x:c r="Y281" s="203" t="n">
        <x:v>5821.8646734324</x:v>
      </x:c>
      <x:c r="Z281" s="193" t="b">
        <x:v>1</x:v>
      </x:c>
      <x:c r="AA281" s="193" t="b">
        <x:v>0</x:v>
      </x:c>
      <x:c r="AB281" s="193" t="b">
        <x:v>1</x:v>
      </x:c>
      <x:c r="AC281" s="193" t="b">
        <x:v>1</x:v>
      </x:c>
      <x:c r="AD281" s="193" t="b">
        <x:v>1</x:v>
      </x:c>
      <x:c r="AE281" s="193" t="b">
        <x:v>0</x:v>
      </x:c>
      <x:c r="AF281" s="193" t="b">
        <x:v>1</x:v>
      </x:c>
      <x:c r="AG281" s="193" t="b">
        <x:v>1</x:v>
      </x:c>
      <x:c r="AH281" s="193" t="b">
        <x:v>1</x:v>
      </x:c>
      <x:c r="AI281" s="193" t="b">
        <x:v>1</x:v>
      </x:c>
      <x:c r="AJ281" s="193" t="b">
        <x:v>0</x:v>
      </x:c>
    </x:row>
    <x:row r="282">
      <x:c r="A282" s="192" t="n">
        <x:v>1074031328011240000</x:v>
      </x:c>
      <x:c r="B282" s="192" t="str">
        <x:v>https://www.airbnb.com.br/rooms/1074031328011239995</x:v>
      </x:c>
      <x:c r="C282" s="192" t="str">
        <x:v>Casa com Piscina à 650m da Praia para 15 Hóspedes</x:v>
      </x:c>
      <x:c r="D282" s="192" t="str">
        <x:v>Varzea</x:v>
      </x:c>
      <x:c r="E282" s="192" t="n">
        <x:v>-27.0957813</x:v>
      </x:c>
      <x:c r="F282" s="192" t="n">
        <x:v>-48.6195685</x:v>
      </x:c>
      <x:c r="G282" s="192" t="str">
        <x:v>casa</x:v>
      </x:c>
      <x:c r="H282" s="192" t="n">
        <x:v>5</x:v>
      </x:c>
      <x:c r="I282" s="192" t="n">
        <x:v>1</x:v>
      </x:c>
      <x:c r="J282" s="192" t="n">
        <x:v>7</x:v>
      </x:c>
      <x:c r="K282" s="192" t="n">
        <x:v>15</x:v>
      </x:c>
      <x:c r="L282" s="192" t="n">
        <x:v>4</x:v>
      </x:c>
      <x:c r="M282" s="192" t="n">
        <x:v>5</x:v>
      </x:c>
      <x:c r="N282" s="192" t="n">
        <x:v>300</x:v>
      </x:c>
      <x:c r="O282" s="192" t="n">
        <x:v>12</x:v>
      </x:c>
      <x:c r="P282" s="193" t="b">
        <x:v>0</x:v>
      </x:c>
      <x:c r="Q282" s="193" t="b">
        <x:v>0</x:v>
      </x:c>
      <x:c r="R282" s="193" t="b">
        <x:v>0</x:v>
      </x:c>
      <x:c r="S282" s="193" t="b">
        <x:v>0</x:v>
      </x:c>
      <x:c r="T282" s="192" t="n">
        <x:v>89</x:v>
      </x:c>
      <x:c r="U282" s="192" t="n">
        <x:v>1</x:v>
      </x:c>
      <x:c r="V282" s="200" t="n">
        <x:v>0.0111111111</x:v>
      </x:c>
      <x:c r="W282" s="203" t="n">
        <x:v>1500</x:v>
      </x:c>
      <x:c r="X282" s="203" t="n">
        <x:v>1432.3407467268</x:v>
      </x:c>
      <x:c r="Y282" s="203" t="n">
        <x:v>3703.1976389334</x:v>
      </x:c>
      <x:c r="Z282" s="193" t="b">
        <x:v>1</x:v>
      </x:c>
      <x:c r="AA282" s="193" t="b">
        <x:v>1</x:v>
      </x:c>
      <x:c r="AB282" s="193" t="b">
        <x:v>1</x:v>
      </x:c>
      <x:c r="AC282" s="193" t="b">
        <x:v>1</x:v>
      </x:c>
      <x:c r="AD282" s="193" t="b">
        <x:v>0</x:v>
      </x:c>
      <x:c r="AE282" s="193" t="b">
        <x:v>0</x:v>
      </x:c>
      <x:c r="AF282" s="193" t="b">
        <x:v>1</x:v>
      </x:c>
      <x:c r="AG282" s="193" t="b">
        <x:v>1</x:v>
      </x:c>
      <x:c r="AH282" s="193" t="b">
        <x:v>1</x:v>
      </x:c>
      <x:c r="AI282" s="193" t="b">
        <x:v>1</x:v>
      </x:c>
      <x:c r="AJ282" s="193" t="b">
        <x:v>0</x:v>
      </x:c>
    </x:row>
    <x:row r="283">
      <x:c r="A283" s="192" t="n">
        <x:v>22421421</x:v>
      </x:c>
      <x:c r="B283" s="192" t="str">
        <x:v>https://www.airbnb.com.br/rooms/22421421</x:v>
      </x:c>
      <x:c r="C283" s="192" t="str">
        <x:v>DS1 Casa pátio e piscina privativa meia praia</x:v>
      </x:c>
      <x:c r="D283" s="192" t="str">
        <x:v>Morretes</x:v>
      </x:c>
      <x:c r="E283" s="192" t="n">
        <x:v>-27.11609</x:v>
      </x:c>
      <x:c r="F283" s="192" t="n">
        <x:v>-48.61405</x:v>
      </x:c>
      <x:c r="G283" s="192" t="str">
        <x:v>casa</x:v>
      </x:c>
      <x:c r="H283" s="192" t="n">
        <x:v>2</x:v>
      </x:c>
      <x:c r="I283" s="192" t="n">
        <x:v>1</x:v>
      </x:c>
      <x:c r="J283" s="192" t="n">
        <x:v>5</x:v>
      </x:c>
      <x:c r="K283" s="192" t="n">
        <x:v>11</x:v>
      </x:c>
      <x:c r="L283" s="192" t="n">
        <x:v>4</x:v>
      </x:c>
      <x:c r="M283" s="192" t="n">
        <x:v>4.5</x:v>
      </x:c>
      <x:c r="N283" s="192" t="n">
        <x:v>100</x:v>
      </x:c>
      <x:c r="O283" s="192" t="n">
        <x:v>23</x:v>
      </x:c>
      <x:c r="P283" s="193" t="b">
        <x:v>0</x:v>
      </x:c>
      <x:c r="Q283" s="193" t="b">
        <x:v>0</x:v>
      </x:c>
      <x:c r="R283" s="193" t="b">
        <x:v>0</x:v>
      </x:c>
      <x:c r="S283" s="193" t="b">
        <x:v>0</x:v>
      </x:c>
      <x:c r="T283" s="192" t="n">
        <x:v>46</x:v>
      </x:c>
      <x:c r="U283" s="192" t="n">
        <x:v>44</x:v>
      </x:c>
      <x:c r="V283" s="200" t="n">
        <x:v>0.4888888889</x:v>
      </x:c>
      <x:c r="W283" s="203" t="n">
        <x:v>347</x:v>
      </x:c>
      <x:c r="X283" s="203" t="n">
        <x:v>15381.8076806678</x:v>
      </x:c>
      <x:c r="Y283" s="203" t="n">
        <x:v>39768.3819410597</x:v>
      </x:c>
      <x:c r="Z283" s="193" t="b">
        <x:v>1</x:v>
      </x:c>
      <x:c r="AA283" s="193" t="b">
        <x:v>1</x:v>
      </x:c>
      <x:c r="AB283" s="193" t="b">
        <x:v>1</x:v>
      </x:c>
      <x:c r="AC283" s="193" t="b">
        <x:v>1</x:v>
      </x:c>
      <x:c r="AD283" s="193" t="b">
        <x:v>0</x:v>
      </x:c>
      <x:c r="AE283" s="193" t="b">
        <x:v>1</x:v>
      </x:c>
      <x:c r="AF283" s="193" t="b">
        <x:v>1</x:v>
      </x:c>
      <x:c r="AG283" s="193" t="b">
        <x:v>1</x:v>
      </x:c>
      <x:c r="AH283" s="193" t="b">
        <x:v>1</x:v>
      </x:c>
      <x:c r="AI283" s="193" t="b">
        <x:v>1</x:v>
      </x:c>
      <x:c r="AJ283" s="193" t="b">
        <x:v>1</x:v>
      </x:c>
    </x:row>
    <x:row r="284">
      <x:c r="A284" s="192" t="n">
        <x:v>31055581</x:v>
      </x:c>
      <x:c r="B284" s="192" t="str">
        <x:v>https://www.airbnb.com.br/rooms/31055581</x:v>
      </x:c>
      <x:c r="C284" s="192" t="str">
        <x:v>Apto Quadra-mar, 2 banheiros, Wi-Fi 40MB, Ar Cond</x:v>
      </x:c>
      <x:c r="D284" s="192" t="str">
        <x:v>Meia Praia</x:v>
      </x:c>
      <x:c r="E284" s="192" t="n">
        <x:v>-27.1322631836</x:v>
      </x:c>
      <x:c r="F284" s="192" t="n">
        <x:v>-48.5976104736</x:v>
      </x:c>
      <x:c r="G284" s="192" t="str">
        <x:v>apartamento</x:v>
      </x:c>
      <x:c r="H284" s="192" t="n">
        <x:v>2</x:v>
      </x:c>
      <x:c r="I284" s="192" t="n">
        <x:v>2</x:v>
      </x:c>
      <x:c r="J284" s="192" t="n">
        <x:v>5</x:v>
      </x:c>
      <x:c r="K284" s="192" t="n">
        <x:v>6</x:v>
      </x:c>
      <x:c r="L284" s="192" t="n">
        <x:v>66</x:v>
      </x:c>
      <x:c r="M284" s="192" t="n">
        <x:v>4.7899999619</x:v>
      </x:c>
      <x:c r="N284" s="192" t="n">
        <x:v>315</x:v>
      </x:c>
      <x:c r="O284" s="192" t="n">
        <x:v>39</x:v>
      </x:c>
      <x:c r="P284" s="193" t="b">
        <x:v>0</x:v>
      </x:c>
      <x:c r="Q284" s="193" t="b">
        <x:v>0</x:v>
      </x:c>
      <x:c r="R284" s="193" t="b">
        <x:v>0</x:v>
      </x:c>
      <x:c r="S284" s="193" t="b">
        <x:v>0</x:v>
      </x:c>
      <x:c r="T284" s="192" t="n">
        <x:v>69</x:v>
      </x:c>
      <x:c r="U284" s="192" t="n">
        <x:v>21</x:v>
      </x:c>
      <x:c r="V284" s="200" t="n">
        <x:v>0.2333333333</x:v>
      </x:c>
      <x:c r="W284" s="203" t="n">
        <x:v>415</x:v>
      </x:c>
      <x:c r="X284" s="203" t="n">
        <x:v>9418.7159939768</x:v>
      </x:c>
      <x:c r="Y284" s="203" t="n">
        <x:v>24351.3053094275</x:v>
      </x:c>
      <x:c r="Z284" s="193" t="b">
        <x:v>1</x:v>
      </x:c>
      <x:c r="AA284" s="193" t="b">
        <x:v>0</x:v>
      </x:c>
      <x:c r="AB284" s="193" t="b">
        <x:v>1</x:v>
      </x:c>
      <x:c r="AC284" s="193" t="b">
        <x:v>1</x:v>
      </x:c>
      <x:c r="AD284" s="193" t="b">
        <x:v>0</x:v>
      </x:c>
      <x:c r="AE284" s="193" t="b">
        <x:v>0</x:v>
      </x:c>
      <x:c r="AF284" s="193" t="b">
        <x:v>0</x:v>
      </x:c>
      <x:c r="AG284" s="193" t="b">
        <x:v>1</x:v>
      </x:c>
      <x:c r="AH284" s="193" t="b">
        <x:v>1</x:v>
      </x:c>
      <x:c r="AI284" s="193" t="b">
        <x:v>1</x:v>
      </x:c>
      <x:c r="AJ284" s="193" t="b">
        <x:v>1</x:v>
      </x:c>
    </x:row>
    <x:row r="285">
      <x:c r="A285" s="192" t="n">
        <x:v>51669111</x:v>
      </x:c>
      <x:c r="B285" s="192" t="str">
        <x:v>https://www.airbnb.com.br/rooms/51669111</x:v>
      </x:c>
      <x:c r="C285" s="192" t="str">
        <x:v>Itapema 289 Cobertura</x:v>
      </x:c>
      <x:c r="D285" s="192" t="str">
        <x:v>Meia Praia</x:v>
      </x:c>
      <x:c r="E285" s="192" t="n">
        <x:v>-27.13891</x:v>
      </x:c>
      <x:c r="F285" s="192" t="n">
        <x:v>-48.59301</x:v>
      </x:c>
      <x:c r="G285" s="192" t="str">
        <x:v>apartamento</x:v>
      </x:c>
      <x:c r="H285" s="192" t="n">
        <x:v>3</x:v>
      </x:c>
      <x:c r="I285" s="192" t="n">
        <x:v>2</x:v>
      </x:c>
      <x:c r="J285" s="192" t="n">
        <x:v>3</x:v>
      </x:c>
      <x:c r="K285" s="192" t="n">
        <x:v>8</x:v>
      </x:c>
      <x:c r="L285" s="192" t="n">
        <x:v>8</x:v>
      </x:c>
      <x:c r="M285" s="192" t="n">
        <x:v>5</x:v>
      </x:c>
      <x:c r="N285" s="192" t="n">
        <x:v>300</x:v>
      </x:c>
      <x:c r="O285" s="192" t="n">
        <x:v>57</x:v>
      </x:c>
      <x:c r="P285" s="193" t="b">
        <x:v>1</x:v>
      </x:c>
      <x:c r="Q285" s="193" t="b">
        <x:v>0</x:v>
      </x:c>
      <x:c r="R285" s="193" t="b">
        <x:v>0</x:v>
      </x:c>
      <x:c r="S285" s="193" t="b">
        <x:v>1</x:v>
      </x:c>
      <x:c r="T285" s="192" t="n">
        <x:v>87</x:v>
      </x:c>
      <x:c r="U285" s="192" t="n">
        <x:v>3</x:v>
      </x:c>
      <x:c r="V285" s="200" t="n">
        <x:v>0.0333333333</x:v>
      </x:c>
      <x:c r="W285" s="203" t="n">
        <x:v>600</x:v>
      </x:c>
      <x:c r="X285" s="203" t="n">
        <x:v>1801.1957858701</x:v>
      </x:c>
      <x:c r="Y285" s="203" t="n">
        <x:v>4656.8416047183</x:v>
      </x:c>
      <x:c r="Z285" s="193" t="b">
        <x:v>1</x:v>
      </x:c>
      <x:c r="AA285" s="193" t="b">
        <x:v>0</x:v>
      </x:c>
      <x:c r="AB285" s="193" t="b">
        <x:v>1</x:v>
      </x:c>
      <x:c r="AC285" s="193" t="b">
        <x:v>1</x:v>
      </x:c>
      <x:c r="AD285" s="193" t="b">
        <x:v>1</x:v>
      </x:c>
      <x:c r="AE285" s="193" t="b">
        <x:v>1</x:v>
      </x:c>
      <x:c r="AF285" s="193" t="b">
        <x:v>1</x:v>
      </x:c>
      <x:c r="AG285" s="193" t="b">
        <x:v>1</x:v>
      </x:c>
      <x:c r="AH285" s="193" t="b">
        <x:v>1</x:v>
      </x:c>
      <x:c r="AI285" s="193" t="b">
        <x:v>1</x:v>
      </x:c>
      <x:c r="AJ285" s="193" t="b">
        <x:v>1</x:v>
      </x:c>
    </x:row>
    <x:row r="286">
      <x:c r="A286" s="192" t="n">
        <x:v>49369605</x:v>
      </x:c>
      <x:c r="B286" s="192" t="str">
        <x:v>https://www.airbnb.com.br/rooms/49369605</x:v>
      </x:c>
      <x:c r="C286" s="192" t="str">
        <x:v>Apartamento quadra mar</x:v>
      </x:c>
      <x:c r="D286" s="192" t="str">
        <x:v>Meia Praia</x:v>
      </x:c>
      <x:c r="E286" s="192" t="n">
        <x:v>-27.14059</x:v>
      </x:c>
      <x:c r="F286" s="192" t="n">
        <x:v>-48.59244</x:v>
      </x:c>
      <x:c r="G286" s="192" t="str">
        <x:v>apartamento</x:v>
      </x:c>
      <x:c r="H286" s="192" t="n">
        <x:v>3</x:v>
      </x:c>
      <x:c r="I286" s="192" t="n">
        <x:v>2</x:v>
      </x:c>
      <x:c r="J286" s="192" t="n">
        <x:v>0</x:v>
      </x:c>
      <x:c r="K286" s="192" t="n">
        <x:v>8</x:v>
      </x:c>
      <x:c r="L286" s="192" t="n">
        <x:v>12</x:v>
      </x:c>
      <x:c r="M286" s="192" t="n">
        <x:v>4.75</x:v>
      </x:c>
      <x:c r="N286" s="192" t="n">
        <x:v>220</x:v>
      </x:c>
      <x:c r="O286" s="192" t="n">
        <x:v>39</x:v>
      </x:c>
      <x:c r="P286" s="193" t="b">
        <x:v>0</x:v>
      </x:c>
      <x:c r="Q286" s="193" t="b">
        <x:v>0</x:v>
      </x:c>
      <x:c r="R286" s="193" t="b">
        <x:v>1</x:v>
      </x:c>
      <x:c r="S286" s="193" t="b">
        <x:v>0</x:v>
      </x:c>
      <x:c r="T286" s="192" t="n">
        <x:v>10</x:v>
      </x:c>
      <x:c r="U286" s="192" t="n">
        <x:v>80</x:v>
      </x:c>
      <x:c r="V286" s="200" t="n">
        <x:v>0.8888888889</x:v>
      </x:c>
      <x:c r="W286" s="203" t="n">
        <x:v>206.166665</x:v>
      </x:c>
      <x:c r="X286" s="203" t="n">
        <x:v>16543.8164929209</x:v>
      </x:c>
      <x:c r="Y286" s="203" t="n">
        <x:v>42772.6588910726</x:v>
      </x:c>
      <x:c r="Z286" s="193" t="b">
        <x:v>0</x:v>
      </x:c>
      <x:c r="AA286" s="193" t="b">
        <x:v>0</x:v>
      </x:c>
      <x:c r="AB286" s="193" t="b">
        <x:v>1</x:v>
      </x:c>
      <x:c r="AC286" s="193" t="b">
        <x:v>1</x:v>
      </x:c>
      <x:c r="AD286" s="193" t="b">
        <x:v>1</x:v>
      </x:c>
      <x:c r="AE286" s="193" t="b">
        <x:v>0</x:v>
      </x:c>
      <x:c r="AF286" s="193" t="b">
        <x:v>1</x:v>
      </x:c>
      <x:c r="AG286" s="193" t="b">
        <x:v>1</x:v>
      </x:c>
      <x:c r="AH286" s="193" t="b">
        <x:v>1</x:v>
      </x:c>
      <x:c r="AI286" s="193" t="b">
        <x:v>1</x:v>
      </x:c>
      <x:c r="AJ286" s="193" t="b">
        <x:v>1</x:v>
      </x:c>
    </x:row>
    <x:row r="287">
      <x:c r="A287" s="192" t="n">
        <x:v>1303745304497797000</x:v>
      </x:c>
      <x:c r="B287" s="192" t="str">
        <x:v>https://www.airbnb.com.br/rooms/1303745304497797235</x:v>
      </x:c>
      <x:c r="C287" s="192" t="str">
        <x:v>Apto Vista Mar apenas 280m da Praia MHF1602</x:v>
      </x:c>
      <x:c r="D287" s="192" t="str">
        <x:v>Centro</x:v>
      </x:c>
      <x:c r="E287" s="192" t="n">
        <x:v>-27.0936893</x:v>
      </x:c>
      <x:c r="F287" s="192" t="n">
        <x:v>-48.6131638</x:v>
      </x:c>
      <x:c r="G287" s="192" t="str">
        <x:v>apartamento</x:v>
      </x:c>
      <x:c r="H287" s="192" t="n">
        <x:v>2</x:v>
      </x:c>
      <x:c r="I287" s="192" t="n">
        <x:v>1</x:v>
      </x:c>
      <x:c r="J287" s="192" t="n">
        <x:v>2</x:v>
      </x:c>
      <x:c r="K287" s="192" t="n">
        <x:v>4</x:v>
      </x:c>
      <x:c r="L287" s="192" t="n">
        <x:v>1</x:v>
      </x:c>
      <x:c r="M287" s="192" t="n">
        <x:v>5</x:v>
      </x:c>
      <x:c r="N287" s="192" t="n">
        <x:v>240</x:v>
      </x:c>
      <x:c r="O287" s="192" t="n">
        <x:v>0</x:v>
      </x:c>
      <x:c r="P287" s="193" t="b">
        <x:v>1</x:v>
      </x:c>
      <x:c r="Q287" s="193" t="b">
        <x:v>1</x:v>
      </x:c>
      <x:c r="R287" s="193" t="b">
        <x:v>0</x:v>
      </x:c>
      <x:c r="S287" s="193" t="b">
        <x:v>0</x:v>
      </x:c>
      <x:c r="T287" s="192" t="n">
        <x:v>70</x:v>
      </x:c>
      <x:c r="U287" s="192" t="n">
        <x:v>20</x:v>
      </x:c>
      <x:c r="V287" s="200" t="n">
        <x:v>0.2222222222</x:v>
      </x:c>
      <x:c r="W287" s="203" t="n">
        <x:v>627.75</x:v>
      </x:c>
      <x:c r="X287" s="203" t="n">
        <x:v>12608.7673501736</x:v>
      </x:c>
      <x:c r="Y287" s="203" t="n">
        <x:v>32598.9172532614</x:v>
      </x:c>
      <x:c r="Z287" s="193" t="b">
        <x:v>1</x:v>
      </x:c>
      <x:c r="AA287" s="193" t="b">
        <x:v>1</x:v>
      </x:c>
      <x:c r="AB287" s="193" t="b">
        <x:v>1</x:v>
      </x:c>
      <x:c r="AC287" s="193" t="b">
        <x:v>1</x:v>
      </x:c>
      <x:c r="AD287" s="193" t="b">
        <x:v>1</x:v>
      </x:c>
      <x:c r="AE287" s="193" t="b">
        <x:v>1</x:v>
      </x:c>
      <x:c r="AF287" s="193" t="b">
        <x:v>1</x:v>
      </x:c>
      <x:c r="AG287" s="193" t="b">
        <x:v>1</x:v>
      </x:c>
      <x:c r="AH287" s="193" t="b">
        <x:v>1</x:v>
      </x:c>
      <x:c r="AI287" s="193" t="b">
        <x:v>1</x:v>
      </x:c>
      <x:c r="AJ287" s="193" t="b">
        <x:v>0</x:v>
      </x:c>
    </x:row>
    <x:row r="288">
      <x:c r="A288" s="192" t="n">
        <x:v>23263225</x:v>
      </x:c>
      <x:c r="B288" s="192" t="str">
        <x:v>https://www.airbnb.com.br/rooms/23263225</x:v>
      </x:c>
      <x:c r="C288" s="192" t="str">
        <x:v>Studio com promoção nas diárias* Confira!</x:v>
      </x:c>
      <x:c r="D288" s="192" t="str">
        <x:v>Centro</x:v>
      </x:c>
      <x:c r="E288" s="192" t="n">
        <x:v>-27.09164</x:v>
      </x:c>
      <x:c r="F288" s="192" t="n">
        <x:v>-48.6145</x:v>
      </x:c>
      <x:c r="G288" s="192" t="str">
        <x:v>casa</x:v>
      </x:c>
      <x:c r="H288" s="192" t="n">
        <x:v>1</x:v>
      </x:c>
      <x:c r="I288" s="192" t="n">
        <x:v>1</x:v>
      </x:c>
      <x:c r="J288" s="192" t="n">
        <x:v>2</x:v>
      </x:c>
      <x:c r="K288" s="192" t="n">
        <x:v>4</x:v>
      </x:c>
      <x:c r="L288" s="192" t="n">
        <x:v>40</x:v>
      </x:c>
      <x:c r="M288" s="192" t="n">
        <x:v>4.8299999237</x:v>
      </x:c>
      <x:c r="N288" s="192" t="n">
        <x:v>200</x:v>
      </x:c>
      <x:c r="O288" s="192" t="n">
        <x:v>23</x:v>
      </x:c>
      <x:c r="P288" s="193" t="b">
        <x:v>0</x:v>
      </x:c>
      <x:c r="Q288" s="193" t="b">
        <x:v>0</x:v>
      </x:c>
      <x:c r="R288" s="193" t="b">
        <x:v>0</x:v>
      </x:c>
      <x:c r="S288" s="193" t="b">
        <x:v>0</x:v>
      </x:c>
      <x:c r="T288" s="192" t="n">
        <x:v>11</x:v>
      </x:c>
      <x:c r="U288" s="192" t="n">
        <x:v>79</x:v>
      </x:c>
      <x:c r="V288" s="200" t="n">
        <x:v>0.8777777778</x:v>
      </x:c>
      <x:c r="W288" s="203" t="n">
        <x:v>283</x:v>
      </x:c>
      <x:c r="X288" s="203" t="n">
        <x:v>22364.5551740307</x:v>
      </x:c>
      <x:c r="Y288" s="203" t="n">
        <x:v>57821.6936895252</x:v>
      </x:c>
      <x:c r="Z288" s="193" t="b">
        <x:v>0</x:v>
      </x:c>
      <x:c r="AA288" s="193" t="b">
        <x:v>0</x:v>
      </x:c>
      <x:c r="AB288" s="193" t="b">
        <x:v>1</x:v>
      </x:c>
      <x:c r="AC288" s="193" t="b">
        <x:v>1</x:v>
      </x:c>
      <x:c r="AD288" s="193" t="b">
        <x:v>0</x:v>
      </x:c>
      <x:c r="AE288" s="193" t="b">
        <x:v>1</x:v>
      </x:c>
      <x:c r="AF288" s="193" t="b">
        <x:v>0</x:v>
      </x:c>
      <x:c r="AG288" s="193" t="b">
        <x:v>1</x:v>
      </x:c>
      <x:c r="AH288" s="193" t="b">
        <x:v>1</x:v>
      </x:c>
      <x:c r="AI288" s="193" t="b">
        <x:v>1</x:v>
      </x:c>
      <x:c r="AJ288" s="193" t="b">
        <x:v>1</x:v>
      </x:c>
    </x:row>
    <x:row r="289">
      <x:c r="A289" s="192" t="n">
        <x:v>38447436</x:v>
      </x:c>
      <x:c r="B289" s="192" t="str">
        <x:v>https://www.airbnb.com.br/rooms/38447436</x:v>
      </x:c>
      <x:c r="C289" s="192" t="str">
        <x:v>Pé na areia, com conforto!</x:v>
      </x:c>
      <x:c r="D289" s="192" t="str">
        <x:v>Meia Praia</x:v>
      </x:c>
      <x:c r="E289" s="192" t="n">
        <x:v>-27.13797</x:v>
      </x:c>
      <x:c r="F289" s="192" t="n">
        <x:v>-48.59189</x:v>
      </x:c>
      <x:c r="G289" s="192" t="str">
        <x:v>apartamento</x:v>
      </x:c>
      <x:c r="H289" s="192" t="n">
        <x:v>3</x:v>
      </x:c>
      <x:c r="I289" s="192" t="n">
        <x:v>2</x:v>
      </x:c>
      <x:c r="J289" s="192" t="n">
        <x:v>5</x:v>
      </x:c>
      <x:c r="K289" s="192" t="n">
        <x:v>7</x:v>
      </x:c>
      <x:c r="L289" s="192" t="n">
        <x:v>19</x:v>
      </x:c>
      <x:c r="M289" s="192" t="n">
        <x:v>4.8400001526</x:v>
      </x:c>
      <x:c r="N289" s="192" t="n">
        <x:v>350</x:v>
      </x:c>
      <x:c r="O289" s="192" t="n">
        <x:v>26</x:v>
      </x:c>
      <x:c r="P289" s="193" t="b">
        <x:v>0</x:v>
      </x:c>
      <x:c r="Q289" s="193" t="b">
        <x:v>1</x:v>
      </x:c>
      <x:c r="R289" s="193" t="b">
        <x:v>1</x:v>
      </x:c>
      <x:c r="S289" s="193" t="b">
        <x:v>0</x:v>
      </x:c>
      <x:c r="T289" s="192" t="n">
        <x:v>90</x:v>
      </x:c>
      <x:c r="U289" s="192" t="n">
        <x:v>0</x:v>
      </x:c>
      <x:c r="V289" s="200" t="n">
        <x:v>0</x:v>
      </x:c>
      <x:c r="W289" s="203" t="n">
        <x:v>875</x:v>
      </x:c>
      <x:c r="X289" s="203" t="n">
        <x:v>0</x:v>
      </x:c>
      <x:c r="Y289" s="203" t="n">
        <x:v>0</x:v>
      </x:c>
      <x:c r="Z289" s="193" t="b">
        <x:v>1</x:v>
      </x:c>
      <x:c r="AA289" s="193" t="b">
        <x:v>0</x:v>
      </x:c>
      <x:c r="AB289" s="193" t="b">
        <x:v>1</x:v>
      </x:c>
      <x:c r="AC289" s="193" t="b">
        <x:v>1</x:v>
      </x:c>
      <x:c r="AD289" s="193" t="b">
        <x:v>0</x:v>
      </x:c>
      <x:c r="AE289" s="193" t="b">
        <x:v>1</x:v>
      </x:c>
      <x:c r="AF289" s="193" t="b">
        <x:v>1</x:v>
      </x:c>
      <x:c r="AG289" s="193" t="b">
        <x:v>1</x:v>
      </x:c>
      <x:c r="AH289" s="193" t="b">
        <x:v>1</x:v>
      </x:c>
      <x:c r="AI289" s="193" t="b">
        <x:v>1</x:v>
      </x:c>
      <x:c r="AJ289" s="193" t="b">
        <x:v>1</x:v>
      </x:c>
    </x:row>
    <x:row r="290">
      <x:c r="A290" s="192" t="n">
        <x:v>37494985</x:v>
      </x:c>
      <x:c r="B290" s="192" t="str">
        <x:v>https://www.airbnb.com.br/rooms/37494985</x:v>
      </x:c>
      <x:c r="C290" s="192" t="str">
        <x:v>Pé na areia em Meia Praia</x:v>
      </x:c>
      <x:c r="D290" s="192" t="str">
        <x:v>Meia Praia</x:v>
      </x:c>
      <x:c r="E290" s="192" t="n">
        <x:v>-27.13897</x:v>
      </x:c>
      <x:c r="F290" s="192" t="n">
        <x:v>-48.59139</x:v>
      </x:c>
      <x:c r="G290" s="192" t="str">
        <x:v>apartamento</x:v>
      </x:c>
      <x:c r="H290" s="192" t="n">
        <x:v>3</x:v>
      </x:c>
      <x:c r="I290" s="192" t="n">
        <x:v>3</x:v>
      </x:c>
      <x:c r="J290" s="192" t="n">
        <x:v>8</x:v>
      </x:c>
      <x:c r="K290" s="192" t="n">
        <x:v>6</x:v>
      </x:c>
      <x:c r="L290" s="192" t="n">
        <x:v>22</x:v>
      </x:c>
      <x:c r="M290" s="192" t="n">
        <x:v>4.6399998665</x:v>
      </x:c>
      <x:c r="N290" s="192" t="n">
        <x:v>350</x:v>
      </x:c>
      <x:c r="O290" s="192" t="n">
        <x:v>22</x:v>
      </x:c>
      <x:c r="P290" s="193" t="b">
        <x:v>0</x:v>
      </x:c>
      <x:c r="Q290" s="193" t="b">
        <x:v>0</x:v>
      </x:c>
      <x:c r="R290" s="193" t="b">
        <x:v>0</x:v>
      </x:c>
      <x:c r="S290" s="193" t="b">
        <x:v>0</x:v>
      </x:c>
      <x:c r="T290" s="192" t="n">
        <x:v>79</x:v>
      </x:c>
      <x:c r="U290" s="192" t="n">
        <x:v>11</x:v>
      </x:c>
      <x:c r="V290" s="200" t="n">
        <x:v>0.1222222222</x:v>
      </x:c>
      <x:c r="W290" s="203" t="n">
        <x:v>850</x:v>
      </x:c>
      <x:c r="X290" s="203" t="n">
        <x:v>9476.3382841361</x:v>
      </x:c>
      <x:c r="Y290" s="203" t="n">
        <x:v>24500.2829387768</x:v>
      </x:c>
      <x:c r="Z290" s="193" t="b">
        <x:v>1</x:v>
      </x:c>
      <x:c r="AA290" s="193" t="b">
        <x:v>0</x:v>
      </x:c>
      <x:c r="AB290" s="193" t="b">
        <x:v>1</x:v>
      </x:c>
      <x:c r="AC290" s="193" t="b">
        <x:v>1</x:v>
      </x:c>
      <x:c r="AD290" s="193" t="b">
        <x:v>1</x:v>
      </x:c>
      <x:c r="AE290" s="193" t="b">
        <x:v>1</x:v>
      </x:c>
      <x:c r="AF290" s="193" t="b">
        <x:v>1</x:v>
      </x:c>
      <x:c r="AG290" s="193" t="b">
        <x:v>1</x:v>
      </x:c>
      <x:c r="AH290" s="193" t="b">
        <x:v>1</x:v>
      </x:c>
      <x:c r="AI290" s="193" t="b">
        <x:v>1</x:v>
      </x:c>
      <x:c r="AJ290" s="193" t="b">
        <x:v>1</x:v>
      </x:c>
    </x:row>
    <x:row r="291">
      <x:c r="A291" s="192" t="n">
        <x:v>41769298</x:v>
      </x:c>
      <x:c r="B291" s="192" t="str">
        <x:v>https://www.airbnb.com.br/rooms/41769298</x:v>
      </x:c>
      <x:c r="C291" s="192" t="str">
        <x:v>Pé na areia a 30 m do mar</x:v>
      </x:c>
      <x:c r="D291" s="192" t="str">
        <x:v>Meia Praia</x:v>
      </x:c>
      <x:c r="E291" s="192" t="n">
        <x:v>-27.1307</x:v>
      </x:c>
      <x:c r="F291" s="192" t="n">
        <x:v>-48.59803</x:v>
      </x:c>
      <x:c r="G291" s="192" t="str">
        <x:v>apartamento</x:v>
      </x:c>
      <x:c r="H291" s="192" t="n">
        <x:v>3</x:v>
      </x:c>
      <x:c r="I291" s="192" t="n">
        <x:v>2</x:v>
      </x:c>
      <x:c r="J291" s="192" t="n">
        <x:v>11</x:v>
      </x:c>
      <x:c r="K291" s="192" t="n">
        <x:v>10</x:v>
      </x:c>
      <x:c r="L291" s="192" t="n">
        <x:v>35</x:v>
      </x:c>
      <x:c r="M291" s="192" t="n">
        <x:v>4.8899998665</x:v>
      </x:c>
      <x:c r="N291" s="192" t="n">
        <x:v>250</x:v>
      </x:c>
      <x:c r="O291" s="192" t="n">
        <x:v>28</x:v>
      </x:c>
      <x:c r="P291" s="193" t="b">
        <x:v>1</x:v>
      </x:c>
      <x:c r="Q291" s="193" t="b">
        <x:v>0</x:v>
      </x:c>
      <x:c r="R291" s="193" t="b">
        <x:v>0</x:v>
      </x:c>
      <x:c r="S291" s="193" t="b">
        <x:v>1</x:v>
      </x:c>
      <x:c r="T291" s="192" t="n">
        <x:v>48</x:v>
      </x:c>
      <x:c r="U291" s="192" t="n">
        <x:v>42</x:v>
      </x:c>
      <x:c r="V291" s="200" t="n">
        <x:v>0.4666666667</x:v>
      </x:c>
      <x:c r="W291" s="203" t="n">
        <x:v>1100</x:v>
      </x:c>
      <x:c r="X291" s="203" t="n">
        <x:v>45026.5642136516</x:v>
      </x:c>
      <x:c r="Y291" s="203" t="n">
        <x:v>116412.4295607117</x:v>
      </x:c>
      <x:c r="Z291" s="193" t="b">
        <x:v>1</x:v>
      </x:c>
      <x:c r="AA291" s="193" t="b">
        <x:v>0</x:v>
      </x:c>
      <x:c r="AB291" s="193" t="b">
        <x:v>1</x:v>
      </x:c>
      <x:c r="AC291" s="193" t="b">
        <x:v>1</x:v>
      </x:c>
      <x:c r="AD291" s="193" t="b">
        <x:v>0</x:v>
      </x:c>
      <x:c r="AE291" s="193" t="b">
        <x:v>1</x:v>
      </x:c>
      <x:c r="AF291" s="193" t="b">
        <x:v>1</x:v>
      </x:c>
      <x:c r="AG291" s="193" t="b">
        <x:v>1</x:v>
      </x:c>
      <x:c r="AH291" s="193" t="b">
        <x:v>1</x:v>
      </x:c>
      <x:c r="AI291" s="193" t="b">
        <x:v>1</x:v>
      </x:c>
      <x:c r="AJ291" s="193" t="b">
        <x:v>1</x:v>
      </x:c>
    </x:row>
    <x:row r="292">
      <x:c r="A292" s="192" t="n">
        <x:v>36032020</x:v>
      </x:c>
      <x:c r="B292" s="192" t="str">
        <x:v>https://www.airbnb.com.br/rooms/36032020</x:v>
      </x:c>
      <x:c r="C292" s="192" t="str">
        <x:v>Itapema, Frente Mar, Meia Praia, 3QT, Ar, Smart TV</x:v>
      </x:c>
      <x:c r="D292" s="192" t="str">
        <x:v>Meia Praia</x:v>
      </x:c>
      <x:c r="E292" s="192" t="n">
        <x:v>-27.11728</x:v>
      </x:c>
      <x:c r="F292" s="192" t="n">
        <x:v>-48.60799</x:v>
      </x:c>
      <x:c r="G292" s="192" t="str">
        <x:v>apartamento</x:v>
      </x:c>
      <x:c r="H292" s="192" t="n">
        <x:v>3</x:v>
      </x:c>
      <x:c r="I292" s="192" t="n">
        <x:v>2</x:v>
      </x:c>
      <x:c r="J292" s="192" t="n">
        <x:v>10</x:v>
      </x:c>
      <x:c r="K292" s="192" t="n">
        <x:v>8</x:v>
      </x:c>
      <x:c r="L292" s="192" t="n">
        <x:v>19</x:v>
      </x:c>
      <x:c r="M292" s="192" t="n">
        <x:v>4.8400001526</x:v>
      </x:c>
      <x:c r="N292" s="192" t="n">
        <x:v>300</x:v>
      </x:c>
      <x:c r="O292" s="192" t="n">
        <x:v>20</x:v>
      </x:c>
      <x:c r="P292" s="193" t="b">
        <x:v>0</x:v>
      </x:c>
      <x:c r="Q292" s="193" t="b">
        <x:v>1</x:v>
      </x:c>
      <x:c r="R292" s="193" t="b">
        <x:v>1</x:v>
      </x:c>
      <x:c r="S292" s="193" t="b">
        <x:v>1</x:v>
      </x:c>
      <x:c r="T292" s="192" t="n">
        <x:v>17</x:v>
      </x:c>
      <x:c r="U292" s="192" t="n">
        <x:v>73</x:v>
      </x:c>
      <x:c r="V292" s="200" t="n">
        <x:v>0.8111111111</x:v>
      </x:c>
      <x:c r="W292" s="203" t="n">
        <x:v>450</x:v>
      </x:c>
      <x:c r="X292" s="203" t="n">
        <x:v>33306.1061061564</x:v>
      </x:c>
      <x:c r="Y292" s="203" t="n">
        <x:v>86110.1618286251</x:v>
      </x:c>
      <x:c r="Z292" s="193" t="b">
        <x:v>0</x:v>
      </x:c>
      <x:c r="AA292" s="193" t="b">
        <x:v>0</x:v>
      </x:c>
      <x:c r="AB292" s="193" t="b">
        <x:v>1</x:v>
      </x:c>
      <x:c r="AC292" s="193" t="b">
        <x:v>1</x:v>
      </x:c>
      <x:c r="AD292" s="193" t="b">
        <x:v>1</x:v>
      </x:c>
      <x:c r="AE292" s="193" t="b">
        <x:v>1</x:v>
      </x:c>
      <x:c r="AF292" s="193" t="b">
        <x:v>1</x:v>
      </x:c>
      <x:c r="AG292" s="193" t="b">
        <x:v>1</x:v>
      </x:c>
      <x:c r="AH292" s="193" t="b">
        <x:v>1</x:v>
      </x:c>
      <x:c r="AI292" s="193" t="b">
        <x:v>1</x:v>
      </x:c>
      <x:c r="AJ292" s="193" t="b">
        <x:v>1</x:v>
      </x:c>
    </x:row>
    <x:row r="293">
      <x:c r="A293" s="192" t="n">
        <x:v>22383070</x:v>
      </x:c>
      <x:c r="B293" s="192" t="str">
        <x:v>https://www.airbnb.com.br/rooms/22383070</x:v>
      </x:c>
      <x:c r="C293" s="192" t="str">
        <x:v>Apartamento em ótima localização na Meia Praia</x:v>
      </x:c>
      <x:c r="D293" s="192" t="str">
        <x:v>Meia Praia</x:v>
      </x:c>
      <x:c r="E293" s="192" t="n">
        <x:v>-27.137</x:v>
      </x:c>
      <x:c r="F293" s="192" t="n">
        <x:v>-48.599</x:v>
      </x:c>
      <x:c r="G293" s="192" t="str">
        <x:v>apartamento</x:v>
      </x:c>
      <x:c r="H293" s="192" t="n">
        <x:v>2</x:v>
      </x:c>
      <x:c r="I293" s="192" t="n">
        <x:v>2</x:v>
      </x:c>
      <x:c r="J293" s="192" t="n">
        <x:v>4</x:v>
      </x:c>
      <x:c r="K293" s="192" t="n">
        <x:v>6</x:v>
      </x:c>
      <x:c r="L293" s="192" t="n">
        <x:v>36</x:v>
      </x:c>
      <x:c r="M293" s="192" t="n">
        <x:v>4.9400000572</x:v>
      </x:c>
      <x:c r="N293" s="192" t="n">
        <x:v>200</x:v>
      </x:c>
      <x:c r="O293" s="192" t="n">
        <x:v>11</x:v>
      </x:c>
      <x:c r="P293" s="193" t="b">
        <x:v>0</x:v>
      </x:c>
      <x:c r="Q293" s="193" t="b">
        <x:v>0</x:v>
      </x:c>
      <x:c r="R293" s="193" t="b">
        <x:v>1</x:v>
      </x:c>
      <x:c r="S293" s="193" t="b">
        <x:v>0</x:v>
      </x:c>
      <x:c r="T293" s="192" t="n">
        <x:v>40</x:v>
      </x:c>
      <x:c r="U293" s="192" t="n">
        <x:v>50</x:v>
      </x:c>
      <x:c r="V293" s="200" t="n">
        <x:v>0.5555555556</x:v>
      </x:c>
      <x:c r="W293" s="203" t="n">
        <x:v>250</x:v>
      </x:c>
      <x:c r="X293" s="203" t="n">
        <x:v>12302.7640343078</x:v>
      </x:c>
      <x:c r="Y293" s="203" t="n">
        <x:v>31807.7711803666</x:v>
      </x:c>
      <x:c r="Z293" s="193" t="b">
        <x:v>1</x:v>
      </x:c>
      <x:c r="AA293" s="193" t="b">
        <x:v>0</x:v>
      </x:c>
      <x:c r="AB293" s="193" t="b">
        <x:v>1</x:v>
      </x:c>
      <x:c r="AC293" s="193" t="b">
        <x:v>1</x:v>
      </x:c>
      <x:c r="AD293" s="193" t="b">
        <x:v>1</x:v>
      </x:c>
      <x:c r="AE293" s="193" t="b">
        <x:v>0</x:v>
      </x:c>
      <x:c r="AF293" s="193" t="b">
        <x:v>0</x:v>
      </x:c>
      <x:c r="AG293" s="193" t="b">
        <x:v>1</x:v>
      </x:c>
      <x:c r="AH293" s="193" t="b">
        <x:v>1</x:v>
      </x:c>
      <x:c r="AI293" s="193" t="b">
        <x:v>1</x:v>
      </x:c>
      <x:c r="AJ293" s="193" t="b">
        <x:v>1</x:v>
      </x:c>
    </x:row>
    <x:row r="294">
      <x:c r="A294" s="192" t="n">
        <x:v>53190433</x:v>
      </x:c>
      <x:c r="B294" s="192" t="str">
        <x:v>https://www.airbnb.com.br/rooms/53190433</x:v>
      </x:c>
      <x:c r="C294" s="192" t="str">
        <x:v>Frente Mar Itapema</x:v>
      </x:c>
      <x:c r="D294" s="192" t="str">
        <x:v>Centro</x:v>
      </x:c>
      <x:c r="E294" s="192" t="n">
        <x:v>-27.0956</x:v>
      </x:c>
      <x:c r="F294" s="192" t="n">
        <x:v>-48.61421</x:v>
      </x:c>
      <x:c r="G294" s="192" t="str">
        <x:v>apartamento</x:v>
      </x:c>
      <x:c r="H294" s="192" t="n">
        <x:v>3</x:v>
      </x:c>
      <x:c r="I294" s="192" t="n">
        <x:v>2</x:v>
      </x:c>
      <x:c r="J294" s="192" t="n">
        <x:v>3</x:v>
      </x:c>
      <x:c r="K294" s="192" t="n">
        <x:v>8</x:v>
      </x:c>
      <x:c r="L294" s="192" t="n">
        <x:v>20</x:v>
      </x:c>
      <x:c r="M294" s="192" t="n">
        <x:v>4.6999998093</x:v>
      </x:c>
      <x:c r="N294" s="192" t="n">
        <x:v>350</x:v>
      </x:c>
      <x:c r="O294" s="192" t="n">
        <x:v>26</x:v>
      </x:c>
      <x:c r="P294" s="193" t="b">
        <x:v>0</x:v>
      </x:c>
      <x:c r="Q294" s="193" t="b">
        <x:v>0</x:v>
      </x:c>
      <x:c r="R294" s="193" t="b">
        <x:v>0</x:v>
      </x:c>
      <x:c r="S294" s="193" t="b">
        <x:v>0</x:v>
      </x:c>
      <x:c r="T294" s="192" t="n">
        <x:v>39</x:v>
      </x:c>
      <x:c r="U294" s="192" t="n">
        <x:v>51</x:v>
      </x:c>
      <x:c r="V294" s="200" t="n">
        <x:v>0.5666666667</x:v>
      </x:c>
      <x:c r="W294" s="203" t="n">
        <x:v>800</x:v>
      </x:c>
      <x:c r="X294" s="203" t="n">
        <x:v>42355.404304849</x:v>
      </x:c>
      <x:c r="Y294" s="203" t="n">
        <x:v>109506.3682131618</x:v>
      </x:c>
      <x:c r="Z294" s="193" t="b">
        <x:v>1</x:v>
      </x:c>
      <x:c r="AA294" s="193" t="b">
        <x:v>0</x:v>
      </x:c>
      <x:c r="AB294" s="193" t="b">
        <x:v>1</x:v>
      </x:c>
      <x:c r="AC294" s="193" t="b">
        <x:v>1</x:v>
      </x:c>
      <x:c r="AD294" s="193" t="b">
        <x:v>1</x:v>
      </x:c>
      <x:c r="AE294" s="193" t="b">
        <x:v>1</x:v>
      </x:c>
      <x:c r="AF294" s="193" t="b">
        <x:v>1</x:v>
      </x:c>
      <x:c r="AG294" s="193" t="b">
        <x:v>1</x:v>
      </x:c>
      <x:c r="AH294" s="193" t="b">
        <x:v>1</x:v>
      </x:c>
      <x:c r="AI294" s="193" t="b">
        <x:v>1</x:v>
      </x:c>
      <x:c r="AJ294" s="193" t="b">
        <x:v>1</x:v>
      </x:c>
    </x:row>
    <x:row r="295">
      <x:c r="A295" s="192" t="n">
        <x:v>1011714999685071600</x:v>
      </x:c>
      <x:c r="B295" s="192" t="str">
        <x:v>https://www.airbnb.com.br/rooms/1011714999685071594</x:v>
      </x:c>
      <x:c r="C295" s="192" t="str">
        <x:v>Prédio Beira Mar, vaga de garagem, A/C e Wi-Fi!</x:v>
      </x:c>
      <x:c r="D295" s="192" t="str">
        <x:v>Centro</x:v>
      </x:c>
      <x:c r="E295" s="192" t="n">
        <x:v>-27.0970001221</x:v>
      </x:c>
      <x:c r="F295" s="192" t="n">
        <x:v>-48.6139984131</x:v>
      </x:c>
      <x:c r="G295" s="192" t="str">
        <x:v>apartamento</x:v>
      </x:c>
      <x:c r="H295" s="192" t="n">
        <x:v>3</x:v>
      </x:c>
      <x:c r="I295" s="192" t="n">
        <x:v>2</x:v>
      </x:c>
      <x:c r="J295" s="192" t="n">
        <x:v>4</x:v>
      </x:c>
      <x:c r="K295" s="192" t="n">
        <x:v>6</x:v>
      </x:c>
      <x:c r="L295" s="192" t="n">
        <x:v>6</x:v>
      </x:c>
      <x:c r="M295" s="192" t="n">
        <x:v>5</x:v>
      </x:c>
      <x:c r="N295" s="192" t="n">
        <x:v>180</x:v>
      </x:c>
      <x:c r="O295" s="192" t="n">
        <x:v>35</x:v>
      </x:c>
      <x:c r="P295" s="193" t="b">
        <x:v>0</x:v>
      </x:c>
      <x:c r="Q295" s="193" t="b">
        <x:v>1</x:v>
      </x:c>
      <x:c r="R295" s="193" t="b">
        <x:v>1</x:v>
      </x:c>
      <x:c r="S295" s="193" t="b">
        <x:v>1</x:v>
      </x:c>
      <x:c r="T295" s="192" t="n">
        <x:v>28</x:v>
      </x:c>
      <x:c r="U295" s="192" t="n">
        <x:v>62</x:v>
      </x:c>
      <x:c r="V295" s="200" t="n">
        <x:v>0.6888888889</x:v>
      </x:c>
      <x:c r="W295" s="203" t="n">
        <x:v>557</x:v>
      </x:c>
      <x:c r="X295" s="203" t="n">
        <x:v>35410.6143296867</x:v>
      </x:c>
      <x:c r="Y295" s="203" t="n">
        <x:v>91551.1924648775</x:v>
      </x:c>
      <x:c r="Z295" s="193" t="b">
        <x:v>0</x:v>
      </x:c>
      <x:c r="AA295" s="193" t="b">
        <x:v>0</x:v>
      </x:c>
      <x:c r="AB295" s="193" t="b">
        <x:v>1</x:v>
      </x:c>
      <x:c r="AC295" s="193" t="b">
        <x:v>1</x:v>
      </x:c>
      <x:c r="AD295" s="193" t="b">
        <x:v>1</x:v>
      </x:c>
      <x:c r="AE295" s="193" t="b">
        <x:v>1</x:v>
      </x:c>
      <x:c r="AF295" s="193" t="b">
        <x:v>1</x:v>
      </x:c>
      <x:c r="AG295" s="193" t="b">
        <x:v>1</x:v>
      </x:c>
      <x:c r="AH295" s="193" t="b">
        <x:v>1</x:v>
      </x:c>
      <x:c r="AI295" s="193" t="b">
        <x:v>1</x:v>
      </x:c>
      <x:c r="AJ295" s="193" t="b">
        <x:v>1</x:v>
      </x:c>
    </x:row>
    <x:row r="296">
      <x:c r="A296" s="192" t="n">
        <x:v>26839303</x:v>
      </x:c>
      <x:c r="B296" s="192" t="str">
        <x:v>https://www.airbnb.com.br/rooms/26839303</x:v>
      </x:c>
      <x:c r="C296" s="192" t="str">
        <x:v>Apartamento  a 30 metros do mar de Meia Praia</x:v>
      </x:c>
      <x:c r="D296" s="192" t="str">
        <x:v>Meia Praia</x:v>
      </x:c>
      <x:c r="E296" s="192" t="n">
        <x:v>-27.13544</x:v>
      </x:c>
      <x:c r="F296" s="192" t="n">
        <x:v>-48.59686</x:v>
      </x:c>
      <x:c r="G296" s="192" t="str">
        <x:v>apartamento</x:v>
      </x:c>
      <x:c r="H296" s="192" t="n">
        <x:v>2</x:v>
      </x:c>
      <x:c r="I296" s="192" t="n">
        <x:v>2</x:v>
      </x:c>
      <x:c r="J296" s="192" t="n">
        <x:v>2</x:v>
      </x:c>
      <x:c r="K296" s="192" t="n">
        <x:v>8</x:v>
      </x:c>
      <x:c r="L296" s="192" t="n">
        <x:v>29</x:v>
      </x:c>
      <x:c r="M296" s="192" t="n">
        <x:v>4.8600001335</x:v>
      </x:c>
      <x:c r="N296" s="192" t="n">
        <x:v>200</x:v>
      </x:c>
      <x:c r="O296" s="192" t="n">
        <x:v>37</x:v>
      </x:c>
      <x:c r="P296" s="193" t="b">
        <x:v>0</x:v>
      </x:c>
      <x:c r="Q296" s="193" t="b">
        <x:v>0</x:v>
      </x:c>
      <x:c r="R296" s="193" t="b">
        <x:v>1</x:v>
      </x:c>
      <x:c r="S296" s="193" t="b">
        <x:v>1</x:v>
      </x:c>
      <x:c r="T296" s="192" t="n">
        <x:v>46</x:v>
      </x:c>
      <x:c r="U296" s="192" t="n">
        <x:v>44</x:v>
      </x:c>
      <x:c r="V296" s="200" t="n">
        <x:v>0.4888888889</x:v>
      </x:c>
      <x:c r="W296" s="203" t="n">
        <x:v>800</x:v>
      </x:c>
      <x:c r="X296" s="203" t="n">
        <x:v>34108.5848992334</x:v>
      </x:c>
      <x:c r="Y296" s="203" t="n">
        <x:v>88184.9038748929</x:v>
      </x:c>
      <x:c r="Z296" s="193" t="b">
        <x:v>1</x:v>
      </x:c>
      <x:c r="AA296" s="193" t="b">
        <x:v>0</x:v>
      </x:c>
      <x:c r="AB296" s="193" t="b">
        <x:v>1</x:v>
      </x:c>
      <x:c r="AC296" s="193" t="b">
        <x:v>1</x:v>
      </x:c>
      <x:c r="AD296" s="193" t="b">
        <x:v>1</x:v>
      </x:c>
      <x:c r="AE296" s="193" t="b">
        <x:v>1</x:v>
      </x:c>
      <x:c r="AF296" s="193" t="b">
        <x:v>1</x:v>
      </x:c>
      <x:c r="AG296" s="193" t="b">
        <x:v>1</x:v>
      </x:c>
      <x:c r="AH296" s="193" t="b">
        <x:v>1</x:v>
      </x:c>
      <x:c r="AI296" s="193" t="b">
        <x:v>1</x:v>
      </x:c>
      <x:c r="AJ296" s="193" t="b">
        <x:v>1</x:v>
      </x:c>
    </x:row>
    <x:row r="297">
      <x:c r="A297" s="192" t="n">
        <x:v>28366360</x:v>
      </x:c>
      <x:c r="B297" s="192" t="str">
        <x:v>https://www.airbnb.com.br/rooms/28366360</x:v>
      </x:c>
      <x:c r="C297" s="192" t="str">
        <x:v>3 SUITES-150 METROS MAR-PROXIMO AO RUSSl RUSSI</x:v>
      </x:c>
      <x:c r="D297" s="192" t="str">
        <x:v>Meia Praia</x:v>
      </x:c>
      <x:c r="E297" s="192" t="n">
        <x:v>-27.12878</x:v>
      </x:c>
      <x:c r="F297" s="192" t="n">
        <x:v>-48.60303</x:v>
      </x:c>
      <x:c r="G297" s="192" t="str">
        <x:v>apartamento</x:v>
      </x:c>
      <x:c r="H297" s="192" t="n">
        <x:v>3</x:v>
      </x:c>
      <x:c r="I297" s="192" t="n">
        <x:v>4</x:v>
      </x:c>
      <x:c r="J297" s="192" t="n">
        <x:v>3</x:v>
      </x:c>
      <x:c r="K297" s="192" t="n">
        <x:v>8</x:v>
      </x:c>
      <x:c r="L297" s="192" t="n">
        <x:v>43</x:v>
      </x:c>
      <x:c r="M297" s="192" t="n">
        <x:v>4.8800001144</x:v>
      </x:c>
      <x:c r="N297" s="192" t="n">
        <x:v>350</x:v>
      </x:c>
      <x:c r="O297" s="192" t="n">
        <x:v>22</x:v>
      </x:c>
      <x:c r="P297" s="193" t="b">
        <x:v>0</x:v>
      </x:c>
      <x:c r="Q297" s="193" t="b">
        <x:v>0</x:v>
      </x:c>
      <x:c r="R297" s="193" t="b">
        <x:v>1</x:v>
      </x:c>
      <x:c r="S297" s="193" t="b">
        <x:v>1</x:v>
      </x:c>
      <x:c r="T297" s="192" t="n">
        <x:v>66</x:v>
      </x:c>
      <x:c r="U297" s="192" t="n">
        <x:v>24</x:v>
      </x:c>
      <x:c r="V297" s="200" t="n">
        <x:v>0.2666666667</x:v>
      </x:c>
      <x:c r="W297" s="203" t="n">
        <x:v>800</x:v>
      </x:c>
      <x:c r="X297" s="203" t="n">
        <x:v>18924.3133869307</x:v>
      </x:c>
      <x:c r="Y297" s="203" t="n">
        <x:v>48927.2352357938</x:v>
      </x:c>
      <x:c r="Z297" s="193" t="b">
        <x:v>1</x:v>
      </x:c>
      <x:c r="AA297" s="193" t="b">
        <x:v>0</x:v>
      </x:c>
      <x:c r="AB297" s="193" t="b">
        <x:v>1</x:v>
      </x:c>
      <x:c r="AC297" s="193" t="b">
        <x:v>1</x:v>
      </x:c>
      <x:c r="AD297" s="193" t="b">
        <x:v>1</x:v>
      </x:c>
      <x:c r="AE297" s="193" t="b">
        <x:v>0</x:v>
      </x:c>
      <x:c r="AF297" s="193" t="b">
        <x:v>0</x:v>
      </x:c>
      <x:c r="AG297" s="193" t="b">
        <x:v>1</x:v>
      </x:c>
      <x:c r="AH297" s="193" t="b">
        <x:v>1</x:v>
      </x:c>
      <x:c r="AI297" s="193" t="b">
        <x:v>1</x:v>
      </x:c>
      <x:c r="AJ297" s="193" t="b">
        <x:v>0</x:v>
      </x:c>
    </x:row>
    <x:row r="298">
      <x:c r="A298" s="192" t="n">
        <x:v>1002341236260011000</x:v>
      </x:c>
      <x:c r="B298" s="192" t="str">
        <x:v>https://www.airbnb.com.br/rooms/1002341236260011015</x:v>
      </x:c>
      <x:c r="C298" s="192" t="str">
        <x:v>Suas férias a 100 mts da praia!</x:v>
      </x:c>
      <x:c r="D298" s="192" t="str">
        <x:v>Morretes</x:v>
      </x:c>
      <x:c r="E298" s="192" t="n">
        <x:v>-27.12145</x:v>
      </x:c>
      <x:c r="F298" s="192" t="n">
        <x:v>-48.6164</x:v>
      </x:c>
      <x:c r="G298" s="192" t="str">
        <x:v>apartamento</x:v>
      </x:c>
      <x:c r="H298" s="192" t="n">
        <x:v>2</x:v>
      </x:c>
      <x:c r="I298" s="192" t="n">
        <x:v>2</x:v>
      </x:c>
      <x:c r="J298" s="192" t="n">
        <x:v>2</x:v>
      </x:c>
      <x:c r="K298" s="192" t="n">
        <x:v>4</x:v>
      </x:c>
      <x:c r="L298" s="192" t="n">
        <x:v>11</x:v>
      </x:c>
      <x:c r="M298" s="192" t="n">
        <x:v>4.9099998474</x:v>
      </x:c>
      <x:c r="N298" s="192" t="n">
        <x:v>200</x:v>
      </x:c>
      <x:c r="O298" s="192" t="n">
        <x:v>14</x:v>
      </x:c>
      <x:c r="P298" s="193" t="b">
        <x:v>0</x:v>
      </x:c>
      <x:c r="Q298" s="193" t="b">
        <x:v>0</x:v>
      </x:c>
      <x:c r="R298" s="193" t="b">
        <x:v>1</x:v>
      </x:c>
      <x:c r="S298" s="193" t="b">
        <x:v>0</x:v>
      </x:c>
      <x:c r="T298" s="192" t="n">
        <x:v>54</x:v>
      </x:c>
      <x:c r="U298" s="192" t="n">
        <x:v>36</x:v>
      </x:c>
      <x:c r="V298" s="200" t="n">
        <x:v>0.4</x:v>
      </x:c>
      <x:c r="W298" s="203" t="n">
        <x:v>350</x:v>
      </x:c>
      <x:c r="X298" s="203" t="n">
        <x:v>13226.4008645121</x:v>
      </x:c>
      <x:c r="Y298" s="203" t="n">
        <x:v>34195.7572351241</x:v>
      </x:c>
      <x:c r="Z298" s="193" t="b">
        <x:v>1</x:v>
      </x:c>
      <x:c r="AA298" s="193" t="b">
        <x:v>0</x:v>
      </x:c>
      <x:c r="AB298" s="193" t="b">
        <x:v>1</x:v>
      </x:c>
      <x:c r="AC298" s="193" t="b">
        <x:v>1</x:v>
      </x:c>
      <x:c r="AD298" s="193" t="b">
        <x:v>0</x:v>
      </x:c>
      <x:c r="AE298" s="193" t="b">
        <x:v>1</x:v>
      </x:c>
      <x:c r="AF298" s="193" t="b">
        <x:v>1</x:v>
      </x:c>
      <x:c r="AG298" s="193" t="b">
        <x:v>1</x:v>
      </x:c>
      <x:c r="AH298" s="193" t="b">
        <x:v>1</x:v>
      </x:c>
      <x:c r="AI298" s="193" t="b">
        <x:v>1</x:v>
      </x:c>
      <x:c r="AJ298" s="193" t="b">
        <x:v>1</x:v>
      </x:c>
    </x:row>
    <x:row r="299">
      <x:c r="A299" s="192" t="n">
        <x:v>786307999394390300</x:v>
      </x:c>
      <x:c r="B299" s="192" t="str">
        <x:v>https://www.airbnb.com.br/rooms/786307999394390316</x:v>
      </x:c>
      <x:c r="C299" s="192" t="str">
        <x:v>Apartamento com 2/4 pé na areia</x:v>
      </x:c>
      <x:c r="D299" s="192" t="str">
        <x:v>Meia Praia</x:v>
      </x:c>
      <x:c r="E299" s="192" t="n">
        <x:v>-27.1329994202</x:v>
      </x:c>
      <x:c r="F299" s="192" t="n">
        <x:v>-48.5979995728</x:v>
      </x:c>
      <x:c r="G299" s="192" t="str">
        <x:v>apartamento</x:v>
      </x:c>
      <x:c r="H299" s="192" t="n">
        <x:v>2</x:v>
      </x:c>
      <x:c r="I299" s="192" t="n">
        <x:v>2</x:v>
      </x:c>
      <x:c r="J299" s="192" t="n">
        <x:v>2</x:v>
      </x:c>
      <x:c r="K299" s="192" t="n">
        <x:v>6</x:v>
      </x:c>
      <x:c r="L299" s="192" t="n">
        <x:v>14</x:v>
      </x:c>
      <x:c r="M299" s="192" t="n">
        <x:v>4.8600001335</x:v>
      </x:c>
      <x:c r="N299" s="192" t="n">
        <x:v>300</x:v>
      </x:c>
      <x:c r="O299" s="192" t="n">
        <x:v>27</x:v>
      </x:c>
      <x:c r="P299" s="193" t="b">
        <x:v>0</x:v>
      </x:c>
      <x:c r="Q299" s="193" t="b">
        <x:v>0</x:v>
      </x:c>
      <x:c r="R299" s="193" t="b">
        <x:v>1</x:v>
      </x:c>
      <x:c r="S299" s="193" t="b">
        <x:v>1</x:v>
      </x:c>
      <x:c r="T299" s="192" t="n">
        <x:v>53</x:v>
      </x:c>
      <x:c r="U299" s="192" t="n">
        <x:v>37</x:v>
      </x:c>
      <x:c r="V299" s="200" t="n">
        <x:v>0.4111111111</x:v>
      </x:c>
      <x:c r="W299" s="203" t="n">
        <x:v>550</x:v>
      </x:c>
      <x:c r="X299" s="203" t="n">
        <x:v>21490.4260945223</x:v>
      </x:c>
      <x:c r="Y299" s="203" t="n">
        <x:v>55561.7057985461</x:v>
      </x:c>
      <x:c r="Z299" s="193" t="b">
        <x:v>1</x:v>
      </x:c>
      <x:c r="AA299" s="193" t="b">
        <x:v>0</x:v>
      </x:c>
      <x:c r="AB299" s="193" t="b">
        <x:v>1</x:v>
      </x:c>
      <x:c r="AC299" s="193" t="b">
        <x:v>1</x:v>
      </x:c>
      <x:c r="AD299" s="193" t="b">
        <x:v>0</x:v>
      </x:c>
      <x:c r="AE299" s="193" t="b">
        <x:v>1</x:v>
      </x:c>
      <x:c r="AF299" s="193" t="b">
        <x:v>1</x:v>
      </x:c>
      <x:c r="AG299" s="193" t="b">
        <x:v>1</x:v>
      </x:c>
      <x:c r="AH299" s="193" t="b">
        <x:v>1</x:v>
      </x:c>
      <x:c r="AI299" s="193" t="b">
        <x:v>1</x:v>
      </x:c>
      <x:c r="AJ299" s="193" t="b">
        <x:v>1</x:v>
      </x:c>
    </x:row>
    <x:row r="300">
      <x:c r="A300" s="192" t="n">
        <x:v>39414948</x:v>
      </x:c>
      <x:c r="B300" s="192" t="str">
        <x:v>https://www.airbnb.com.br/rooms/39414948</x:v>
      </x:c>
      <x:c r="C300" s="192" t="str">
        <x:v>Amplo apartamento a 30 metros da praia com garagem</x:v>
      </x:c>
      <x:c r="D300" s="192" t="str">
        <x:v>Meia Praia</x:v>
      </x:c>
      <x:c r="E300" s="192" t="n">
        <x:v>-27.13277</x:v>
      </x:c>
      <x:c r="F300" s="192" t="n">
        <x:v>-48.59753</x:v>
      </x:c>
      <x:c r="G300" s="192" t="str">
        <x:v>apartamento</x:v>
      </x:c>
      <x:c r="H300" s="192" t="n">
        <x:v>3</x:v>
      </x:c>
      <x:c r="I300" s="192" t="n">
        <x:v>2</x:v>
      </x:c>
      <x:c r="J300" s="192" t="n">
        <x:v>5</x:v>
      </x:c>
      <x:c r="K300" s="192" t="n">
        <x:v>8</x:v>
      </x:c>
      <x:c r="L300" s="192" t="n">
        <x:v>72</x:v>
      </x:c>
      <x:c r="M300" s="192" t="n">
        <x:v>4.9600000381</x:v>
      </x:c>
      <x:c r="N300" s="192" t="n">
        <x:v>250</x:v>
      </x:c>
      <x:c r="O300" s="192" t="n">
        <x:v>15</x:v>
      </x:c>
      <x:c r="P300" s="193" t="b">
        <x:v>0</x:v>
      </x:c>
      <x:c r="Q300" s="193" t="b">
        <x:v>0</x:v>
      </x:c>
      <x:c r="R300" s="193" t="b">
        <x:v>1</x:v>
      </x:c>
      <x:c r="S300" s="193" t="b">
        <x:v>1</x:v>
      </x:c>
      <x:c r="T300" s="192" t="n">
        <x:v>61</x:v>
      </x:c>
      <x:c r="U300" s="192" t="n">
        <x:v>29</x:v>
      </x:c>
      <x:c r="V300" s="200" t="n">
        <x:v>0.3222222222</x:v>
      </x:c>
      <x:c r="W300" s="203" t="n">
        <x:v>490</x:v>
      </x:c>
      <x:c r="X300" s="203" t="n">
        <x:v>14837.1431125367</x:v>
      </x:c>
      <x:c r="Y300" s="203" t="n">
        <x:v>38360.1970888709</x:v>
      </x:c>
      <x:c r="Z300" s="193" t="b">
        <x:v>1</x:v>
      </x:c>
      <x:c r="AA300" s="193" t="b">
        <x:v>0</x:v>
      </x:c>
      <x:c r="AB300" s="193" t="b">
        <x:v>1</x:v>
      </x:c>
      <x:c r="AC300" s="193" t="b">
        <x:v>1</x:v>
      </x:c>
      <x:c r="AD300" s="193" t="b">
        <x:v>1</x:v>
      </x:c>
      <x:c r="AE300" s="193" t="b">
        <x:v>1</x:v>
      </x:c>
      <x:c r="AF300" s="193" t="b">
        <x:v>1</x:v>
      </x:c>
      <x:c r="AG300" s="193" t="b">
        <x:v>1</x:v>
      </x:c>
      <x:c r="AH300" s="193" t="b">
        <x:v>1</x:v>
      </x:c>
      <x:c r="AI300" s="193" t="b">
        <x:v>1</x:v>
      </x:c>
      <x:c r="AJ300" s="193" t="b">
        <x:v>1</x:v>
      </x:c>
    </x:row>
    <x:row r="301">
      <x:c r="A301" s="192" t="n">
        <x:v>915332897455059000</x:v>
      </x:c>
      <x:c r="B301" s="192" t="str">
        <x:v>https://www.airbnb.com.br/rooms/915332897455058900</x:v>
      </x:c>
      <x:c r="C301" s="192" t="str">
        <x:v>Lindo apto beira mar em Meia Praia AMA204</x:v>
      </x:c>
      <x:c r="D301" s="192" t="str">
        <x:v>Meia Praia</x:v>
      </x:c>
      <x:c r="E301" s="192" t="n">
        <x:v>-27.1331520081</x:v>
      </x:c>
      <x:c r="F301" s="192" t="n">
        <x:v>-48.5971374512</x:v>
      </x:c>
      <x:c r="G301" s="192" t="str">
        <x:v>apartamento</x:v>
      </x:c>
      <x:c r="H301" s="192" t="n">
        <x:v>3</x:v>
      </x:c>
      <x:c r="I301" s="192" t="n">
        <x:v>3</x:v>
      </x:c>
      <x:c r="J301" s="192" t="n">
        <x:v>3</x:v>
      </x:c>
      <x:c r="K301" s="192" t="n">
        <x:v>6</x:v>
      </x:c>
      <x:c r="L301" s="192" t="n">
        <x:v>32</x:v>
      </x:c>
      <x:c r="M301" s="192" t="n">
        <x:v>4.7199997902</x:v>
      </x:c>
      <x:c r="N301" s="192" t="n">
        <x:v>472</x:v>
      </x:c>
      <x:c r="O301" s="192" t="n">
        <x:v>13</x:v>
      </x:c>
      <x:c r="P301" s="193" t="b">
        <x:v>1</x:v>
      </x:c>
      <x:c r="Q301" s="193" t="b">
        <x:v>1</x:v>
      </x:c>
      <x:c r="R301" s="193" t="b">
        <x:v>0</x:v>
      </x:c>
      <x:c r="S301" s="193" t="b">
        <x:v>0</x:v>
      </x:c>
      <x:c r="T301" s="192" t="n">
        <x:v>68</x:v>
      </x:c>
      <x:c r="U301" s="192" t="n">
        <x:v>22</x:v>
      </x:c>
      <x:c r="V301" s="200" t="n">
        <x:v>0.2444444444</x:v>
      </x:c>
      <x:c r="W301" s="203" t="n">
        <x:v>928</x:v>
      </x:c>
      <x:c r="X301" s="203" t="n">
        <x:v>20635.7550044216</x:v>
      </x:c>
      <x:c r="Y301" s="203" t="n">
        <x:v>53352.0249176816</x:v>
      </x:c>
      <x:c r="Z301" s="193" t="b">
        <x:v>1</x:v>
      </x:c>
      <x:c r="AA301" s="193" t="b">
        <x:v>0</x:v>
      </x:c>
      <x:c r="AB301" s="193" t="b">
        <x:v>1</x:v>
      </x:c>
      <x:c r="AC301" s="193" t="b">
        <x:v>1</x:v>
      </x:c>
      <x:c r="AD301" s="193" t="b">
        <x:v>1</x:v>
      </x:c>
      <x:c r="AE301" s="193" t="b">
        <x:v>1</x:v>
      </x:c>
      <x:c r="AF301" s="193" t="b">
        <x:v>1</x:v>
      </x:c>
      <x:c r="AG301" s="193" t="b">
        <x:v>1</x:v>
      </x:c>
      <x:c r="AH301" s="193" t="b">
        <x:v>1</x:v>
      </x:c>
      <x:c r="AI301" s="193" t="b">
        <x:v>1</x:v>
      </x:c>
      <x:c r="AJ301" s="193" t="b">
        <x:v>1</x:v>
      </x:c>
    </x:row>
    <x:row r="302">
      <x:c r="A302" s="192" t="n">
        <x:v>1181723518413479700</x:v>
      </x:c>
      <x:c r="B302" s="192" t="str">
        <x:v>https://www.airbnb.com.br/rooms/1181723518413479765</x:v>
      </x:c>
      <x:c r="C302" s="192" t="str">
        <x:v>Flats no centro de Itapema NOVO!</x:v>
      </x:c>
      <x:c r="D302" s="192" t="str">
        <x:v>Centro</x:v>
      </x:c>
      <x:c r="E302" s="192" t="n">
        <x:v>-27.0929134</x:v>
      </x:c>
      <x:c r="F302" s="192" t="n">
        <x:v>-48.6132024</x:v>
      </x:c>
      <x:c r="G302" s="192" t="str">
        <x:v>apartamento</x:v>
      </x:c>
      <x:c r="H302" s="192" t="n">
        <x:v>1</x:v>
      </x:c>
      <x:c r="I302" s="192" t="n">
        <x:v>1</x:v>
      </x:c>
      <x:c r="J302" s="192" t="n">
        <x:v>1</x:v>
      </x:c>
      <x:c r="K302" s="192" t="n">
        <x:v>4</x:v>
      </x:c>
      <x:c r="L302" s="192" t="n">
        <x:v>12</x:v>
      </x:c>
      <x:c r="M302" s="192" t="n">
        <x:v>4.6700000763</x:v>
      </x:c>
      <x:c r="N302" s="192" t="n">
        <x:v>150</x:v>
      </x:c>
      <x:c r="O302" s="192" t="n">
        <x:v>0</x:v>
      </x:c>
      <x:c r="P302" s="193" t="b">
        <x:v>0</x:v>
      </x:c>
      <x:c r="Q302" s="193" t="b">
        <x:v>0</x:v>
      </x:c>
      <x:c r="R302" s="193" t="b">
        <x:v>0</x:v>
      </x:c>
      <x:c r="S302" s="193" t="b">
        <x:v>0</x:v>
      </x:c>
      <x:c r="T302" s="192" t="n">
        <x:v>86</x:v>
      </x:c>
      <x:c r="U302" s="192" t="n">
        <x:v>4</x:v>
      </x:c>
      <x:c r="V302" s="200" t="n">
        <x:v>0.0444444444</x:v>
      </x:c>
      <x:c r="W302" s="203" t="n">
        <x:v>450</x:v>
      </x:c>
      <x:c r="X302" s="203" t="n">
        <x:v>1862.1323059266</x:v>
      </x:c>
      <x:c r="Y302" s="203" t="n">
        <x:v>4814.3878992811</x:v>
      </x:c>
      <x:c r="Z302" s="193" t="b">
        <x:v>1</x:v>
      </x:c>
      <x:c r="AA302" s="193" t="b">
        <x:v>1</x:v>
      </x:c>
      <x:c r="AB302" s="193" t="b">
        <x:v>1</x:v>
      </x:c>
      <x:c r="AC302" s="193" t="b">
        <x:v>1</x:v>
      </x:c>
      <x:c r="AD302" s="193" t="b">
        <x:v>0</x:v>
      </x:c>
      <x:c r="AE302" s="193" t="b">
        <x:v>0</x:v>
      </x:c>
      <x:c r="AF302" s="193" t="b">
        <x:v>0</x:v>
      </x:c>
      <x:c r="AG302" s="193" t="b">
        <x:v>1</x:v>
      </x:c>
      <x:c r="AH302" s="193" t="b">
        <x:v>1</x:v>
      </x:c>
      <x:c r="AI302" s="193" t="b">
        <x:v>1</x:v>
      </x:c>
      <x:c r="AJ302" s="193" t="b">
        <x:v>0</x:v>
      </x:c>
    </x:row>
    <x:row r="303">
      <x:c r="A303" s="192" t="n">
        <x:v>1019756845213291600</x:v>
      </x:c>
      <x:c r="B303" s="192" t="str">
        <x:v>https://www.airbnb.com.br/rooms/1019756845213291605</x:v>
      </x:c>
      <x:c r="C303" s="192" t="str">
        <x:v>Quarto Suite Privativa 100M da praia</x:v>
      </x:c>
      <x:c r="D303" s="192" t="str">
        <x:v>Centro</x:v>
      </x:c>
      <x:c r="E303" s="192" t="n">
        <x:v>-27.1019992828</x:v>
      </x:c>
      <x:c r="F303" s="192" t="n">
        <x:v>-48.6160011292</x:v>
      </x:c>
      <x:c r="G303" s="192" t="str">
        <x:v>outros</x:v>
      </x:c>
      <x:c r="H303" s="192" t="n">
        <x:v>1</x:v>
      </x:c>
      <x:c r="I303" s="192" t="n">
        <x:v>1</x:v>
      </x:c>
      <x:c r="J303" s="192" t="n">
        <x:v>1</x:v>
      </x:c>
      <x:c r="K303" s="192" t="n">
        <x:v>2</x:v>
      </x:c>
      <x:c r="L303" s="192" t="n">
        <x:v>16</x:v>
      </x:c>
      <x:c r="M303" s="192" t="n">
        <x:v>5</x:v>
      </x:c>
      <x:c r="N303" s="192" t="n">
        <x:v>150</x:v>
      </x:c>
      <x:c r="O303" s="192" t="n">
        <x:v>21</x:v>
      </x:c>
      <x:c r="P303" s="193" t="b">
        <x:v>0</x:v>
      </x:c>
      <x:c r="Q303" s="193" t="b">
        <x:v>0</x:v>
      </x:c>
      <x:c r="R303" s="193" t="b">
        <x:v>1</x:v>
      </x:c>
      <x:c r="S303" s="193" t="b">
        <x:v>1</x:v>
      </x:c>
      <x:c r="T303" s="192" t="n">
        <x:v>72</x:v>
      </x:c>
      <x:c r="U303" s="192" t="n">
        <x:v>18</x:v>
      </x:c>
      <x:c r="V303" s="200" t="n">
        <x:v>0.2</x:v>
      </x:c>
      <x:c r="W303" s="203" t="n">
        <x:v>179</x:v>
      </x:c>
      <x:c r="X303" s="203" t="n">
        <x:v>3184.2634672622</x:v>
      </x:c>
      <x:c r="Y303" s="203" t="n">
        <x:v>8232.6478393175</x:v>
      </x:c>
      <x:c r="Z303" s="193" t="b">
        <x:v>1</x:v>
      </x:c>
      <x:c r="AA303" s="193" t="b">
        <x:v>0</x:v>
      </x:c>
      <x:c r="AB303" s="193" t="b">
        <x:v>1</x:v>
      </x:c>
      <x:c r="AC303" s="193" t="b">
        <x:v>1</x:v>
      </x:c>
      <x:c r="AD303" s="193" t="b">
        <x:v>0</x:v>
      </x:c>
      <x:c r="AE303" s="193" t="b">
        <x:v>1</x:v>
      </x:c>
      <x:c r="AF303" s="193" t="b">
        <x:v>1</x:v>
      </x:c>
      <x:c r="AG303" s="193" t="b">
        <x:v>1</x:v>
      </x:c>
      <x:c r="AH303" s="193" t="b">
        <x:v>1</x:v>
      </x:c>
      <x:c r="AI303" s="193" t="b">
        <x:v>1</x:v>
      </x:c>
      <x:c r="AJ303" s="193" t="b">
        <x:v>1</x:v>
      </x:c>
    </x:row>
    <x:row r="304">
      <x:c r="A304" s="192" t="n">
        <x:v>22191680</x:v>
      </x:c>
      <x:c r="B304" s="192" t="str">
        <x:v>https://www.airbnb.com.br/rooms/22191680</x:v>
      </x:c>
      <x:c r="C304" s="192" t="str">
        <x:v>Apartamento a 50m do mar Meia Praia/Itapema</x:v>
      </x:c>
      <x:c r="D304" s="192" t="str">
        <x:v>Meia Praia</x:v>
      </x:c>
      <x:c r="E304" s="192" t="n">
        <x:v>-27.13939</x:v>
      </x:c>
      <x:c r="F304" s="192" t="n">
        <x:v>-48.5928</x:v>
      </x:c>
      <x:c r="G304" s="192" t="str">
        <x:v>apartamento</x:v>
      </x:c>
      <x:c r="H304" s="192" t="n">
        <x:v>2</x:v>
      </x:c>
      <x:c r="I304" s="192" t="n">
        <x:v>1</x:v>
      </x:c>
      <x:c r="J304" s="192" t="n">
        <x:v>4</x:v>
      </x:c>
      <x:c r="K304" s="192" t="n">
        <x:v>6</x:v>
      </x:c>
      <x:c r="L304" s="192" t="n">
        <x:v>94</x:v>
      </x:c>
      <x:c r="M304" s="192" t="n">
        <x:v>4.7699999809</x:v>
      </x:c>
      <x:c r="N304" s="192" t="n">
        <x:v>250</x:v>
      </x:c>
      <x:c r="O304" s="192" t="n">
        <x:v>15</x:v>
      </x:c>
      <x:c r="P304" s="193" t="b">
        <x:v>1</x:v>
      </x:c>
      <x:c r="Q304" s="193" t="b">
        <x:v>0</x:v>
      </x:c>
      <x:c r="R304" s="193" t="b">
        <x:v>1</x:v>
      </x:c>
      <x:c r="S304" s="193" t="b">
        <x:v>1</x:v>
      </x:c>
      <x:c r="T304" s="192" t="n">
        <x:v>69</x:v>
      </x:c>
      <x:c r="U304" s="192" t="n">
        <x:v>21</x:v>
      </x:c>
      <x:c r="V304" s="200" t="n">
        <x:v>0.2333333333</x:v>
      </x:c>
      <x:c r="W304" s="203" t="n">
        <x:v>400</x:v>
      </x:c>
      <x:c r="X304" s="203" t="n">
        <x:v>8771.4765806717</x:v>
      </x:c>
      <x:c r="Y304" s="203" t="n">
        <x:v>22677.9217429451</x:v>
      </x:c>
      <x:c r="Z304" s="193" t="b">
        <x:v>1</x:v>
      </x:c>
      <x:c r="AA304" s="193" t="b">
        <x:v>0</x:v>
      </x:c>
      <x:c r="AB304" s="193" t="b">
        <x:v>1</x:v>
      </x:c>
      <x:c r="AC304" s="193" t="b">
        <x:v>1</x:v>
      </x:c>
      <x:c r="AD304" s="193" t="b">
        <x:v>0</x:v>
      </x:c>
      <x:c r="AE304" s="193" t="b">
        <x:v>0</x:v>
      </x:c>
      <x:c r="AF304" s="193" t="b">
        <x:v>0</x:v>
      </x:c>
      <x:c r="AG304" s="193" t="b">
        <x:v>1</x:v>
      </x:c>
      <x:c r="AH304" s="193" t="b">
        <x:v>1</x:v>
      </x:c>
      <x:c r="AI304" s="193" t="b">
        <x:v>1</x:v>
      </x:c>
      <x:c r="AJ304" s="193" t="b">
        <x:v>1</x:v>
      </x:c>
    </x:row>
    <x:row r="305">
      <x:c r="A305" s="192" t="n">
        <x:v>41285546</x:v>
      </x:c>
      <x:c r="B305" s="192" t="str">
        <x:v>https://www.airbnb.com.br/rooms/41285546</x:v>
      </x:c>
      <x:c r="C305" s="192" t="str">
        <x:v>Quadra do mar - Meia Praia, Itapema</x:v>
      </x:c>
      <x:c r="D305" s="192" t="str">
        <x:v>Meia Praia</x:v>
      </x:c>
      <x:c r="E305" s="192" t="n">
        <x:v>-27.14166</x:v>
      </x:c>
      <x:c r="F305" s="192" t="n">
        <x:v>-48.59257</x:v>
      </x:c>
      <x:c r="G305" s="192" t="str">
        <x:v>apartamento</x:v>
      </x:c>
      <x:c r="H305" s="192" t="n">
        <x:v>3</x:v>
      </x:c>
      <x:c r="I305" s="192" t="n">
        <x:v>2</x:v>
      </x:c>
      <x:c r="J305" s="192" t="n">
        <x:v>3</x:v>
      </x:c>
      <x:c r="K305" s="192" t="n">
        <x:v>8</x:v>
      </x:c>
      <x:c r="L305" s="192" t="n">
        <x:v>37</x:v>
      </x:c>
      <x:c r="M305" s="192" t="n">
        <x:v>4.9699997902</x:v>
      </x:c>
      <x:c r="N305" s="192" t="n">
        <x:v>200</x:v>
      </x:c>
      <x:c r="O305" s="192" t="n">
        <x:v>25</x:v>
      </x:c>
      <x:c r="P305" s="193" t="b">
        <x:v>0</x:v>
      </x:c>
      <x:c r="Q305" s="193" t="b">
        <x:v>0</x:v>
      </x:c>
      <x:c r="R305" s="193" t="b">
        <x:v>1</x:v>
      </x:c>
      <x:c r="S305" s="193" t="b">
        <x:v>0</x:v>
      </x:c>
      <x:c r="T305" s="192" t="n">
        <x:v>79</x:v>
      </x:c>
      <x:c r="U305" s="192" t="n">
        <x:v>11</x:v>
      </x:c>
      <x:c r="V305" s="200" t="n">
        <x:v>0.1222222222</x:v>
      </x:c>
      <x:c r="W305" s="203" t="n">
        <x:v>850</x:v>
      </x:c>
      <x:c r="X305" s="203" t="n">
        <x:v>9044.972081811</x:v>
      </x:c>
      <x:c r="Y305" s="203" t="n">
        <x:v>23385.0215698489</x:v>
      </x:c>
      <x:c r="Z305" s="193" t="b">
        <x:v>1</x:v>
      </x:c>
      <x:c r="AA305" s="193" t="b">
        <x:v>0</x:v>
      </x:c>
      <x:c r="AB305" s="193" t="b">
        <x:v>1</x:v>
      </x:c>
      <x:c r="AC305" s="193" t="b">
        <x:v>1</x:v>
      </x:c>
      <x:c r="AD305" s="193" t="b">
        <x:v>0</x:v>
      </x:c>
      <x:c r="AE305" s="193" t="b">
        <x:v>1</x:v>
      </x:c>
      <x:c r="AF305" s="193" t="b">
        <x:v>1</x:v>
      </x:c>
      <x:c r="AG305" s="193" t="b">
        <x:v>1</x:v>
      </x:c>
      <x:c r="AH305" s="193" t="b">
        <x:v>1</x:v>
      </x:c>
      <x:c r="AI305" s="193" t="b">
        <x:v>1</x:v>
      </x:c>
      <x:c r="AJ305" s="193" t="b">
        <x:v>1</x:v>
      </x:c>
    </x:row>
    <x:row r="306">
      <x:c r="A306" s="192" t="n">
        <x:v>31682871</x:v>
      </x:c>
      <x:c r="B306" s="192" t="str">
        <x:v>https://www.airbnb.com.br/rooms/31682871</x:v>
      </x:c>
      <x:c r="C306" s="192" t="str">
        <x:v>Apto novo/mobiliado, 2 suítes, elevador-Itapema SC</x:v>
      </x:c>
      <x:c r="D306" s="192" t="str">
        <x:v>Centro</x:v>
      </x:c>
      <x:c r="E306" s="192" t="n">
        <x:v>-27.09026</x:v>
      </x:c>
      <x:c r="F306" s="192" t="n">
        <x:v>-48.61435</x:v>
      </x:c>
      <x:c r="G306" s="192" t="str">
        <x:v>apartamento</x:v>
      </x:c>
      <x:c r="H306" s="192" t="n">
        <x:v>2</x:v>
      </x:c>
      <x:c r="I306" s="192" t="n">
        <x:v>2</x:v>
      </x:c>
      <x:c r="J306" s="192" t="n">
        <x:v>3</x:v>
      </x:c>
      <x:c r="K306" s="192" t="n">
        <x:v>5</x:v>
      </x:c>
      <x:c r="L306" s="192" t="n">
        <x:v>59</x:v>
      </x:c>
      <x:c r="M306" s="192" t="n">
        <x:v>4.6799998283</x:v>
      </x:c>
      <x:c r="N306" s="192" t="n">
        <x:v>180</x:v>
      </x:c>
      <x:c r="O306" s="192" t="n">
        <x:v>21</x:v>
      </x:c>
      <x:c r="P306" s="193" t="b">
        <x:v>0</x:v>
      </x:c>
      <x:c r="Q306" s="193" t="b">
        <x:v>0</x:v>
      </x:c>
      <x:c r="R306" s="193" t="b">
        <x:v>0</x:v>
      </x:c>
      <x:c r="S306" s="193" t="b">
        <x:v>1</x:v>
      </x:c>
      <x:c r="T306" s="192" t="n">
        <x:v>38</x:v>
      </x:c>
      <x:c r="U306" s="192" t="n">
        <x:v>52</x:v>
      </x:c>
      <x:c r="V306" s="200" t="n">
        <x:v>0.5777777778</x:v>
      </x:c>
      <x:c r="W306" s="203" t="n">
        <x:v>290</x:v>
      </x:c>
      <x:c r="X306" s="203" t="n">
        <x:v>14776.1466671886</x:v>
      </x:c>
      <x:c r="Y306" s="203" t="n">
        <x:v>38202.4958624604</x:v>
      </x:c>
      <x:c r="Z306" s="193" t="b">
        <x:v>1</x:v>
      </x:c>
      <x:c r="AA306" s="193" t="b">
        <x:v>0</x:v>
      </x:c>
      <x:c r="AB306" s="193" t="b">
        <x:v>1</x:v>
      </x:c>
      <x:c r="AC306" s="193" t="b">
        <x:v>1</x:v>
      </x:c>
      <x:c r="AD306" s="193" t="b">
        <x:v>1</x:v>
      </x:c>
      <x:c r="AE306" s="193" t="b">
        <x:v>1</x:v>
      </x:c>
      <x:c r="AF306" s="193" t="b">
        <x:v>1</x:v>
      </x:c>
      <x:c r="AG306" s="193" t="b">
        <x:v>1</x:v>
      </x:c>
      <x:c r="AH306" s="193" t="b">
        <x:v>1</x:v>
      </x:c>
      <x:c r="AI306" s="193" t="b">
        <x:v>1</x:v>
      </x:c>
      <x:c r="AJ306" s="193" t="b">
        <x:v>1</x:v>
      </x:c>
    </x:row>
    <x:row r="307">
      <x:c r="A307" s="192" t="n">
        <x:v>22243318</x:v>
      </x:c>
      <x:c r="B307" s="192" t="str">
        <x:v>https://www.airbnb.com.br/rooms/22243318</x:v>
      </x:c>
      <x:c r="C307" s="192" t="str">
        <x:v>Apto redecorado,150mts mar, coração de Meia-Praia.</x:v>
      </x:c>
      <x:c r="D307" s="192" t="str">
        <x:v>Meia Praia</x:v>
      </x:c>
      <x:c r="E307" s="192" t="n">
        <x:v>-27.12686</x:v>
      </x:c>
      <x:c r="F307" s="192" t="n">
        <x:v>-48.60388</x:v>
      </x:c>
      <x:c r="G307" s="192" t="str">
        <x:v>apartamento</x:v>
      </x:c>
      <x:c r="H307" s="192" t="n">
        <x:v>2</x:v>
      </x:c>
      <x:c r="I307" s="192" t="n">
        <x:v>1</x:v>
      </x:c>
      <x:c r="J307" s="192" t="n">
        <x:v>2</x:v>
      </x:c>
      <x:c r="K307" s="192" t="n">
        <x:v>6</x:v>
      </x:c>
      <x:c r="L307" s="192" t="n">
        <x:v>32</x:v>
      </x:c>
      <x:c r="M307" s="192" t="n">
        <x:v>4.8400001526</x:v>
      </x:c>
      <x:c r="N307" s="192" t="n">
        <x:v>250</x:v>
      </x:c>
      <x:c r="O307" s="192" t="n">
        <x:v>22</x:v>
      </x:c>
      <x:c r="P307" s="193" t="b">
        <x:v>0</x:v>
      </x:c>
      <x:c r="Q307" s="193" t="b">
        <x:v>0</x:v>
      </x:c>
      <x:c r="R307" s="193" t="b">
        <x:v>0</x:v>
      </x:c>
      <x:c r="S307" s="193" t="b">
        <x:v>1</x:v>
      </x:c>
      <x:c r="T307" s="192" t="n">
        <x:v>34</x:v>
      </x:c>
      <x:c r="U307" s="192" t="n">
        <x:v>56</x:v>
      </x:c>
      <x:c r="V307" s="200" t="n">
        <x:v>0.6222222222</x:v>
      </x:c>
      <x:c r="W307" s="203" t="n">
        <x:v>480</x:v>
      </x:c>
      <x:c r="X307" s="203" t="n">
        <x:v>27091.7807492098</x:v>
      </x:c>
      <x:c r="Y307" s="203" t="n">
        <x:v>70043.541478686</x:v>
      </x:c>
      <x:c r="Z307" s="193" t="b">
        <x:v>1</x:v>
      </x:c>
      <x:c r="AA307" s="193" t="b">
        <x:v>0</x:v>
      </x:c>
      <x:c r="AB307" s="193" t="b">
        <x:v>1</x:v>
      </x:c>
      <x:c r="AC307" s="193" t="b">
        <x:v>1</x:v>
      </x:c>
      <x:c r="AD307" s="193" t="b">
        <x:v>1</x:v>
      </x:c>
      <x:c r="AE307" s="193" t="b">
        <x:v>0</x:v>
      </x:c>
      <x:c r="AF307" s="193" t="b">
        <x:v>1</x:v>
      </x:c>
      <x:c r="AG307" s="193" t="b">
        <x:v>1</x:v>
      </x:c>
      <x:c r="AH307" s="193" t="b">
        <x:v>1</x:v>
      </x:c>
      <x:c r="AI307" s="193" t="b">
        <x:v>1</x:v>
      </x:c>
      <x:c r="AJ307" s="193" t="b">
        <x:v>0</x:v>
      </x:c>
    </x:row>
    <x:row r="308">
      <x:c r="A308" s="192" t="n">
        <x:v>52172003</x:v>
      </x:c>
      <x:c r="B308" s="192" t="str">
        <x:v>https://www.airbnb.com.br/rooms/52172003</x:v>
      </x:c>
      <x:c r="C308" s="192" t="str">
        <x:v>Apartamento 102-</x:v>
      </x:c>
      <x:c r="D308" s="192" t="str">
        <x:v>Centro</x:v>
      </x:c>
      <x:c r="E308" s="192" t="n">
        <x:v>-27.09852</x:v>
      </x:c>
      <x:c r="F308" s="192" t="n">
        <x:v>-48.6142</x:v>
      </x:c>
      <x:c r="G308" s="192" t="str">
        <x:v>apartamento</x:v>
      </x:c>
      <x:c r="H308" s="192" t="n">
        <x:v>2</x:v>
      </x:c>
      <x:c r="I308" s="192" t="n">
        <x:v>2</x:v>
      </x:c>
      <x:c r="J308" s="192" t="n">
        <x:v>4</x:v>
      </x:c>
      <x:c r="K308" s="192" t="n">
        <x:v>6</x:v>
      </x:c>
      <x:c r="L308" s="192" t="n">
        <x:v>25</x:v>
      </x:c>
      <x:c r="M308" s="192" t="n">
        <x:v>5</x:v>
      </x:c>
      <x:c r="N308" s="192" t="n">
        <x:v>610</x:v>
      </x:c>
      <x:c r="O308" s="192" t="n">
        <x:v>12</x:v>
      </x:c>
      <x:c r="P308" s="193" t="b">
        <x:v>1</x:v>
      </x:c>
      <x:c r="Q308" s="193" t="b">
        <x:v>0</x:v>
      </x:c>
      <x:c r="R308" s="193" t="b">
        <x:v>1</x:v>
      </x:c>
      <x:c r="S308" s="193" t="b">
        <x:v>0</x:v>
      </x:c>
      <x:c r="T308" s="192" t="n">
        <x:v>42</x:v>
      </x:c>
      <x:c r="U308" s="192" t="n">
        <x:v>48</x:v>
      </x:c>
      <x:c r="V308" s="200" t="n">
        <x:v>0.5333333333</x:v>
      </x:c>
      <x:c r="W308" s="203" t="n">
        <x:v>317</x:v>
      </x:c>
      <x:c r="X308" s="203" t="n">
        <x:v>15915.0801764723</x:v>
      </x:c>
      <x:c r="Y308" s="203" t="n">
        <x:v>41147.1135395879</x:v>
      </x:c>
      <x:c r="Z308" s="193" t="b">
        <x:v>0</x:v>
      </x:c>
      <x:c r="AA308" s="193" t="b">
        <x:v>0</x:v>
      </x:c>
      <x:c r="AB308" s="193" t="b">
        <x:v>1</x:v>
      </x:c>
      <x:c r="AC308" s="193" t="b">
        <x:v>1</x:v>
      </x:c>
      <x:c r="AD308" s="193" t="b">
        <x:v>0</x:v>
      </x:c>
      <x:c r="AE308" s="193" t="b">
        <x:v>1</x:v>
      </x:c>
      <x:c r="AF308" s="193" t="b">
        <x:v>1</x:v>
      </x:c>
      <x:c r="AG308" s="193" t="b">
        <x:v>1</x:v>
      </x:c>
      <x:c r="AH308" s="193" t="b">
        <x:v>1</x:v>
      </x:c>
      <x:c r="AI308" s="193" t="b">
        <x:v>1</x:v>
      </x:c>
      <x:c r="AJ308" s="193" t="b">
        <x:v>0</x:v>
      </x:c>
    </x:row>
    <x:row r="309">
      <x:c r="A309" s="192" t="n">
        <x:v>18506998</x:v>
      </x:c>
      <x:c r="B309" s="192" t="str">
        <x:v>https://www.airbnb.com.br/rooms/18506998</x:v>
      </x:c>
      <x:c r="C309" s="192" t="str">
        <x:v>Apartamento diferenciado na quadra mar.</x:v>
      </x:c>
      <x:c r="D309" s="192" t="str">
        <x:v>Centro</x:v>
      </x:c>
      <x:c r="E309" s="192" t="n">
        <x:v>-27.09714</x:v>
      </x:c>
      <x:c r="F309" s="192" t="n">
        <x:v>-48.61485</x:v>
      </x:c>
      <x:c r="G309" s="192" t="str">
        <x:v>apartamento</x:v>
      </x:c>
      <x:c r="H309" s="192" t="n">
        <x:v>2</x:v>
      </x:c>
      <x:c r="I309" s="192" t="n">
        <x:v>2</x:v>
      </x:c>
      <x:c r="J309" s="192" t="n">
        <x:v>3</x:v>
      </x:c>
      <x:c r="K309" s="192" t="n">
        <x:v>4</x:v>
      </x:c>
      <x:c r="L309" s="192" t="n">
        <x:v>29</x:v>
      </x:c>
      <x:c r="M309" s="192" t="n">
        <x:v>5</x:v>
      </x:c>
      <x:c r="N309" s="192" t="n">
        <x:v>180</x:v>
      </x:c>
      <x:c r="O309" s="192" t="n">
        <x:v>22</x:v>
      </x:c>
      <x:c r="P309" s="193" t="b">
        <x:v>0</x:v>
      </x:c>
      <x:c r="Q309" s="193" t="b">
        <x:v>0</x:v>
      </x:c>
      <x:c r="R309" s="193" t="b">
        <x:v>1</x:v>
      </x:c>
      <x:c r="S309" s="193" t="b">
        <x:v>1</x:v>
      </x:c>
      <x:c r="T309" s="192" t="n">
        <x:v>20</x:v>
      </x:c>
      <x:c r="U309" s="192" t="n">
        <x:v>70</x:v>
      </x:c>
      <x:c r="V309" s="200" t="n">
        <x:v>0.7777777778</x:v>
      </x:c>
      <x:c r="W309" s="203" t="n">
        <x:v>350</x:v>
      </x:c>
      <x:c r="X309" s="203" t="n">
        <x:v>24686.6667623801</x:v>
      </x:c>
      <x:c r="Y309" s="203" t="n">
        <x:v>63825.3196919036</x:v>
      </x:c>
      <x:c r="Z309" s="193" t="b">
        <x:v>0</x:v>
      </x:c>
      <x:c r="AA309" s="193" t="b">
        <x:v>0</x:v>
      </x:c>
      <x:c r="AB309" s="193" t="b">
        <x:v>1</x:v>
      </x:c>
      <x:c r="AC309" s="193" t="b">
        <x:v>1</x:v>
      </x:c>
      <x:c r="AD309" s="193" t="b">
        <x:v>1</x:v>
      </x:c>
      <x:c r="AE309" s="193" t="b">
        <x:v>1</x:v>
      </x:c>
      <x:c r="AF309" s="193" t="b">
        <x:v>1</x:v>
      </x:c>
      <x:c r="AG309" s="193" t="b">
        <x:v>1</x:v>
      </x:c>
      <x:c r="AH309" s="193" t="b">
        <x:v>1</x:v>
      </x:c>
      <x:c r="AI309" s="193" t="b">
        <x:v>1</x:v>
      </x:c>
      <x:c r="AJ309" s="193" t="b">
        <x:v>0</x:v>
      </x:c>
    </x:row>
    <x:row r="310">
      <x:c r="A310" s="192" t="n">
        <x:v>39145712</x:v>
      </x:c>
      <x:c r="B310" s="192" t="str">
        <x:v>https://www.airbnb.com.br/rooms/39145712</x:v>
      </x:c>
      <x:c r="C310" s="192" t="str">
        <x:v>Inesquecível #Pé na AREIA #Apto FRENTE MAR Itapema</x:v>
      </x:c>
      <x:c r="D310" s="192" t="str">
        <x:v>Morretes</x:v>
      </x:c>
      <x:c r="E310" s="192" t="n">
        <x:v>-27.1154308319</x:v>
      </x:c>
      <x:c r="F310" s="192" t="n">
        <x:v>-48.6085090637</x:v>
      </x:c>
      <x:c r="G310" s="192" t="str">
        <x:v>apartamento</x:v>
      </x:c>
      <x:c r="H310" s="192" t="n">
        <x:v>3</x:v>
      </x:c>
      <x:c r="I310" s="192" t="n">
        <x:v>2</x:v>
      </x:c>
      <x:c r="J310" s="192" t="n">
        <x:v>3</x:v>
      </x:c>
      <x:c r="K310" s="192" t="n">
        <x:v>8</x:v>
      </x:c>
      <x:c r="L310" s="192" t="n">
        <x:v>166</x:v>
      </x:c>
      <x:c r="M310" s="192" t="n">
        <x:v>4.9000000954</x:v>
      </x:c>
      <x:c r="N310" s="192" t="n">
        <x:v>150</x:v>
      </x:c>
      <x:c r="O310" s="192" t="n">
        <x:v>72</x:v>
      </x:c>
      <x:c r="P310" s="193" t="b">
        <x:v>1</x:v>
      </x:c>
      <x:c r="Q310" s="193" t="b">
        <x:v>0</x:v>
      </x:c>
      <x:c r="R310" s="193" t="b">
        <x:v>1</x:v>
      </x:c>
      <x:c r="S310" s="193" t="b">
        <x:v>1</x:v>
      </x:c>
      <x:c r="T310" s="192" t="n">
        <x:v>19</x:v>
      </x:c>
      <x:c r="U310" s="192" t="n">
        <x:v>71</x:v>
      </x:c>
      <x:c r="V310" s="200" t="n">
        <x:v>0.7888888889</x:v>
      </x:c>
      <x:c r="W310" s="203" t="n">
        <x:v>651</x:v>
      </x:c>
      <x:c r="X310" s="203" t="n">
        <x:v>46388.5926050249</x:v>
      </x:c>
      <x:c r="Y310" s="203" t="n">
        <x:v>119933.8404642415</x:v>
      </x:c>
      <x:c r="Z310" s="193" t="b">
        <x:v>0</x:v>
      </x:c>
      <x:c r="AA310" s="193" t="b">
        <x:v>0</x:v>
      </x:c>
      <x:c r="AB310" s="193" t="b">
        <x:v>1</x:v>
      </x:c>
      <x:c r="AC310" s="193" t="b">
        <x:v>1</x:v>
      </x:c>
      <x:c r="AD310" s="193" t="b">
        <x:v>1</x:v>
      </x:c>
      <x:c r="AE310" s="193" t="b">
        <x:v>1</x:v>
      </x:c>
      <x:c r="AF310" s="193" t="b">
        <x:v>1</x:v>
      </x:c>
      <x:c r="AG310" s="193" t="b">
        <x:v>1</x:v>
      </x:c>
      <x:c r="AH310" s="193" t="b">
        <x:v>1</x:v>
      </x:c>
      <x:c r="AI310" s="193" t="b">
        <x:v>1</x:v>
      </x:c>
      <x:c r="AJ310" s="193" t="b">
        <x:v>1</x:v>
      </x:c>
    </x:row>
    <x:row r="311">
      <x:c r="A311" s="192" t="n">
        <x:v>1153493820067017200</x:v>
      </x:c>
      <x:c r="B311" s="192" t="str">
        <x:v>https://www.airbnb.com.br/rooms/1153493820067017135</x:v>
      </x:c>
      <x:c r="C311" s="192" t="str">
        <x:v>Conforto próximo a praia em Itapema UT8931</x:v>
      </x:c>
      <x:c r="D311" s="192" t="str">
        <x:v>Centro</x:v>
      </x:c>
      <x:c r="E311" s="192" t="n">
        <x:v>-27.0998241402</x:v>
      </x:c>
      <x:c r="F311" s="192" t="n">
        <x:v>-48.6161954122</x:v>
      </x:c>
      <x:c r="G311" s="192" t="str">
        <x:v>apartamento</x:v>
      </x:c>
      <x:c r="H311" s="192" t="n">
        <x:v>2</x:v>
      </x:c>
      <x:c r="I311" s="192" t="n">
        <x:v>2</x:v>
      </x:c>
      <x:c r="J311" s="192" t="n">
        <x:v>3</x:v>
      </x:c>
      <x:c r="K311" s="192" t="n">
        <x:v>4</x:v>
      </x:c>
      <x:c r="L311" s="192" t="n">
        <x:v>4</x:v>
      </x:c>
      <x:c r="M311" s="192" t="n">
        <x:v>5</x:v>
      </x:c>
      <x:c r="N311" s="192" t="n">
        <x:v>357</x:v>
      </x:c>
      <x:c r="O311" s="192" t="n">
        <x:v>0</x:v>
      </x:c>
      <x:c r="P311" s="193" t="b">
        <x:v>1</x:v>
      </x:c>
      <x:c r="Q311" s="193" t="b">
        <x:v>1</x:v>
      </x:c>
      <x:c r="R311" s="193" t="b">
        <x:v>0</x:v>
      </x:c>
      <x:c r="S311" s="193" t="b">
        <x:v>0</x:v>
      </x:c>
      <x:c r="T311" s="192" t="n">
        <x:v>57</x:v>
      </x:c>
      <x:c r="U311" s="192" t="n">
        <x:v>33</x:v>
      </x:c>
      <x:c r="V311" s="200" t="n">
        <x:v>0.3666666667</x:v>
      </x:c>
      <x:c r="W311" s="203" t="n">
        <x:v>403.25</x:v>
      </x:c>
      <x:c r="X311" s="203" t="n">
        <x:v>13933.4423630716</x:v>
      </x:c>
      <x:c r="Y311" s="203" t="n">
        <x:v>36023.7541095248</x:v>
      </x:c>
      <x:c r="Z311" s="193" t="b">
        <x:v>1</x:v>
      </x:c>
      <x:c r="AA311" s="193" t="b">
        <x:v>0</x:v>
      </x:c>
      <x:c r="AB311" s="193" t="b">
        <x:v>1</x:v>
      </x:c>
      <x:c r="AC311" s="193" t="b">
        <x:v>1</x:v>
      </x:c>
      <x:c r="AD311" s="193" t="b">
        <x:v>1</x:v>
      </x:c>
      <x:c r="AE311" s="193" t="b">
        <x:v>0</x:v>
      </x:c>
      <x:c r="AF311" s="193" t="b">
        <x:v>1</x:v>
      </x:c>
      <x:c r="AG311" s="193" t="b">
        <x:v>0</x:v>
      </x:c>
      <x:c r="AH311" s="193" t="b">
        <x:v>1</x:v>
      </x:c>
      <x:c r="AI311" s="193" t="b">
        <x:v>1</x:v>
      </x:c>
      <x:c r="AJ311" s="193" t="b">
        <x:v>0</x:v>
      </x:c>
    </x:row>
    <x:row r="312">
      <x:c r="A312" s="192" t="n">
        <x:v>53803935</x:v>
      </x:c>
      <x:c r="B312" s="192" t="str">
        <x:v>https://www.airbnb.com.br/rooms/53803935</x:v>
      </x:c>
      <x:c r="C312" s="192" t="str">
        <x:v>Apartamento na Quadra Mar Para Toda Família</x:v>
      </x:c>
      <x:c r="D312" s="192" t="str">
        <x:v>Meia Praia</x:v>
      </x:c>
      <x:c r="E312" s="192" t="n">
        <x:v>-27.14353</x:v>
      </x:c>
      <x:c r="F312" s="192" t="n">
        <x:v>-48.58944</x:v>
      </x:c>
      <x:c r="G312" s="192" t="str">
        <x:v>apartamento</x:v>
      </x:c>
      <x:c r="H312" s="192" t="n">
        <x:v>3</x:v>
      </x:c>
      <x:c r="I312" s="192" t="n">
        <x:v>2</x:v>
      </x:c>
      <x:c r="J312" s="192" t="n">
        <x:v>8</x:v>
      </x:c>
      <x:c r="K312" s="192" t="n">
        <x:v>12</x:v>
      </x:c>
      <x:c r="L312" s="192" t="n">
        <x:v>13</x:v>
      </x:c>
      <x:c r="M312" s="192" t="n">
        <x:v>4.8499999046</x:v>
      </x:c>
      <x:c r="N312" s="192" t="n">
        <x:v>290</x:v>
      </x:c>
      <x:c r="O312" s="192" t="n">
        <x:v>18</x:v>
      </x:c>
      <x:c r="P312" s="193" t="b">
        <x:v>1</x:v>
      </x:c>
      <x:c r="Q312" s="193" t="b">
        <x:v>0</x:v>
      </x:c>
      <x:c r="R312" s="193" t="b">
        <x:v>0</x:v>
      </x:c>
      <x:c r="S312" s="193" t="b">
        <x:v>0</x:v>
      </x:c>
      <x:c r="T312" s="192" t="n">
        <x:v>26</x:v>
      </x:c>
      <x:c r="U312" s="192" t="n">
        <x:v>64</x:v>
      </x:c>
      <x:c r="V312" s="200" t="n">
        <x:v>0.7111111111</x:v>
      </x:c>
      <x:c r="W312" s="203" t="n">
        <x:v>604.3333</x:v>
      </x:c>
      <x:c r="X312" s="203" t="n">
        <x:v>38192.4991029045</x:v>
      </x:c>
      <x:c r="Y312" s="203" t="n">
        <x:v>98743.5237223009</x:v>
      </x:c>
      <x:c r="Z312" s="193" t="b">
        <x:v>0</x:v>
      </x:c>
      <x:c r="AA312" s="193" t="b">
        <x:v>0</x:v>
      </x:c>
      <x:c r="AB312" s="193" t="b">
        <x:v>1</x:v>
      </x:c>
      <x:c r="AC312" s="193" t="b">
        <x:v>1</x:v>
      </x:c>
      <x:c r="AD312" s="193" t="b">
        <x:v>0</x:v>
      </x:c>
      <x:c r="AE312" s="193" t="b">
        <x:v>1</x:v>
      </x:c>
      <x:c r="AF312" s="193" t="b">
        <x:v>1</x:v>
      </x:c>
      <x:c r="AG312" s="193" t="b">
        <x:v>1</x:v>
      </x:c>
      <x:c r="AH312" s="193" t="b">
        <x:v>1</x:v>
      </x:c>
      <x:c r="AI312" s="193" t="b">
        <x:v>1</x:v>
      </x:c>
      <x:c r="AJ312" s="193" t="b">
        <x:v>0</x:v>
      </x:c>
    </x:row>
    <x:row r="313">
      <x:c r="A313" s="192" t="n">
        <x:v>47052262</x:v>
      </x:c>
      <x:c r="B313" s="192" t="str">
        <x:v>https://www.airbnb.com.br/rooms/47052262</x:v>
      </x:c>
      <x:c r="C313" s="192" t="str">
        <x:v>APARTAMENTO 402</x:v>
      </x:c>
      <x:c r="D313" s="192" t="str">
        <x:v>Centro</x:v>
      </x:c>
      <x:c r="E313" s="192" t="n">
        <x:v>-27.09841</x:v>
      </x:c>
      <x:c r="F313" s="192" t="n">
        <x:v>-48.61409</x:v>
      </x:c>
      <x:c r="G313" s="192" t="str">
        <x:v>apartamento</x:v>
      </x:c>
      <x:c r="H313" s="192" t="n">
        <x:v>3</x:v>
      </x:c>
      <x:c r="I313" s="192" t="n">
        <x:v>2</x:v>
      </x:c>
      <x:c r="J313" s="192" t="n">
        <x:v>1</x:v>
      </x:c>
      <x:c r="K313" s="192" t="n">
        <x:v>7</x:v>
      </x:c>
      <x:c r="L313" s="192" t="n">
        <x:v>19</x:v>
      </x:c>
      <x:c r="M313" s="192" t="n">
        <x:v>4.8899998665</x:v>
      </x:c>
      <x:c r="N313" s="192" t="n">
        <x:v>610</x:v>
      </x:c>
      <x:c r="O313" s="192" t="n">
        <x:v>9</x:v>
      </x:c>
      <x:c r="P313" s="193" t="b">
        <x:v>1</x:v>
      </x:c>
      <x:c r="Q313" s="193" t="b">
        <x:v>0</x:v>
      </x:c>
      <x:c r="R313" s="193" t="b">
        <x:v>1</x:v>
      </x:c>
      <x:c r="S313" s="193" t="b">
        <x:v>0</x:v>
      </x:c>
      <x:c r="T313" s="192" t="n">
        <x:v>68</x:v>
      </x:c>
      <x:c r="U313" s="192" t="n">
        <x:v>22</x:v>
      </x:c>
      <x:c r="V313" s="200" t="n">
        <x:v>0.2444444444</x:v>
      </x:c>
      <x:c r="W313" s="203" t="n">
        <x:v>399</x:v>
      </x:c>
      <x:c r="X313" s="203" t="n">
        <x:v>8835.7077291723</x:v>
      </x:c>
      <x:c r="Y313" s="203" t="n">
        <x:v>22843.9860247975</x:v>
      </x:c>
      <x:c r="Z313" s="193" t="b">
        <x:v>1</x:v>
      </x:c>
      <x:c r="AA313" s="193" t="b">
        <x:v>0</x:v>
      </x:c>
      <x:c r="AB313" s="193" t="b">
        <x:v>1</x:v>
      </x:c>
      <x:c r="AC313" s="193" t="b">
        <x:v>1</x:v>
      </x:c>
      <x:c r="AD313" s="193" t="b">
        <x:v>0</x:v>
      </x:c>
      <x:c r="AE313" s="193" t="b">
        <x:v>0</x:v>
      </x:c>
      <x:c r="AF313" s="193" t="b">
        <x:v>1</x:v>
      </x:c>
      <x:c r="AG313" s="193" t="b">
        <x:v>1</x:v>
      </x:c>
      <x:c r="AH313" s="193" t="b">
        <x:v>1</x:v>
      </x:c>
      <x:c r="AI313" s="193" t="b">
        <x:v>1</x:v>
      </x:c>
      <x:c r="AJ313" s="193" t="b">
        <x:v>0</x:v>
      </x:c>
    </x:row>
    <x:row r="314">
      <x:c r="A314" s="192" t="n">
        <x:v>51866473</x:v>
      </x:c>
      <x:c r="B314" s="192" t="str">
        <x:v>https://www.airbnb.com.br/rooms/51866473</x:v>
      </x:c>
      <x:c r="C314" s="192" t="str">
        <x:v>"AP QUADRA MAR" Na melhor localização d Meia Praia</x:v>
      </x:c>
      <x:c r="D314" s="192" t="str">
        <x:v>Meia Praia</x:v>
      </x:c>
      <x:c r="E314" s="192" t="n">
        <x:v>-27.12732</x:v>
      </x:c>
      <x:c r="F314" s="192" t="n">
        <x:v>-48.60225</x:v>
      </x:c>
      <x:c r="G314" s="192" t="str">
        <x:v>apartamento</x:v>
      </x:c>
      <x:c r="H314" s="192" t="n">
        <x:v>3</x:v>
      </x:c>
      <x:c r="I314" s="192" t="n">
        <x:v>2</x:v>
      </x:c>
      <x:c r="J314" s="192" t="n">
        <x:v>3</x:v>
      </x:c>
      <x:c r="K314" s="192" t="n">
        <x:v>8</x:v>
      </x:c>
      <x:c r="L314" s="192" t="n">
        <x:v>30</x:v>
      </x:c>
      <x:c r="M314" s="192" t="n">
        <x:v>4.9699997902</x:v>
      </x:c>
      <x:c r="N314" s="192" t="n">
        <x:v>250</x:v>
      </x:c>
      <x:c r="O314" s="192" t="n">
        <x:v>23</x:v>
      </x:c>
      <x:c r="P314" s="193" t="b">
        <x:v>0</x:v>
      </x:c>
      <x:c r="Q314" s="193" t="b">
        <x:v>0</x:v>
      </x:c>
      <x:c r="R314" s="193" t="b">
        <x:v>1</x:v>
      </x:c>
      <x:c r="S314" s="193" t="b">
        <x:v>1</x:v>
      </x:c>
      <x:c r="T314" s="192" t="n">
        <x:v>45</x:v>
      </x:c>
      <x:c r="U314" s="192" t="n">
        <x:v>45</x:v>
      </x:c>
      <x:c r="V314" s="200" t="n">
        <x:v>0.5</x:v>
      </x:c>
      <x:c r="W314" s="203" t="n">
        <x:v>450</x:v>
      </x:c>
      <x:c r="X314" s="203" t="n">
        <x:v>19857.1049434833</x:v>
      </x:c>
      <x:c r="Y314" s="203" t="n">
        <x:v>51338.8900726308</x:v>
      </x:c>
      <x:c r="Z314" s="193" t="b">
        <x:v>1</x:v>
      </x:c>
      <x:c r="AA314" s="193" t="b">
        <x:v>0</x:v>
      </x:c>
      <x:c r="AB314" s="193" t="b">
        <x:v>1</x:v>
      </x:c>
      <x:c r="AC314" s="193" t="b">
        <x:v>1</x:v>
      </x:c>
      <x:c r="AD314" s="193" t="b">
        <x:v>1</x:v>
      </x:c>
      <x:c r="AE314" s="193" t="b">
        <x:v>0</x:v>
      </x:c>
      <x:c r="AF314" s="193" t="b">
        <x:v>1</x:v>
      </x:c>
      <x:c r="AG314" s="193" t="b">
        <x:v>1</x:v>
      </x:c>
      <x:c r="AH314" s="193" t="b">
        <x:v>1</x:v>
      </x:c>
      <x:c r="AI314" s="193" t="b">
        <x:v>1</x:v>
      </x:c>
      <x:c r="AJ314" s="193" t="b">
        <x:v>1</x:v>
      </x:c>
    </x:row>
    <x:row r="315">
      <x:c r="A315" s="192" t="n">
        <x:v>1182040498646675700</x:v>
      </x:c>
      <x:c r="B315" s="192" t="str">
        <x:v>https://www.airbnb.com.br/rooms/1182040498646675653</x:v>
      </x:c>
      <x:c r="C315" s="192" t="str">
        <x:v>Apto Moderno c/ Churrasq/ e Próx ao Mar MHF0502</x:v>
      </x:c>
      <x:c r="D315" s="192" t="str">
        <x:v>Centro</x:v>
      </x:c>
      <x:c r="E315" s="192" t="n">
        <x:v>-27.0936893</x:v>
      </x:c>
      <x:c r="F315" s="192" t="n">
        <x:v>-48.6131638</x:v>
      </x:c>
      <x:c r="G315" s="192" t="str">
        <x:v>apartamento</x:v>
      </x:c>
      <x:c r="H315" s="192" t="n">
        <x:v>2</x:v>
      </x:c>
      <x:c r="I315" s="192" t="n">
        <x:v>1</x:v>
      </x:c>
      <x:c r="J315" s="192" t="n">
        <x:v>3</x:v>
      </x:c>
      <x:c r="K315" s="192" t="n">
        <x:v>6</x:v>
      </x:c>
      <x:c r="L315" s="192" t="n">
        <x:v>2</x:v>
      </x:c>
      <x:c r="M315" s="192" t="n">
        <x:v>5</x:v>
      </x:c>
      <x:c r="N315" s="192" t="n">
        <x:v>240</x:v>
      </x:c>
      <x:c r="O315" s="192" t="n">
        <x:v>0</x:v>
      </x:c>
      <x:c r="P315" s="193" t="b">
        <x:v>1</x:v>
      </x:c>
      <x:c r="Q315" s="193" t="b">
        <x:v>1</x:v>
      </x:c>
      <x:c r="R315" s="193" t="b">
        <x:v>0</x:v>
      </x:c>
      <x:c r="S315" s="193" t="b">
        <x:v>0</x:v>
      </x:c>
      <x:c r="T315" s="192" t="n">
        <x:v>50</x:v>
      </x:c>
      <x:c r="U315" s="192" t="n">
        <x:v>40</x:v>
      </x:c>
      <x:c r="V315" s="200" t="n">
        <x:v>0.4444444444</x:v>
      </x:c>
      <x:c r="W315" s="203" t="n">
        <x:v>603.75</x:v>
      </x:c>
      <x:c r="X315" s="203" t="n">
        <x:v>25434.3399551818</x:v>
      </x:c>
      <x:c r="Y315" s="203" t="n">
        <x:v>65758.3664257929</x:v>
      </x:c>
      <x:c r="Z315" s="193" t="b">
        <x:v>1</x:v>
      </x:c>
      <x:c r="AA315" s="193" t="b">
        <x:v>1</x:v>
      </x:c>
      <x:c r="AB315" s="193" t="b">
        <x:v>1</x:v>
      </x:c>
      <x:c r="AC315" s="193" t="b">
        <x:v>1</x:v>
      </x:c>
      <x:c r="AD315" s="193" t="b">
        <x:v>1</x:v>
      </x:c>
      <x:c r="AE315" s="193" t="b">
        <x:v>0</x:v>
      </x:c>
      <x:c r="AF315" s="193" t="b">
        <x:v>1</x:v>
      </x:c>
      <x:c r="AG315" s="193" t="b">
        <x:v>1</x:v>
      </x:c>
      <x:c r="AH315" s="193" t="b">
        <x:v>1</x:v>
      </x:c>
      <x:c r="AI315" s="193" t="b">
        <x:v>1</x:v>
      </x:c>
      <x:c r="AJ315" s="193" t="b">
        <x:v>0</x:v>
      </x:c>
    </x:row>
    <x:row r="316">
      <x:c r="A316" s="192" t="n">
        <x:v>1039235354309449000</x:v>
      </x:c>
      <x:c r="B316" s="192" t="str">
        <x:v>https://www.airbnb.com.br/rooms/1039235354309448898</x:v>
      </x:c>
      <x:c r="C316" s="192" t="str">
        <x:v>Apartamento 300 metros da praia de Itapema</x:v>
      </x:c>
      <x:c r="D316" s="192" t="str">
        <x:v>Centro</x:v>
      </x:c>
      <x:c r="E316" s="192" t="n">
        <x:v>-27.0909996033</x:v>
      </x:c>
      <x:c r="F316" s="192" t="n">
        <x:v>-48.6129989624</x:v>
      </x:c>
      <x:c r="G316" s="192" t="str">
        <x:v>apartamento</x:v>
      </x:c>
      <x:c r="H316" s="192" t="n">
        <x:v>2</x:v>
      </x:c>
      <x:c r="I316" s="192" t="n">
        <x:v>1</x:v>
      </x:c>
      <x:c r="J316" s="192" t="n">
        <x:v>3</x:v>
      </x:c>
      <x:c r="K316" s="192" t="n">
        <x:v>2</x:v>
      </x:c>
      <x:c r="L316" s="192" t="n">
        <x:v>8</x:v>
      </x:c>
      <x:c r="M316" s="192" t="n">
        <x:v>5</x:v>
      </x:c>
      <x:c r="N316" s="192" t="n">
        <x:v>350</x:v>
      </x:c>
      <x:c r="O316" s="192" t="n">
        <x:v>15</x:v>
      </x:c>
      <x:c r="P316" s="193" t="b">
        <x:v>1</x:v>
      </x:c>
      <x:c r="Q316" s="193" t="b">
        <x:v>0</x:v>
      </x:c>
      <x:c r="R316" s="193" t="b">
        <x:v>1</x:v>
      </x:c>
      <x:c r="S316" s="193" t="b">
        <x:v>1</x:v>
      </x:c>
      <x:c r="T316" s="192" t="n">
        <x:v>60</x:v>
      </x:c>
      <x:c r="U316" s="192" t="n">
        <x:v>30</x:v>
      </x:c>
      <x:c r="V316" s="200" t="n">
        <x:v>0.3333333333</x:v>
      </x:c>
      <x:c r="W316" s="203" t="n">
        <x:v>150</x:v>
      </x:c>
      <x:c r="X316" s="203" t="n">
        <x:v>4431.4864711613</x:v>
      </x:c>
      <x:c r="Y316" s="203" t="n">
        <x:v>11457.2389806484</x:v>
      </x:c>
      <x:c r="Z316" s="193" t="b">
        <x:v>1</x:v>
      </x:c>
      <x:c r="AA316" s="193" t="b">
        <x:v>0</x:v>
      </x:c>
      <x:c r="AB316" s="193" t="b">
        <x:v>1</x:v>
      </x:c>
      <x:c r="AC316" s="193" t="b">
        <x:v>1</x:v>
      </x:c>
      <x:c r="AD316" s="193" t="b">
        <x:v>0</x:v>
      </x:c>
      <x:c r="AE316" s="193" t="b">
        <x:v>0</x:v>
      </x:c>
      <x:c r="AF316" s="193" t="b">
        <x:v>1</x:v>
      </x:c>
      <x:c r="AG316" s="193" t="b">
        <x:v>0</x:v>
      </x:c>
      <x:c r="AH316" s="193" t="b">
        <x:v>1</x:v>
      </x:c>
      <x:c r="AI316" s="193" t="b">
        <x:v>1</x:v>
      </x:c>
      <x:c r="AJ316" s="193" t="b">
        <x:v>0</x:v>
      </x:c>
    </x:row>
    <x:row r="317">
      <x:c r="A317" s="192" t="n">
        <x:v>41404141</x:v>
      </x:c>
      <x:c r="B317" s="192" t="str">
        <x:v>https://www.airbnb.com.br/rooms/41404141</x:v>
      </x:c>
      <x:c r="C317" s="192" t="str">
        <x:v>Apto a 70 metros da praia. Sacada ampla vista mar.</x:v>
      </x:c>
      <x:c r="D317" s="192" t="str">
        <x:v>Meia Praia</x:v>
      </x:c>
      <x:c r="E317" s="192" t="n">
        <x:v>-27.13329</x:v>
      </x:c>
      <x:c r="F317" s="192" t="n">
        <x:v>-48.59653</x:v>
      </x:c>
      <x:c r="G317" s="192" t="str">
        <x:v>apartamento</x:v>
      </x:c>
      <x:c r="H317" s="192" t="n">
        <x:v>3</x:v>
      </x:c>
      <x:c r="I317" s="192" t="n">
        <x:v>2</x:v>
      </x:c>
      <x:c r="J317" s="192" t="n">
        <x:v>4</x:v>
      </x:c>
      <x:c r="K317" s="192" t="n">
        <x:v>6</x:v>
      </x:c>
      <x:c r="L317" s="192" t="n">
        <x:v>5</x:v>
      </x:c>
      <x:c r="M317" s="192" t="n">
        <x:v>5</x:v>
      </x:c>
      <x:c r="N317" s="192" t="n">
        <x:v>180</x:v>
      </x:c>
      <x:c r="O317" s="192" t="n">
        <x:v>20</x:v>
      </x:c>
      <x:c r="P317" s="193" t="b">
        <x:v>0</x:v>
      </x:c>
      <x:c r="Q317" s="193" t="b">
        <x:v>0</x:v>
      </x:c>
      <x:c r="R317" s="193" t="b">
        <x:v>0</x:v>
      </x:c>
      <x:c r="S317" s="193" t="b">
        <x:v>0</x:v>
      </x:c>
      <x:c r="T317" s="192" t="n">
        <x:v>68</x:v>
      </x:c>
      <x:c r="U317" s="192" t="n">
        <x:v>22</x:v>
      </x:c>
      <x:c r="V317" s="200" t="n">
        <x:v>0.2444444444</x:v>
      </x:c>
      <x:c r="W317" s="203" t="n">
        <x:v>690</x:v>
      </x:c>
      <x:c r="X317" s="203" t="n">
        <x:v>15081.2735601496</x:v>
      </x:c>
      <x:c r="Y317" s="203" t="n">
        <x:v>38991.3760169702</x:v>
      </x:c>
      <x:c r="Z317" s="193" t="b">
        <x:v>1</x:v>
      </x:c>
      <x:c r="AA317" s="193" t="b">
        <x:v>0</x:v>
      </x:c>
      <x:c r="AB317" s="193" t="b">
        <x:v>1</x:v>
      </x:c>
      <x:c r="AC317" s="193" t="b">
        <x:v>1</x:v>
      </x:c>
      <x:c r="AD317" s="193" t="b">
        <x:v>1</x:v>
      </x:c>
      <x:c r="AE317" s="193" t="b">
        <x:v>1</x:v>
      </x:c>
      <x:c r="AF317" s="193" t="b">
        <x:v>1</x:v>
      </x:c>
      <x:c r="AG317" s="193" t="b">
        <x:v>1</x:v>
      </x:c>
      <x:c r="AH317" s="193" t="b">
        <x:v>1</x:v>
      </x:c>
      <x:c r="AI317" s="193" t="b">
        <x:v>1</x:v>
      </x:c>
      <x:c r="AJ317" s="193" t="b">
        <x:v>1</x:v>
      </x:c>
    </x:row>
    <x:row r="318">
      <x:c r="A318" s="192" t="n">
        <x:v>744210382596366800</x:v>
      </x:c>
      <x:c r="B318" s="192" t="str">
        <x:v>https://www.airbnb.com.br/rooms/744210382596366805</x:v>
      </x:c>
      <x:c r="C318" s="192" t="str">
        <x:v>Amplo e aconchegante ap 3 suites próximo ao mar</x:v>
      </x:c>
      <x:c r="D318" s="192" t="str">
        <x:v>Meia Praia</x:v>
      </x:c>
      <x:c r="E318" s="192" t="n">
        <x:v>-27.1356169252</x:v>
      </x:c>
      <x:c r="F318" s="192" t="n">
        <x:v>-48.6014012963</x:v>
      </x:c>
      <x:c r="G318" s="192" t="str">
        <x:v>apartamento</x:v>
      </x:c>
      <x:c r="H318" s="192" t="n">
        <x:v>3</x:v>
      </x:c>
      <x:c r="I318" s="192" t="n">
        <x:v>3</x:v>
      </x:c>
      <x:c r="J318" s="192" t="n">
        <x:v>3</x:v>
      </x:c>
      <x:c r="K318" s="192" t="n">
        <x:v>6</x:v>
      </x:c>
      <x:c r="L318" s="192" t="n">
        <x:v>7</x:v>
      </x:c>
      <x:c r="M318" s="192" t="n">
        <x:v>5</x:v>
      </x:c>
      <x:c r="N318" s="192" t="n">
        <x:v>250</x:v>
      </x:c>
      <x:c r="O318" s="192" t="n">
        <x:v>18</x:v>
      </x:c>
      <x:c r="P318" s="193" t="b">
        <x:v>0</x:v>
      </x:c>
      <x:c r="Q318" s="193" t="b">
        <x:v>0</x:v>
      </x:c>
      <x:c r="R318" s="193" t="b">
        <x:v>1</x:v>
      </x:c>
      <x:c r="S318" s="193" t="b">
        <x:v>0</x:v>
      </x:c>
      <x:c r="T318" s="192" t="n">
        <x:v>45</x:v>
      </x:c>
      <x:c r="U318" s="192" t="n">
        <x:v>45</x:v>
      </x:c>
      <x:c r="V318" s="200" t="n">
        <x:v>0.5</x:v>
      </x:c>
      <x:c r="W318" s="203" t="n">
        <x:v>500</x:v>
      </x:c>
      <x:c r="X318" s="203" t="n">
        <x:v>23607.446197077</x:v>
      </x:c>
      <x:c r="Y318" s="203" t="n">
        <x:v>61035.0848553594</x:v>
      </x:c>
      <x:c r="Z318" s="193" t="b">
        <x:v>1</x:v>
      </x:c>
      <x:c r="AA318" s="193" t="b">
        <x:v>0</x:v>
      </x:c>
      <x:c r="AB318" s="193" t="b">
        <x:v>1</x:v>
      </x:c>
      <x:c r="AC318" s="193" t="b">
        <x:v>1</x:v>
      </x:c>
      <x:c r="AD318" s="193" t="b">
        <x:v>1</x:v>
      </x:c>
      <x:c r="AE318" s="193" t="b">
        <x:v>1</x:v>
      </x:c>
      <x:c r="AF318" s="193" t="b">
        <x:v>1</x:v>
      </x:c>
      <x:c r="AG318" s="193" t="b">
        <x:v>1</x:v>
      </x:c>
      <x:c r="AH318" s="193" t="b">
        <x:v>1</x:v>
      </x:c>
      <x:c r="AI318" s="193" t="b">
        <x:v>1</x:v>
      </x:c>
      <x:c r="AJ318" s="193" t="b">
        <x:v>1</x:v>
      </x:c>
    </x:row>
    <x:row r="319">
      <x:c r="A319" s="192" t="n">
        <x:v>16017693</x:v>
      </x:c>
      <x:c r="B319" s="192" t="str">
        <x:v>https://www.airbnb.com.br/rooms/16017693</x:v>
      </x:c>
      <x:c r="C319" s="192" t="str">
        <x:v>Apartamento c/ hidromassagem 3 Suítes em Meia Prai</x:v>
      </x:c>
      <x:c r="D319" s="192" t="str">
        <x:v>Meia Praia</x:v>
      </x:c>
      <x:c r="E319" s="192" t="n">
        <x:v>-27.12353</x:v>
      </x:c>
      <x:c r="F319" s="192" t="n">
        <x:v>-48.60785</x:v>
      </x:c>
      <x:c r="G319" s="192" t="str">
        <x:v>apartamento</x:v>
      </x:c>
      <x:c r="H319" s="192" t="n">
        <x:v>3</x:v>
      </x:c>
      <x:c r="I319" s="192" t="n">
        <x:v>3</x:v>
      </x:c>
      <x:c r="J319" s="192" t="n">
        <x:v>4</x:v>
      </x:c>
      <x:c r="K319" s="192" t="n">
        <x:v>7</x:v>
      </x:c>
      <x:c r="L319" s="192" t="n">
        <x:v>41</x:v>
      </x:c>
      <x:c r="M319" s="192" t="n">
        <x:v>4.9000000954</x:v>
      </x:c>
      <x:c r="N319" s="192" t="n">
        <x:v>350</x:v>
      </x:c>
      <x:c r="O319" s="192" t="n">
        <x:v>23</x:v>
      </x:c>
      <x:c r="P319" s="193" t="b">
        <x:v>1</x:v>
      </x:c>
      <x:c r="Q319" s="193" t="b">
        <x:v>1</x:v>
      </x:c>
      <x:c r="R319" s="193" t="b">
        <x:v>1</x:v>
      </x:c>
      <x:c r="S319" s="193" t="b">
        <x:v>1</x:v>
      </x:c>
      <x:c r="T319" s="192" t="n">
        <x:v>36</x:v>
      </x:c>
      <x:c r="U319" s="192" t="n">
        <x:v>54</x:v>
      </x:c>
      <x:c r="V319" s="200" t="n">
        <x:v>0.6</x:v>
      </x:c>
      <x:c r="W319" s="203" t="n">
        <x:v>910</x:v>
      </x:c>
      <x:c r="X319" s="203" t="n">
        <x:v>47545.4225231224</x:v>
      </x:c>
      <x:c r="Y319" s="203" t="n">
        <x:v>122924.7278149895</x:v>
      </x:c>
      <x:c r="Z319" s="193" t="b">
        <x:v>1</x:v>
      </x:c>
      <x:c r="AA319" s="193" t="b">
        <x:v>0</x:v>
      </x:c>
      <x:c r="AB319" s="193" t="b">
        <x:v>1</x:v>
      </x:c>
      <x:c r="AC319" s="193" t="b">
        <x:v>1</x:v>
      </x:c>
      <x:c r="AD319" s="193" t="b">
        <x:v>1</x:v>
      </x:c>
      <x:c r="AE319" s="193" t="b">
        <x:v>0</x:v>
      </x:c>
      <x:c r="AF319" s="193" t="b">
        <x:v>1</x:v>
      </x:c>
      <x:c r="AG319" s="193" t="b">
        <x:v>1</x:v>
      </x:c>
      <x:c r="AH319" s="193" t="b">
        <x:v>1</x:v>
      </x:c>
      <x:c r="AI319" s="193" t="b">
        <x:v>1</x:v>
      </x:c>
      <x:c r="AJ319" s="193" t="b">
        <x:v>1</x:v>
      </x:c>
    </x:row>
    <x:row r="320">
      <x:c r="A320" s="192" t="n">
        <x:v>1044458170286255100</x:v>
      </x:c>
      <x:c r="B320" s="192" t="str">
        <x:v>https://www.airbnb.com.br/rooms/1044458170286255125</x:v>
      </x:c>
      <x:c r="C320" s="192" t="str">
        <x:v>Apartamento Quadra Mar c/ roupa de cama branca</x:v>
      </x:c>
      <x:c r="D320" s="192" t="str">
        <x:v>Meia Praia</x:v>
      </x:c>
      <x:c r="E320" s="192" t="n">
        <x:v>-27.1413841248</x:v>
      </x:c>
      <x:c r="F320" s="192" t="n">
        <x:v>-48.5928573608</x:v>
      </x:c>
      <x:c r="G320" s="192" t="str">
        <x:v>apartamento</x:v>
      </x:c>
      <x:c r="H320" s="192" t="n">
        <x:v>4</x:v>
      </x:c>
      <x:c r="I320" s="192" t="n">
        <x:v>5</x:v>
      </x:c>
      <x:c r="J320" s="192" t="n">
        <x:v>4</x:v>
      </x:c>
      <x:c r="K320" s="192" t="n">
        <x:v>12</x:v>
      </x:c>
      <x:c r="L320" s="192" t="n">
        <x:v>2</x:v>
      </x:c>
      <x:c r="M320" s="192" t="n">
        <x:v>5</x:v>
      </x:c>
      <x:c r="N320" s="192" t="n">
        <x:v>250</x:v>
      </x:c>
      <x:c r="O320" s="192" t="n">
        <x:v>3</x:v>
      </x:c>
      <x:c r="P320" s="193" t="b">
        <x:v>0</x:v>
      </x:c>
      <x:c r="Q320" s="193" t="b">
        <x:v>0</x:v>
      </x:c>
      <x:c r="R320" s="193" t="b">
        <x:v>0</x:v>
      </x:c>
      <x:c r="S320" s="193" t="b">
        <x:v>0</x:v>
      </x:c>
      <x:c r="T320" s="192" t="n">
        <x:v>47</x:v>
      </x:c>
      <x:c r="U320" s="192" t="n">
        <x:v>43</x:v>
      </x:c>
      <x:c r="V320" s="200" t="n">
        <x:v>0.4777777778</x:v>
      </x:c>
      <x:c r="W320" s="203" t="n">
        <x:v>820</x:v>
      </x:c>
      <x:c r="X320" s="203" t="n">
        <x:v>35877.0517173779</x:v>
      </x:c>
      <x:c r="Y320" s="203" t="n">
        <x:v>92757.1274609708</x:v>
      </x:c>
      <x:c r="Z320" s="193" t="b">
        <x:v>1</x:v>
      </x:c>
      <x:c r="AA320" s="193" t="b">
        <x:v>0</x:v>
      </x:c>
      <x:c r="AB320" s="193" t="b">
        <x:v>1</x:v>
      </x:c>
      <x:c r="AC320" s="193" t="b">
        <x:v>1</x:v>
      </x:c>
      <x:c r="AD320" s="193" t="b">
        <x:v>1</x:v>
      </x:c>
      <x:c r="AE320" s="193" t="b">
        <x:v>1</x:v>
      </x:c>
      <x:c r="AF320" s="193" t="b">
        <x:v>1</x:v>
      </x:c>
      <x:c r="AG320" s="193" t="b">
        <x:v>1</x:v>
      </x:c>
      <x:c r="AH320" s="193" t="b">
        <x:v>1</x:v>
      </x:c>
      <x:c r="AI320" s="193" t="b">
        <x:v>1</x:v>
      </x:c>
      <x:c r="AJ320" s="193" t="b">
        <x:v>1</x:v>
      </x:c>
    </x:row>
    <x:row r="321">
      <x:c r="A321" s="192" t="n">
        <x:v>40250642</x:v>
      </x:c>
      <x:c r="B321" s="192" t="str">
        <x:v>https://www.airbnb.com.br/rooms/40250642</x:v>
      </x:c>
      <x:c r="C321" s="192" t="str">
        <x:v>Apartamento finamente decorado em meia praia.</x:v>
      </x:c>
      <x:c r="D321" s="192" t="str">
        <x:v>Meia Praia</x:v>
      </x:c>
      <x:c r="E321" s="192" t="n">
        <x:v>-27.13098</x:v>
      </x:c>
      <x:c r="F321" s="192" t="n">
        <x:v>-48.60124</x:v>
      </x:c>
      <x:c r="G321" s="192" t="str">
        <x:v>apartamento</x:v>
      </x:c>
      <x:c r="H321" s="192" t="n">
        <x:v>3</x:v>
      </x:c>
      <x:c r="I321" s="192" t="n">
        <x:v>2</x:v>
      </x:c>
      <x:c r="J321" s="192" t="n">
        <x:v>3</x:v>
      </x:c>
      <x:c r="K321" s="192" t="n">
        <x:v>6</x:v>
      </x:c>
      <x:c r="L321" s="192" t="n">
        <x:v>25</x:v>
      </x:c>
      <x:c r="M321" s="192" t="n">
        <x:v>4.8800001144</x:v>
      </x:c>
      <x:c r="N321" s="192" t="n">
        <x:v>350</x:v>
      </x:c>
      <x:c r="O321" s="192" t="n">
        <x:v>22</x:v>
      </x:c>
      <x:c r="P321" s="193" t="b">
        <x:v>0</x:v>
      </x:c>
      <x:c r="Q321" s="193" t="b">
        <x:v>0</x:v>
      </x:c>
      <x:c r="R321" s="193" t="b">
        <x:v>0</x:v>
      </x:c>
      <x:c r="S321" s="193" t="b">
        <x:v>0</x:v>
      </x:c>
      <x:c r="T321" s="192" t="n">
        <x:v>67</x:v>
      </x:c>
      <x:c r="U321" s="192" t="n">
        <x:v>23</x:v>
      </x:c>
      <x:c r="V321" s="200" t="n">
        <x:v>0.2555555556</x:v>
      </x:c>
      <x:c r="W321" s="203" t="n">
        <x:v>840</x:v>
      </x:c>
      <x:c r="X321" s="203" t="n">
        <x:v>18382.9949797204</x:v>
      </x:c>
      <x:c r="Y321" s="203" t="n">
        <x:v>47527.7016038189</x:v>
      </x:c>
      <x:c r="Z321" s="193" t="b">
        <x:v>1</x:v>
      </x:c>
      <x:c r="AA321" s="193" t="b">
        <x:v>0</x:v>
      </x:c>
      <x:c r="AB321" s="193" t="b">
        <x:v>1</x:v>
      </x:c>
      <x:c r="AC321" s="193" t="b">
        <x:v>1</x:v>
      </x:c>
      <x:c r="AD321" s="193" t="b">
        <x:v>1</x:v>
      </x:c>
      <x:c r="AE321" s="193" t="b">
        <x:v>1</x:v>
      </x:c>
      <x:c r="AF321" s="193" t="b">
        <x:v>1</x:v>
      </x:c>
      <x:c r="AG321" s="193" t="b">
        <x:v>1</x:v>
      </x:c>
      <x:c r="AH321" s="193" t="b">
        <x:v>1</x:v>
      </x:c>
      <x:c r="AI321" s="193" t="b">
        <x:v>1</x:v>
      </x:c>
      <x:c r="AJ321" s="193" t="b">
        <x:v>1</x:v>
      </x:c>
    </x:row>
    <x:row r="322">
      <x:c r="A322" s="192" t="n">
        <x:v>22047595</x:v>
      </x:c>
      <x:c r="B322" s="192" t="str">
        <x:v>https://www.airbnb.com.br/rooms/22047595</x:v>
      </x:c>
      <x:c r="C322" s="192" t="str">
        <x:v>Cobertura Duplex pé na areia, 3 quartos Meia Praia</x:v>
      </x:c>
      <x:c r="D322" s="192" t="str">
        <x:v>Morretes</x:v>
      </x:c>
      <x:c r="E322" s="192" t="n">
        <x:v>-27.1144</x:v>
      </x:c>
      <x:c r="F322" s="192" t="n">
        <x:v>-48.60876</x:v>
      </x:c>
      <x:c r="G322" s="192" t="str">
        <x:v>apartamento</x:v>
      </x:c>
      <x:c r="H322" s="192" t="n">
        <x:v>3</x:v>
      </x:c>
      <x:c r="I322" s="192" t="n">
        <x:v>2</x:v>
      </x:c>
      <x:c r="J322" s="192" t="n">
        <x:v>7</x:v>
      </x:c>
      <x:c r="K322" s="192" t="n">
        <x:v>10</x:v>
      </x:c>
      <x:c r="L322" s="192" t="n">
        <x:v>37</x:v>
      </x:c>
      <x:c r="M322" s="192" t="n">
        <x:v>4.8899998665</x:v>
      </x:c>
      <x:c r="N322" s="192" t="n">
        <x:v>290</x:v>
      </x:c>
      <x:c r="O322" s="192" t="n">
        <x:v>20</x:v>
      </x:c>
      <x:c r="P322" s="193" t="b">
        <x:v>1</x:v>
      </x:c>
      <x:c r="Q322" s="193" t="b">
        <x:v>0</x:v>
      </x:c>
      <x:c r="R322" s="193" t="b">
        <x:v>1</x:v>
      </x:c>
      <x:c r="S322" s="193" t="b">
        <x:v>1</x:v>
      </x:c>
      <x:c r="T322" s="192" t="n">
        <x:v>60</x:v>
      </x:c>
      <x:c r="U322" s="192" t="n">
        <x:v>30</x:v>
      </x:c>
      <x:c r="V322" s="200" t="n">
        <x:v>0.3333333333</x:v>
      </x:c>
      <x:c r="W322" s="203" t="n">
        <x:v>622.16665</x:v>
      </x:c>
      <x:c r="X322" s="203" t="n">
        <x:v>18750.5610164925</x:v>
      </x:c>
      <x:c r="Y322" s="203" t="n">
        <x:v>48478.01296139</x:v>
      </x:c>
      <x:c r="Z322" s="193" t="b">
        <x:v>1</x:v>
      </x:c>
      <x:c r="AA322" s="193" t="b">
        <x:v>0</x:v>
      </x:c>
      <x:c r="AB322" s="193" t="b">
        <x:v>1</x:v>
      </x:c>
      <x:c r="AC322" s="193" t="b">
        <x:v>1</x:v>
      </x:c>
      <x:c r="AD322" s="193" t="b">
        <x:v>1</x:v>
      </x:c>
      <x:c r="AE322" s="193" t="b">
        <x:v>1</x:v>
      </x:c>
      <x:c r="AF322" s="193" t="b">
        <x:v>1</x:v>
      </x:c>
      <x:c r="AG322" s="193" t="b">
        <x:v>1</x:v>
      </x:c>
      <x:c r="AH322" s="193" t="b">
        <x:v>1</x:v>
      </x:c>
      <x:c r="AI322" s="193" t="b">
        <x:v>1</x:v>
      </x:c>
      <x:c r="AJ322" s="193" t="b">
        <x:v>1</x:v>
      </x:c>
    </x:row>
    <x:row r="323">
      <x:c r="A323" s="192" t="n">
        <x:v>53195241</x:v>
      </x:c>
      <x:c r="B323" s="192" t="str">
        <x:v>https://www.airbnb.com.br/rooms/53195241</x:v>
      </x:c>
      <x:c r="C323" s="192" t="str">
        <x:v>Apartamento de Luxo Frente Mar com Praticidade</x:v>
      </x:c>
      <x:c r="D323" s="192" t="str">
        <x:v>Meia Praia</x:v>
      </x:c>
      <x:c r="E323" s="192" t="n">
        <x:v>-27.12357</x:v>
      </x:c>
      <x:c r="F323" s="192" t="n">
        <x:v>-48.60636</x:v>
      </x:c>
      <x:c r="G323" s="192" t="str">
        <x:v>apartamento</x:v>
      </x:c>
      <x:c r="H323" s="192" t="n">
        <x:v>4</x:v>
      </x:c>
      <x:c r="I323" s="192" t="n">
        <x:v>3</x:v>
      </x:c>
      <x:c r="J323" s="192" t="n">
        <x:v>4</x:v>
      </x:c>
      <x:c r="K323" s="192" t="n">
        <x:v>10</x:v>
      </x:c>
      <x:c r="L323" s="192" t="n">
        <x:v>12</x:v>
      </x:c>
      <x:c r="M323" s="192" t="n">
        <x:v>4.9200000763</x:v>
      </x:c>
      <x:c r="N323" s="192" t="n">
        <x:v>350</x:v>
      </x:c>
      <x:c r="O323" s="192" t="n">
        <x:v>36</x:v>
      </x:c>
      <x:c r="P323" s="193" t="b">
        <x:v>0</x:v>
      </x:c>
      <x:c r="Q323" s="193" t="b">
        <x:v>0</x:v>
      </x:c>
      <x:c r="R323" s="193" t="b">
        <x:v>1</x:v>
      </x:c>
      <x:c r="S323" s="193" t="b">
        <x:v>0</x:v>
      </x:c>
      <x:c r="T323" s="192" t="n">
        <x:v>82</x:v>
      </x:c>
      <x:c r="U323" s="192" t="n">
        <x:v>8</x:v>
      </x:c>
      <x:c r="V323" s="200" t="n">
        <x:v>0.0888888889</x:v>
      </x:c>
      <x:c r="W323" s="203" t="n">
        <x:v>1750</x:v>
      </x:c>
      <x:c r="X323" s="203" t="n">
        <x:v>14060.3947884006</x:v>
      </x:c>
      <x:c r="Y323" s="203" t="n">
        <x:v>36351.9790258442</x:v>
      </x:c>
      <x:c r="Z323" s="193" t="b">
        <x:v>1</x:v>
      </x:c>
      <x:c r="AA323" s="193" t="b">
        <x:v>1</x:v>
      </x:c>
      <x:c r="AB323" s="193" t="b">
        <x:v>1</x:v>
      </x:c>
      <x:c r="AC323" s="193" t="b">
        <x:v>1</x:v>
      </x:c>
      <x:c r="AD323" s="193" t="b">
        <x:v>1</x:v>
      </x:c>
      <x:c r="AE323" s="193" t="b">
        <x:v>1</x:v>
      </x:c>
      <x:c r="AF323" s="193" t="b">
        <x:v>1</x:v>
      </x:c>
      <x:c r="AG323" s="193" t="b">
        <x:v>1</x:v>
      </x:c>
      <x:c r="AH323" s="193" t="b">
        <x:v>1</x:v>
      </x:c>
      <x:c r="AI323" s="193" t="b">
        <x:v>1</x:v>
      </x:c>
      <x:c r="AJ323" s="193" t="b">
        <x:v>1</x:v>
      </x:c>
    </x:row>
    <x:row r="324">
      <x:c r="A324" s="192" t="n">
        <x:v>49123621</x:v>
      </x:c>
      <x:c r="B324" s="192" t="str">
        <x:v>https://www.airbnb.com.br/rooms/49123621</x:v>
      </x:c>
      <x:c r="C324" s="192" t="str">
        <x:v>Apartamento - 03 Suítes/ 02Vagas / Sacada Mar</x:v>
      </x:c>
      <x:c r="D324" s="192" t="str">
        <x:v>Meia Praia</x:v>
      </x:c>
      <x:c r="E324" s="192" t="n">
        <x:v>-27.12809</x:v>
      </x:c>
      <x:c r="F324" s="192" t="n">
        <x:v>-48.60407</x:v>
      </x:c>
      <x:c r="G324" s="192" t="str">
        <x:v>apartamento</x:v>
      </x:c>
      <x:c r="H324" s="192" t="n">
        <x:v>3</x:v>
      </x:c>
      <x:c r="I324" s="192" t="n">
        <x:v>0</x:v>
      </x:c>
      <x:c r="J324" s="192" t="n">
        <x:v>4</x:v>
      </x:c>
      <x:c r="K324" s="192" t="n">
        <x:v>6</x:v>
      </x:c>
      <x:c r="L324" s="192" t="n">
        <x:v>16</x:v>
      </x:c>
      <x:c r="M324" s="192" t="n">
        <x:v>4.9400000572</x:v>
      </x:c>
      <x:c r="N324" s="192" t="n">
        <x:v>300</x:v>
      </x:c>
      <x:c r="O324" s="192" t="n">
        <x:v>21</x:v>
      </x:c>
      <x:c r="P324" s="193" t="b">
        <x:v>0</x:v>
      </x:c>
      <x:c r="Q324" s="193" t="b">
        <x:v>0</x:v>
      </x:c>
      <x:c r="R324" s="193" t="b">
        <x:v>1</x:v>
      </x:c>
      <x:c r="S324" s="193" t="b">
        <x:v>0</x:v>
      </x:c>
      <x:c r="T324" s="192" t="n">
        <x:v>74</x:v>
      </x:c>
      <x:c r="U324" s="192" t="n">
        <x:v>16</x:v>
      </x:c>
      <x:c r="V324" s="200" t="n">
        <x:v>0.1777777778</x:v>
      </x:c>
      <x:c r="W324" s="203" t="n">
        <x:v>762.5</x:v>
      </x:c>
      <x:c r="X324" s="203" t="n">
        <x:v>12714.2944256828</x:v>
      </x:c>
      <x:c r="Y324" s="203" t="n">
        <x:v>32871.7487130673</x:v>
      </x:c>
      <x:c r="Z324" s="193" t="b">
        <x:v>1</x:v>
      </x:c>
      <x:c r="AA324" s="193" t="b">
        <x:v>0</x:v>
      </x:c>
      <x:c r="AB324" s="193" t="b">
        <x:v>1</x:v>
      </x:c>
      <x:c r="AC324" s="193" t="b">
        <x:v>1</x:v>
      </x:c>
      <x:c r="AD324" s="193" t="b">
        <x:v>1</x:v>
      </x:c>
      <x:c r="AE324" s="193" t="b">
        <x:v>0</x:v>
      </x:c>
      <x:c r="AF324" s="193" t="b">
        <x:v>1</x:v>
      </x:c>
      <x:c r="AG324" s="193" t="b">
        <x:v>1</x:v>
      </x:c>
      <x:c r="AH324" s="193" t="b">
        <x:v>1</x:v>
      </x:c>
      <x:c r="AI324" s="193" t="b">
        <x:v>1</x:v>
      </x:c>
      <x:c r="AJ324" s="193" t="b">
        <x:v>1</x:v>
      </x:c>
    </x:row>
    <x:row r="325">
      <x:c r="A325" s="192" t="n">
        <x:v>31441134</x:v>
      </x:c>
      <x:c r="B325" s="192" t="str">
        <x:v>https://www.airbnb.com.br/rooms/31441134</x:v>
      </x:c>
      <x:c r="C325" s="192" t="str">
        <x:v>Apartamento duplex com piscina</x:v>
      </x:c>
      <x:c r="D325" s="192" t="str">
        <x:v>Meia Praia</x:v>
      </x:c>
      <x:c r="E325" s="192" t="n">
        <x:v>-27.13541</x:v>
      </x:c>
      <x:c r="F325" s="192" t="n">
        <x:v>-48.59883</x:v>
      </x:c>
      <x:c r="G325" s="192" t="str">
        <x:v>apartamento</x:v>
      </x:c>
      <x:c r="H325" s="192" t="n">
        <x:v>4</x:v>
      </x:c>
      <x:c r="I325" s="192" t="n">
        <x:v>4</x:v>
      </x:c>
      <x:c r="J325" s="192" t="n">
        <x:v>4</x:v>
      </x:c>
      <x:c r="K325" s="192" t="n">
        <x:v>11</x:v>
      </x:c>
      <x:c r="L325" s="192" t="n">
        <x:v>9</x:v>
      </x:c>
      <x:c r="M325" s="192" t="n">
        <x:v>5</x:v>
      </x:c>
      <x:c r="N325" s="192" t="n">
        <x:v>450</x:v>
      </x:c>
      <x:c r="O325" s="192" t="n">
        <x:v>31</x:v>
      </x:c>
      <x:c r="P325" s="193" t="b">
        <x:v>0</x:v>
      </x:c>
      <x:c r="Q325" s="193" t="b">
        <x:v>0</x:v>
      </x:c>
      <x:c r="R325" s="193" t="b">
        <x:v>0</x:v>
      </x:c>
      <x:c r="S325" s="193" t="b">
        <x:v>0</x:v>
      </x:c>
      <x:c r="T325" s="192" t="n">
        <x:v>89</x:v>
      </x:c>
      <x:c r="U325" s="192" t="n">
        <x:v>1</x:v>
      </x:c>
      <x:c r="V325" s="200" t="n">
        <x:v>0.0111111111</x:v>
      </x:c>
      <x:c r="W325" s="203" t="n">
        <x:v>1500</x:v>
      </x:c>
      <x:c r="X325" s="203" t="n">
        <x:v>1432.3407467268</x:v>
      </x:c>
      <x:c r="Y325" s="203" t="n">
        <x:v>3703.1976389334</x:v>
      </x:c>
      <x:c r="Z325" s="193" t="b">
        <x:v>1</x:v>
      </x:c>
      <x:c r="AA325" s="193" t="b">
        <x:v>1</x:v>
      </x:c>
      <x:c r="AB325" s="193" t="b">
        <x:v>1</x:v>
      </x:c>
      <x:c r="AC325" s="193" t="b">
        <x:v>1</x:v>
      </x:c>
      <x:c r="AD325" s="193" t="b">
        <x:v>1</x:v>
      </x:c>
      <x:c r="AE325" s="193" t="b">
        <x:v>0</x:v>
      </x:c>
      <x:c r="AF325" s="193" t="b">
        <x:v>1</x:v>
      </x:c>
      <x:c r="AG325" s="193" t="b">
        <x:v>1</x:v>
      </x:c>
      <x:c r="AH325" s="193" t="b">
        <x:v>1</x:v>
      </x:c>
      <x:c r="AI325" s="193" t="b">
        <x:v>1</x:v>
      </x:c>
      <x:c r="AJ325" s="193" t="b">
        <x:v>0</x:v>
      </x:c>
    </x:row>
    <x:row r="326">
      <x:c r="A326" s="192" t="n">
        <x:v>859925561562240300</x:v>
      </x:c>
      <x:c r="B326" s="192" t="str">
        <x:v>https://www.airbnb.com.br/rooms/859925561562240250</x:v>
      </x:c>
      <x:c r="C326" s="192" t="str">
        <x:v>Aluguel verão quadra mar 3 suíte *132</x:v>
      </x:c>
      <x:c r="D326" s="192" t="str">
        <x:v>Meia Praia</x:v>
      </x:c>
      <x:c r="E326" s="192" t="n">
        <x:v>-27.1299991608</x:v>
      </x:c>
      <x:c r="F326" s="192" t="n">
        <x:v>-48.5999984741</x:v>
      </x:c>
      <x:c r="G326" s="192" t="str">
        <x:v>apartamento</x:v>
      </x:c>
      <x:c r="H326" s="192" t="n">
        <x:v>3</x:v>
      </x:c>
      <x:c r="I326" s="192" t="n">
        <x:v>3</x:v>
      </x:c>
      <x:c r="J326" s="192" t="n">
        <x:v>3</x:v>
      </x:c>
      <x:c r="K326" s="192" t="n">
        <x:v>8</x:v>
      </x:c>
      <x:c r="L326" s="192" t="n">
        <x:v>5</x:v>
      </x:c>
      <x:c r="M326" s="192" t="n">
        <x:v>5</x:v>
      </x:c>
      <x:c r="N326" s="192" t="n">
        <x:v>300</x:v>
      </x:c>
      <x:c r="O326" s="192" t="n">
        <x:v>26</x:v>
      </x:c>
      <x:c r="P326" s="193" t="b">
        <x:v>0</x:v>
      </x:c>
      <x:c r="Q326" s="193" t="b">
        <x:v>0</x:v>
      </x:c>
      <x:c r="R326" s="193" t="b">
        <x:v>1</x:v>
      </x:c>
      <x:c r="S326" s="193" t="b">
        <x:v>1</x:v>
      </x:c>
      <x:c r="T326" s="192" t="n">
        <x:v>29</x:v>
      </x:c>
      <x:c r="U326" s="192" t="n">
        <x:v>61</x:v>
      </x:c>
      <x:c r="V326" s="200" t="n">
        <x:v>0.6777777778</x:v>
      </x:c>
      <x:c r="W326" s="203" t="n">
        <x:v>704</x:v>
      </x:c>
      <x:c r="X326" s="203" t="n">
        <x:v>41902.3085043951</x:v>
      </x:c>
      <x:c r="Y326" s="203" t="n">
        <x:v>108334.9267790716</x:v>
      </x:c>
      <x:c r="Z326" s="193" t="b">
        <x:v>0</x:v>
      </x:c>
      <x:c r="AA326" s="193" t="b">
        <x:v>0</x:v>
      </x:c>
      <x:c r="AB326" s="193" t="b">
        <x:v>1</x:v>
      </x:c>
      <x:c r="AC326" s="193" t="b">
        <x:v>1</x:v>
      </x:c>
      <x:c r="AD326" s="193" t="b">
        <x:v>1</x:v>
      </x:c>
      <x:c r="AE326" s="193" t="b">
        <x:v>1</x:v>
      </x:c>
      <x:c r="AF326" s="193" t="b">
        <x:v>0</x:v>
      </x:c>
      <x:c r="AG326" s="193" t="b">
        <x:v>1</x:v>
      </x:c>
      <x:c r="AH326" s="193" t="b">
        <x:v>1</x:v>
      </x:c>
      <x:c r="AI326" s="193" t="b">
        <x:v>1</x:v>
      </x:c>
      <x:c r="AJ326" s="193" t="b">
        <x:v>1</x:v>
      </x:c>
    </x:row>
    <x:row r="327">
      <x:c r="A327" s="192" t="n">
        <x:v>31859744</x:v>
      </x:c>
      <x:c r="B327" s="192" t="str">
        <x:v>https://www.airbnb.com.br/rooms/31859744</x:v>
      </x:c>
      <x:c r="C327" s="192" t="str">
        <x:v>Apartamento com vista mar em Meia Praia, Itapema</x:v>
      </x:c>
      <x:c r="D327" s="192" t="str">
        <x:v>Meia Praia</x:v>
      </x:c>
      <x:c r="E327" s="192" t="n">
        <x:v>-27.11998</x:v>
      </x:c>
      <x:c r="F327" s="192" t="n">
        <x:v>-48.60809</x:v>
      </x:c>
      <x:c r="G327" s="192" t="str">
        <x:v>apartamento</x:v>
      </x:c>
      <x:c r="H327" s="192" t="n">
        <x:v>2</x:v>
      </x:c>
      <x:c r="I327" s="192" t="n">
        <x:v>3</x:v>
      </x:c>
      <x:c r="J327" s="192" t="n">
        <x:v>3</x:v>
      </x:c>
      <x:c r="K327" s="192" t="n">
        <x:v>6</x:v>
      </x:c>
      <x:c r="L327" s="192" t="n">
        <x:v>22</x:v>
      </x:c>
      <x:c r="M327" s="192" t="n">
        <x:v>5</x:v>
      </x:c>
      <x:c r="N327" s="192" t="n">
        <x:v>300</x:v>
      </x:c>
      <x:c r="O327" s="192" t="n">
        <x:v>32</x:v>
      </x:c>
      <x:c r="P327" s="193" t="b">
        <x:v>0</x:v>
      </x:c>
      <x:c r="Q327" s="193" t="b">
        <x:v>0</x:v>
      </x:c>
      <x:c r="R327" s="193" t="b">
        <x:v>1</x:v>
      </x:c>
      <x:c r="S327" s="193" t="b">
        <x:v>0</x:v>
      </x:c>
      <x:c r="T327" s="192" t="n">
        <x:v>69</x:v>
      </x:c>
      <x:c r="U327" s="192" t="n">
        <x:v>21</x:v>
      </x:c>
      <x:c r="V327" s="200" t="n">
        <x:v>0.2333333333</x:v>
      </x:c>
      <x:c r="W327" s="203" t="n">
        <x:v>370</x:v>
      </x:c>
      <x:c r="X327" s="203" t="n">
        <x:v>7729.1107903593</x:v>
      </x:c>
      <x:c r="Y327" s="203" t="n">
        <x:v>19982.9718559081</x:v>
      </x:c>
      <x:c r="Z327" s="193" t="b">
        <x:v>1</x:v>
      </x:c>
      <x:c r="AA327" s="193" t="b">
        <x:v>0</x:v>
      </x:c>
      <x:c r="AB327" s="193" t="b">
        <x:v>1</x:v>
      </x:c>
      <x:c r="AC327" s="193" t="b">
        <x:v>1</x:v>
      </x:c>
      <x:c r="AD327" s="193" t="b">
        <x:v>1</x:v>
      </x:c>
      <x:c r="AE327" s="193" t="b">
        <x:v>1</x:v>
      </x:c>
      <x:c r="AF327" s="193" t="b">
        <x:v>1</x:v>
      </x:c>
      <x:c r="AG327" s="193" t="b">
        <x:v>1</x:v>
      </x:c>
      <x:c r="AH327" s="193" t="b">
        <x:v>1</x:v>
      </x:c>
      <x:c r="AI327" s="193" t="b">
        <x:v>1</x:v>
      </x:c>
      <x:c r="AJ327" s="193" t="b">
        <x:v>1</x:v>
      </x:c>
    </x:row>
    <x:row r="328">
      <x:c r="A328" s="192" t="n">
        <x:v>21695053</x:v>
      </x:c>
      <x:c r="B328" s="192" t="str">
        <x:v>https://www.airbnb.com.br/rooms/21695053</x:v>
      </x:c>
      <x:c r="C328" s="192" t="str">
        <x:v>3 suítes, 4 Ar Split, Wi-Fi privado na Meia Praia.</x:v>
      </x:c>
      <x:c r="D328" s="192" t="str">
        <x:v>Meia Praia</x:v>
      </x:c>
      <x:c r="E328" s="192" t="n">
        <x:v>-27.131</x:v>
      </x:c>
      <x:c r="F328" s="192" t="n">
        <x:v>-48.602</x:v>
      </x:c>
      <x:c r="G328" s="192" t="str">
        <x:v>apartamento</x:v>
      </x:c>
      <x:c r="H328" s="192" t="n">
        <x:v>3</x:v>
      </x:c>
      <x:c r="I328" s="192" t="n">
        <x:v>3</x:v>
      </x:c>
      <x:c r="J328" s="192" t="n">
        <x:v>7</x:v>
      </x:c>
      <x:c r="K328" s="192" t="n">
        <x:v>8</x:v>
      </x:c>
      <x:c r="L328" s="192" t="n">
        <x:v>78</x:v>
      </x:c>
      <x:c r="M328" s="192" t="n">
        <x:v>4.8800001144</x:v>
      </x:c>
      <x:c r="N328" s="192" t="n">
        <x:v>450</x:v>
      </x:c>
      <x:c r="O328" s="192" t="n">
        <x:v>31</x:v>
      </x:c>
      <x:c r="P328" s="193" t="b">
        <x:v>1</x:v>
      </x:c>
      <x:c r="Q328" s="193" t="b">
        <x:v>0</x:v>
      </x:c>
      <x:c r="R328" s="193" t="b">
        <x:v>0</x:v>
      </x:c>
      <x:c r="S328" s="193" t="b">
        <x:v>1</x:v>
      </x:c>
      <x:c r="T328" s="192" t="n">
        <x:v>76</x:v>
      </x:c>
      <x:c r="U328" s="192" t="n">
        <x:v>14</x:v>
      </x:c>
      <x:c r="V328" s="200" t="n">
        <x:v>0.1555555556</x:v>
      </x:c>
      <x:c r="W328" s="203" t="n">
        <x:v>702</x:v>
      </x:c>
      <x:c r="X328" s="203" t="n">
        <x:v>9770.1575233258</x:v>
      </x:c>
      <x:c r="Y328" s="203" t="n">
        <x:v>25259.9280967653</x:v>
      </x:c>
      <x:c r="Z328" s="193" t="b">
        <x:v>1</x:v>
      </x:c>
      <x:c r="AA328" s="193" t="b">
        <x:v>0</x:v>
      </x:c>
      <x:c r="AB328" s="193" t="b">
        <x:v>1</x:v>
      </x:c>
      <x:c r="AC328" s="193" t="b">
        <x:v>1</x:v>
      </x:c>
      <x:c r="AD328" s="193" t="b">
        <x:v>1</x:v>
      </x:c>
      <x:c r="AE328" s="193" t="b">
        <x:v>1</x:v>
      </x:c>
      <x:c r="AF328" s="193" t="b">
        <x:v>1</x:v>
      </x:c>
      <x:c r="AG328" s="193" t="b">
        <x:v>1</x:v>
      </x:c>
      <x:c r="AH328" s="193" t="b">
        <x:v>1</x:v>
      </x:c>
      <x:c r="AI328" s="193" t="b">
        <x:v>1</x:v>
      </x:c>
      <x:c r="AJ328" s="193" t="b">
        <x:v>1</x:v>
      </x:c>
    </x:row>
    <x:row r="329">
      <x:c r="A329" s="192" t="n">
        <x:v>52826190</x:v>
      </x:c>
      <x:c r="B329" s="192" t="str">
        <x:v>https://www.airbnb.com.br/rooms/52826190</x:v>
      </x:c>
      <x:c r="C329" s="192" t="str">
        <x:v>Casa completa em Itapema/SC - Meia Praia</x:v>
      </x:c>
      <x:c r="D329" s="192" t="str">
        <x:v>Morretes</x:v>
      </x:c>
      <x:c r="E329" s="192" t="n">
        <x:v>-27.1211395264</x:v>
      </x:c>
      <x:c r="F329" s="192" t="n">
        <x:v>-48.6170883179</x:v>
      </x:c>
      <x:c r="G329" s="192" t="str">
        <x:v>casa</x:v>
      </x:c>
      <x:c r="H329" s="192" t="n">
        <x:v>2</x:v>
      </x:c>
      <x:c r="I329" s="192" t="n">
        <x:v>1</x:v>
      </x:c>
      <x:c r="J329" s="192" t="n">
        <x:v>4</x:v>
      </x:c>
      <x:c r="K329" s="192" t="n">
        <x:v>6</x:v>
      </x:c>
      <x:c r="L329" s="192" t="n">
        <x:v>12</x:v>
      </x:c>
      <x:c r="M329" s="192" t="n">
        <x:v>4.75</x:v>
      </x:c>
      <x:c r="N329" s="192" t="n">
        <x:v>250</x:v>
      </x:c>
      <x:c r="O329" s="192" t="n">
        <x:v>8</x:v>
      </x:c>
      <x:c r="P329" s="193" t="b">
        <x:v>0</x:v>
      </x:c>
      <x:c r="Q329" s="193" t="b">
        <x:v>0</x:v>
      </x:c>
      <x:c r="R329" s="193" t="b">
        <x:v>1</x:v>
      </x:c>
      <x:c r="S329" s="193" t="b">
        <x:v>1</x:v>
      </x:c>
      <x:c r="T329" s="192" t="n">
        <x:v>38</x:v>
      </x:c>
      <x:c r="U329" s="192" t="n">
        <x:v>52</x:v>
      </x:c>
      <x:c r="V329" s="200" t="n">
        <x:v>0.5777777778</x:v>
      </x:c>
      <x:c r="W329" s="203" t="n">
        <x:v>300</x:v>
      </x:c>
      <x:c r="X329" s="203" t="n">
        <x:v>15456.2129980708</x:v>
      </x:c>
      <x:c r="Y329" s="203" t="n">
        <x:v>39960.7506887622</x:v>
      </x:c>
      <x:c r="Z329" s="193" t="b">
        <x:v>0</x:v>
      </x:c>
      <x:c r="AA329" s="193" t="b">
        <x:v>0</x:v>
      </x:c>
      <x:c r="AB329" s="193" t="b">
        <x:v>1</x:v>
      </x:c>
      <x:c r="AC329" s="193" t="b">
        <x:v>1</x:v>
      </x:c>
      <x:c r="AD329" s="193" t="b">
        <x:v>0</x:v>
      </x:c>
      <x:c r="AE329" s="193" t="b">
        <x:v>0</x:v>
      </x:c>
      <x:c r="AF329" s="193" t="b">
        <x:v>1</x:v>
      </x:c>
      <x:c r="AG329" s="193" t="b">
        <x:v>1</x:v>
      </x:c>
      <x:c r="AH329" s="193" t="b">
        <x:v>1</x:v>
      </x:c>
      <x:c r="AI329" s="193" t="b">
        <x:v>1</x:v>
      </x:c>
      <x:c r="AJ329" s="193" t="b">
        <x:v>1</x:v>
      </x:c>
    </x:row>
    <x:row r="330">
      <x:c r="A330" s="192" t="n">
        <x:v>37118794</x:v>
      </x:c>
      <x:c r="B330" s="192" t="str">
        <x:v>https://www.airbnb.com.br/rooms/37118794</x:v>
      </x:c>
      <x:c r="C330" s="192" t="str">
        <x:v>BEIRA MAR - APARTAMENTO 03 DORMITÓRIOS</x:v>
      </x:c>
      <x:c r="D330" s="192" t="str">
        <x:v>Meia Praia</x:v>
      </x:c>
      <x:c r="E330" s="192" t="n">
        <x:v>-27.12267</x:v>
      </x:c>
      <x:c r="F330" s="192" t="n">
        <x:v>-48.60619</x:v>
      </x:c>
      <x:c r="G330" s="192" t="str">
        <x:v>apartamento</x:v>
      </x:c>
      <x:c r="H330" s="192" t="n">
        <x:v>3</x:v>
      </x:c>
      <x:c r="I330" s="192" t="n">
        <x:v>2</x:v>
      </x:c>
      <x:c r="J330" s="192" t="n">
        <x:v>4</x:v>
      </x:c>
      <x:c r="K330" s="192" t="n">
        <x:v>6</x:v>
      </x:c>
      <x:c r="L330" s="192" t="n">
        <x:v>6</x:v>
      </x:c>
      <x:c r="M330" s="192" t="n">
        <x:v>5</x:v>
      </x:c>
      <x:c r="N330" s="192" t="n">
        <x:v>350</x:v>
      </x:c>
      <x:c r="O330" s="192" t="n">
        <x:v>13</x:v>
      </x:c>
      <x:c r="P330" s="193" t="b">
        <x:v>0</x:v>
      </x:c>
      <x:c r="Q330" s="193" t="b">
        <x:v>0</x:v>
      </x:c>
      <x:c r="R330" s="193" t="b">
        <x:v>0</x:v>
      </x:c>
      <x:c r="S330" s="193" t="b">
        <x:v>0</x:v>
      </x:c>
      <x:c r="T330" s="192" t="n">
        <x:v>62</x:v>
      </x:c>
      <x:c r="U330" s="192" t="n">
        <x:v>28</x:v>
      </x:c>
      <x:c r="V330" s="200" t="n">
        <x:v>0.3111111111</x:v>
      </x:c>
      <x:c r="W330" s="203" t="n">
        <x:v>1000</x:v>
      </x:c>
      <x:c r="X330" s="203" t="n">
        <x:v>28218.3372175538</x:v>
      </x:c>
      <x:c r="Y330" s="203" t="n">
        <x:v>72956.1593478839</x:v>
      </x:c>
      <x:c r="Z330" s="193" t="b">
        <x:v>1</x:v>
      </x:c>
      <x:c r="AA330" s="193" t="b">
        <x:v>0</x:v>
      </x:c>
      <x:c r="AB330" s="193" t="b">
        <x:v>1</x:v>
      </x:c>
      <x:c r="AC330" s="193" t="b">
        <x:v>1</x:v>
      </x:c>
      <x:c r="AD330" s="193" t="b">
        <x:v>1</x:v>
      </x:c>
      <x:c r="AE330" s="193" t="b">
        <x:v>1</x:v>
      </x:c>
      <x:c r="AF330" s="193" t="b">
        <x:v>1</x:v>
      </x:c>
      <x:c r="AG330" s="193" t="b">
        <x:v>1</x:v>
      </x:c>
      <x:c r="AH330" s="193" t="b">
        <x:v>1</x:v>
      </x:c>
      <x:c r="AI330" s="193" t="b">
        <x:v>1</x:v>
      </x:c>
      <x:c r="AJ330" s="193" t="b">
        <x:v>1</x:v>
      </x:c>
    </x:row>
    <x:row r="331">
      <x:c r="A331" s="192" t="n">
        <x:v>1329787295308110600</x:v>
      </x:c>
      <x:c r="B331" s="192" t="str">
        <x:v>https://www.airbnb.com.br/rooms/1329787295308110610</x:v>
      </x:c>
      <x:c r="C331" s="192" t="str">
        <x:v>Apto Vista Mar c/ Churrasqueira MHF1408</x:v>
      </x:c>
      <x:c r="D331" s="192" t="str">
        <x:v>Centro</x:v>
      </x:c>
      <x:c r="E331" s="192" t="n">
        <x:v>-27.0936893</x:v>
      </x:c>
      <x:c r="F331" s="192" t="n">
        <x:v>-48.6131638</x:v>
      </x:c>
      <x:c r="G331" s="192" t="str">
        <x:v>apartamento</x:v>
      </x:c>
      <x:c r="H331" s="192" t="n">
        <x:v>2</x:v>
      </x:c>
      <x:c r="I331" s="192" t="n">
        <x:v>1</x:v>
      </x:c>
      <x:c r="J331" s="192" t="n">
        <x:v>3</x:v>
      </x:c>
      <x:c r="K331" s="192" t="n">
        <x:v>5</x:v>
      </x:c>
      <x:c r="L331" s="192" t="n">
        <x:v>0</x:v>
      </x:c>
      <x:c r="M331" s="192"/>
      <x:c r="N331" s="192" t="n">
        <x:v>220</x:v>
      </x:c>
      <x:c r="O331" s="192" t="n">
        <x:v>0</x:v>
      </x:c>
      <x:c r="P331" s="193" t="b">
        <x:v>1</x:v>
      </x:c>
      <x:c r="Q331" s="193" t="b">
        <x:v>1</x:v>
      </x:c>
      <x:c r="R331" s="193" t="b">
        <x:v>0</x:v>
      </x:c>
      <x:c r="S331" s="193" t="b">
        <x:v>0</x:v>
      </x:c>
      <x:c r="T331" s="192" t="n">
        <x:v>71</x:v>
      </x:c>
      <x:c r="U331" s="192" t="n">
        <x:v>19</x:v>
      </x:c>
      <x:c r="V331" s="200" t="n">
        <x:v>0.2111111111</x:v>
      </x:c>
      <x:c r="W331" s="203" t="n">
        <x:v>935</x:v>
      </x:c>
      <x:c r="X331" s="203" t="n">
        <x:v>17720.3756640486</x:v>
      </x:c>
      <x:c r="Y331" s="203" t="n">
        <x:v>45814.5545814257</x:v>
      </x:c>
      <x:c r="Z331" s="193" t="b">
        <x:v>1</x:v>
      </x:c>
      <x:c r="AA331" s="193" t="b">
        <x:v>1</x:v>
      </x:c>
      <x:c r="AB331" s="193" t="b">
        <x:v>1</x:v>
      </x:c>
      <x:c r="AC331" s="193" t="b">
        <x:v>1</x:v>
      </x:c>
      <x:c r="AD331" s="193" t="b">
        <x:v>1</x:v>
      </x:c>
      <x:c r="AE331" s="193" t="b">
        <x:v>0</x:v>
      </x:c>
      <x:c r="AF331" s="193" t="b">
        <x:v>1</x:v>
      </x:c>
      <x:c r="AG331" s="193" t="b">
        <x:v>1</x:v>
      </x:c>
      <x:c r="AH331" s="193" t="b">
        <x:v>1</x:v>
      </x:c>
      <x:c r="AI331" s="193" t="b">
        <x:v>1</x:v>
      </x:c>
      <x:c r="AJ331" s="193" t="b">
        <x:v>1</x:v>
      </x:c>
    </x:row>
    <x:row r="332">
      <x:c r="A332" s="192" t="n">
        <x:v>52348108</x:v>
      </x:c>
      <x:c r="B332" s="192" t="str">
        <x:v>https://www.airbnb.com.br/rooms/52348108</x:v>
      </x:c>
      <x:c r="C332" s="192" t="str">
        <x:v>Meia Praia/SC - Apartamento com VISTA PRO MAR!!</x:v>
      </x:c>
      <x:c r="D332" s="192" t="str">
        <x:v>Meia Praia</x:v>
      </x:c>
      <x:c r="E332" s="192" t="n">
        <x:v>-27.12175</x:v>
      </x:c>
      <x:c r="F332" s="192" t="n">
        <x:v>-48.60798</x:v>
      </x:c>
      <x:c r="G332" s="192" t="str">
        <x:v>apartamento</x:v>
      </x:c>
      <x:c r="H332" s="192" t="n">
        <x:v>2</x:v>
      </x:c>
      <x:c r="I332" s="192" t="n">
        <x:v>2</x:v>
      </x:c>
      <x:c r="J332" s="192" t="n">
        <x:v>3</x:v>
      </x:c>
      <x:c r="K332" s="192" t="n">
        <x:v>6</x:v>
      </x:c>
      <x:c r="L332" s="192" t="n">
        <x:v>25</x:v>
      </x:c>
      <x:c r="M332" s="192" t="n">
        <x:v>4.7600002289</x:v>
      </x:c>
      <x:c r="N332" s="192" t="n">
        <x:v>250</x:v>
      </x:c>
      <x:c r="O332" s="192" t="n">
        <x:v>18</x:v>
      </x:c>
      <x:c r="P332" s="193" t="b">
        <x:v>0</x:v>
      </x:c>
      <x:c r="Q332" s="193" t="b">
        <x:v>0</x:v>
      </x:c>
      <x:c r="R332" s="193" t="b">
        <x:v>0</x:v>
      </x:c>
      <x:c r="S332" s="193" t="b">
        <x:v>0</x:v>
      </x:c>
      <x:c r="T332" s="192" t="n">
        <x:v>43</x:v>
      </x:c>
      <x:c r="U332" s="192" t="n">
        <x:v>47</x:v>
      </x:c>
      <x:c r="V332" s="200" t="n">
        <x:v>0.5222222222</x:v>
      </x:c>
      <x:c r="W332" s="203" t="n">
        <x:v>400</x:v>
      </x:c>
      <x:c r="X332" s="203" t="n">
        <x:v>19700.1625640346</x:v>
      </x:c>
      <x:c r="Y332" s="203" t="n">
        <x:v>50933.1286290977</x:v>
      </x:c>
      <x:c r="Z332" s="193" t="b">
        <x:v>0</x:v>
      </x:c>
      <x:c r="AA332" s="193" t="b">
        <x:v>0</x:v>
      </x:c>
      <x:c r="AB332" s="193" t="b">
        <x:v>1</x:v>
      </x:c>
      <x:c r="AC332" s="193" t="b">
        <x:v>1</x:v>
      </x:c>
      <x:c r="AD332" s="193" t="b">
        <x:v>1</x:v>
      </x:c>
      <x:c r="AE332" s="193" t="b">
        <x:v>1</x:v>
      </x:c>
      <x:c r="AF332" s="193" t="b">
        <x:v>1</x:v>
      </x:c>
      <x:c r="AG332" s="193" t="b">
        <x:v>1</x:v>
      </x:c>
      <x:c r="AH332" s="193" t="b">
        <x:v>1</x:v>
      </x:c>
      <x:c r="AI332" s="193" t="b">
        <x:v>1</x:v>
      </x:c>
      <x:c r="AJ332" s="193" t="b">
        <x:v>1</x:v>
      </x:c>
    </x:row>
    <x:row r="333">
      <x:c r="A333" s="192" t="n">
        <x:v>794710559970994200</x:v>
      </x:c>
      <x:c r="B333" s="192" t="str">
        <x:v>https://www.airbnb.com.br/rooms/794710559970994170</x:v>
      </x:c>
      <x:c r="C333" s="192" t="str">
        <x:v>Ap.Ensolarado!
 700m da praia ,check-out 16h !</x:v>
      </x:c>
      <x:c r="D333" s="192" t="str">
        <x:v>Meia Praia</x:v>
      </x:c>
      <x:c r="E333" s="192" t="n">
        <x:v>-27.13371</x:v>
      </x:c>
      <x:c r="F333" s="192" t="n">
        <x:v>-48.60694</x:v>
      </x:c>
      <x:c r="G333" s="192" t="str">
        <x:v>apartamento</x:v>
      </x:c>
      <x:c r="H333" s="192" t="n">
        <x:v>2</x:v>
      </x:c>
      <x:c r="I333" s="192" t="n">
        <x:v>2</x:v>
      </x:c>
      <x:c r="J333" s="192" t="n">
        <x:v>3</x:v>
      </x:c>
      <x:c r="K333" s="192" t="n">
        <x:v>4</x:v>
      </x:c>
      <x:c r="L333" s="192" t="n">
        <x:v>11</x:v>
      </x:c>
      <x:c r="M333" s="192" t="n">
        <x:v>5</x:v>
      </x:c>
      <x:c r="N333" s="192" t="n">
        <x:v>10</x:v>
      </x:c>
      <x:c r="O333" s="192" t="n">
        <x:v>12</x:v>
      </x:c>
      <x:c r="P333" s="193" t="b">
        <x:v>0</x:v>
      </x:c>
      <x:c r="Q333" s="193" t="b">
        <x:v>0</x:v>
      </x:c>
      <x:c r="R333" s="193" t="b">
        <x:v>1</x:v>
      </x:c>
      <x:c r="S333" s="193" t="b">
        <x:v>0</x:v>
      </x:c>
      <x:c r="T333" s="192" t="n">
        <x:v>36</x:v>
      </x:c>
      <x:c r="U333" s="192" t="n">
        <x:v>54</x:v>
      </x:c>
      <x:c r="V333" s="200" t="n">
        <x:v>0.6</x:v>
      </x:c>
      <x:c r="W333" s="203" t="n">
        <x:v>525</x:v>
      </x:c>
      <x:c r="X333" s="203" t="n">
        <x:v>29163.9694450926</x:v>
      </x:c>
      <x:c r="Y333" s="203" t="n">
        <x:v>75401.0126694998</x:v>
      </x:c>
      <x:c r="Z333" s="193" t="b">
        <x:v>1</x:v>
      </x:c>
      <x:c r="AA333" s="193" t="b">
        <x:v>0</x:v>
      </x:c>
      <x:c r="AB333" s="193" t="b">
        <x:v>1</x:v>
      </x:c>
      <x:c r="AC333" s="193" t="b">
        <x:v>1</x:v>
      </x:c>
      <x:c r="AD333" s="193" t="b">
        <x:v>1</x:v>
      </x:c>
      <x:c r="AE333" s="193" t="b">
        <x:v>1</x:v>
      </x:c>
      <x:c r="AF333" s="193" t="b">
        <x:v>1</x:v>
      </x:c>
      <x:c r="AG333" s="193" t="b">
        <x:v>1</x:v>
      </x:c>
      <x:c r="AH333" s="193" t="b">
        <x:v>1</x:v>
      </x:c>
      <x:c r="AI333" s="193" t="b">
        <x:v>1</x:v>
      </x:c>
      <x:c r="AJ333" s="193" t="b">
        <x:v>1</x:v>
      </x:c>
    </x:row>
    <x:row r="334">
      <x:c r="A334" s="192" t="n">
        <x:v>1182188163181410800</x:v>
      </x:c>
      <x:c r="B334" s="192" t="str">
        <x:v>https://www.airbnb.com.br/rooms/1182188163181410725</x:v>
      </x:c>
      <x:c r="C334" s="192" t="str">
        <x:v>Vista mar 2 quartos Manhattan</x:v>
      </x:c>
      <x:c r="D334" s="192" t="str">
        <x:v>Centro</x:v>
      </x:c>
      <x:c r="E334" s="192" t="n">
        <x:v>-27.093588096</x:v>
      </x:c>
      <x:c r="F334" s="192" t="n">
        <x:v>-48.6131638661</x:v>
      </x:c>
      <x:c r="G334" s="192" t="str">
        <x:v>apartamento</x:v>
      </x:c>
      <x:c r="H334" s="192" t="n">
        <x:v>2</x:v>
      </x:c>
      <x:c r="I334" s="192" t="n">
        <x:v>1</x:v>
      </x:c>
      <x:c r="J334" s="192" t="n">
        <x:v>3</x:v>
      </x:c>
      <x:c r="K334" s="192" t="n">
        <x:v>5</x:v>
      </x:c>
      <x:c r="L334" s="192" t="n">
        <x:v>12</x:v>
      </x:c>
      <x:c r="M334" s="192" t="n">
        <x:v>4.9200000763</x:v>
      </x:c>
      <x:c r="N334" s="192" t="n">
        <x:v>250</x:v>
      </x:c>
      <x:c r="O334" s="192" t="n">
        <x:v>0</x:v>
      </x:c>
      <x:c r="P334" s="193" t="b">
        <x:v>0</x:v>
      </x:c>
      <x:c r="Q334" s="193" t="b">
        <x:v>0</x:v>
      </x:c>
      <x:c r="R334" s="193" t="b">
        <x:v>1</x:v>
      </x:c>
      <x:c r="S334" s="193" t="b">
        <x:v>1</x:v>
      </x:c>
      <x:c r="T334" s="192" t="n">
        <x:v>82</x:v>
      </x:c>
      <x:c r="U334" s="192" t="n">
        <x:v>8</x:v>
      </x:c>
      <x:c r="V334" s="200" t="n">
        <x:v>0.0888888889</x:v>
      </x:c>
      <x:c r="W334" s="203" t="n">
        <x:v>850</x:v>
      </x:c>
      <x:c r="X334" s="203" t="n">
        <x:v>6859.7718523768</x:v>
      </x:c>
      <x:c r="Y334" s="203" t="n">
        <x:v>17735.3684766659</x:v>
      </x:c>
      <x:c r="Z334" s="193" t="b">
        <x:v>1</x:v>
      </x:c>
      <x:c r="AA334" s="193" t="b">
        <x:v>1</x:v>
      </x:c>
      <x:c r="AB334" s="193" t="b">
        <x:v>1</x:v>
      </x:c>
      <x:c r="AC334" s="193" t="b">
        <x:v>1</x:v>
      </x:c>
      <x:c r="AD334" s="193" t="b">
        <x:v>1</x:v>
      </x:c>
      <x:c r="AE334" s="193" t="b">
        <x:v>1</x:v>
      </x:c>
      <x:c r="AF334" s="193" t="b">
        <x:v>1</x:v>
      </x:c>
      <x:c r="AG334" s="193" t="b">
        <x:v>1</x:v>
      </x:c>
      <x:c r="AH334" s="193" t="b">
        <x:v>1</x:v>
      </x:c>
      <x:c r="AI334" s="193" t="b">
        <x:v>1</x:v>
      </x:c>
      <x:c r="AJ334" s="193" t="b">
        <x:v>1</x:v>
      </x:c>
    </x:row>
    <x:row r="335">
      <x:c r="A335" s="192" t="n">
        <x:v>754375397775403300</x:v>
      </x:c>
      <x:c r="B335" s="192" t="str">
        <x:v>https://www.airbnb.com.br/rooms/754375397775403281</x:v>
      </x:c>
      <x:c r="C335" s="192" t="str">
        <x:v>Apartamento completo a 300m de Meia Praia</x:v>
      </x:c>
      <x:c r="D335" s="192" t="str">
        <x:v>Meia Praia</x:v>
      </x:c>
      <x:c r="E335" s="192" t="n">
        <x:v>-27.12255</x:v>
      </x:c>
      <x:c r="F335" s="192" t="n">
        <x:v>-48.60682</x:v>
      </x:c>
      <x:c r="G335" s="192" t="str">
        <x:v>apartamento</x:v>
      </x:c>
      <x:c r="H335" s="192" t="n">
        <x:v>3</x:v>
      </x:c>
      <x:c r="I335" s="192" t="n">
        <x:v>2</x:v>
      </x:c>
      <x:c r="J335" s="192" t="n">
        <x:v>4</x:v>
      </x:c>
      <x:c r="K335" s="192" t="n">
        <x:v>6</x:v>
      </x:c>
      <x:c r="L335" s="192" t="n">
        <x:v>8</x:v>
      </x:c>
      <x:c r="M335" s="192" t="n">
        <x:v>5</x:v>
      </x:c>
      <x:c r="N335" s="192" t="n">
        <x:v>250</x:v>
      </x:c>
      <x:c r="O335" s="192" t="n">
        <x:v>25</x:v>
      </x:c>
      <x:c r="P335" s="193" t="b">
        <x:v>0</x:v>
      </x:c>
      <x:c r="Q335" s="193" t="b">
        <x:v>0</x:v>
      </x:c>
      <x:c r="R335" s="193" t="b">
        <x:v>1</x:v>
      </x:c>
      <x:c r="S335" s="193" t="b">
        <x:v>0</x:v>
      </x:c>
      <x:c r="T335" s="192" t="n">
        <x:v>84</x:v>
      </x:c>
      <x:c r="U335" s="192" t="n">
        <x:v>6</x:v>
      </x:c>
      <x:c r="V335" s="200" t="n">
        <x:v>0.0666666667</x:v>
      </x:c>
      <x:c r="W335" s="203" t="n">
        <x:v>890</x:v>
      </x:c>
      <x:c r="X335" s="203" t="n">
        <x:v>5473.3109807514</x:v>
      </x:c>
      <x:c r="Y335" s="203" t="n">
        <x:v>14150.7894314843</x:v>
      </x:c>
      <x:c r="Z335" s="193" t="b">
        <x:v>1</x:v>
      </x:c>
      <x:c r="AA335" s="193" t="b">
        <x:v>0</x:v>
      </x:c>
      <x:c r="AB335" s="193" t="b">
        <x:v>1</x:v>
      </x:c>
      <x:c r="AC335" s="193" t="b">
        <x:v>1</x:v>
      </x:c>
      <x:c r="AD335" s="193" t="b">
        <x:v>1</x:v>
      </x:c>
      <x:c r="AE335" s="193" t="b">
        <x:v>1</x:v>
      </x:c>
      <x:c r="AF335" s="193" t="b">
        <x:v>1</x:v>
      </x:c>
      <x:c r="AG335" s="193" t="b">
        <x:v>1</x:v>
      </x:c>
      <x:c r="AH335" s="193" t="b">
        <x:v>1</x:v>
      </x:c>
      <x:c r="AI335" s="193" t="b">
        <x:v>1</x:v>
      </x:c>
      <x:c r="AJ335" s="193" t="b">
        <x:v>1</x:v>
      </x:c>
    </x:row>
    <x:row r="336">
      <x:c r="A336" s="192" t="n">
        <x:v>47269826</x:v>
      </x:c>
      <x:c r="B336" s="192" t="str">
        <x:v>https://www.airbnb.com.br/rooms/47269826</x:v>
      </x:c>
      <x:c r="C336" s="192" t="str">
        <x:v>Quadra mar maravilhoso! 
10 andar.</x:v>
      </x:c>
      <x:c r="D336" s="192" t="str">
        <x:v>Meia Praia</x:v>
      </x:c>
      <x:c r="E336" s="192" t="n">
        <x:v>-27.14242</x:v>
      </x:c>
      <x:c r="F336" s="192" t="n">
        <x:v>-48.58943</x:v>
      </x:c>
      <x:c r="G336" s="192" t="str">
        <x:v>apartamento</x:v>
      </x:c>
      <x:c r="H336" s="192" t="n">
        <x:v>3</x:v>
      </x:c>
      <x:c r="I336" s="192" t="n">
        <x:v>3</x:v>
      </x:c>
      <x:c r="J336" s="192" t="n">
        <x:v>3</x:v>
      </x:c>
      <x:c r="K336" s="192" t="n">
        <x:v>7</x:v>
      </x:c>
      <x:c r="L336" s="192" t="n">
        <x:v>28</x:v>
      </x:c>
      <x:c r="M336" s="192" t="n">
        <x:v>5</x:v>
      </x:c>
      <x:c r="N336" s="192" t="n">
        <x:v>400</x:v>
      </x:c>
      <x:c r="O336" s="192" t="n">
        <x:v>41</x:v>
      </x:c>
      <x:c r="P336" s="193" t="b">
        <x:v>0</x:v>
      </x:c>
      <x:c r="Q336" s="193" t="b">
        <x:v>0</x:v>
      </x:c>
      <x:c r="R336" s="193" t="b">
        <x:v>1</x:v>
      </x:c>
      <x:c r="S336" s="193" t="b">
        <x:v>1</x:v>
      </x:c>
      <x:c r="T336" s="192" t="n">
        <x:v>12</x:v>
      </x:c>
      <x:c r="U336" s="192" t="n">
        <x:v>78</x:v>
      </x:c>
      <x:c r="V336" s="200" t="n">
        <x:v>0.8666666667</x:v>
      </x:c>
      <x:c r="W336" s="203" t="n">
        <x:v>603</x:v>
      </x:c>
      <x:c r="X336" s="203" t="n">
        <x:v>46596.7197261614</x:v>
      </x:c>
      <x:c r="Y336" s="203" t="n">
        <x:v>120471.9357920131</x:v>
      </x:c>
      <x:c r="Z336" s="193" t="b">
        <x:v>0</x:v>
      </x:c>
      <x:c r="AA336" s="193" t="b">
        <x:v>0</x:v>
      </x:c>
      <x:c r="AB336" s="193" t="b">
        <x:v>1</x:v>
      </x:c>
      <x:c r="AC336" s="193" t="b">
        <x:v>1</x:v>
      </x:c>
      <x:c r="AD336" s="193" t="b">
        <x:v>1</x:v>
      </x:c>
      <x:c r="AE336" s="193" t="b">
        <x:v>1</x:v>
      </x:c>
      <x:c r="AF336" s="193" t="b">
        <x:v>1</x:v>
      </x:c>
      <x:c r="AG336" s="193" t="b">
        <x:v>1</x:v>
      </x:c>
      <x:c r="AH336" s="193" t="b">
        <x:v>1</x:v>
      </x:c>
      <x:c r="AI336" s="193" t="b">
        <x:v>1</x:v>
      </x:c>
      <x:c r="AJ336" s="193" t="b">
        <x:v>1</x:v>
      </x:c>
    </x:row>
    <x:row r="337">
      <x:c r="A337" s="192" t="n">
        <x:v>39972515</x:v>
      </x:c>
      <x:c r="B337" s="192" t="str">
        <x:v>https://www.airbnb.com.br/rooms/39972515</x:v>
      </x:c>
      <x:c r="C337" s="192" t="str">
        <x:v>Excelente localização! 250 m do mar. (Ar+ Wi-Fi)</x:v>
      </x:c>
      <x:c r="D337" s="192" t="str">
        <x:v>Meia Praia</x:v>
      </x:c>
      <x:c r="E337" s="192" t="n">
        <x:v>-27.1346</x:v>
      </x:c>
      <x:c r="F337" s="192" t="n">
        <x:v>-48.59988</x:v>
      </x:c>
      <x:c r="G337" s="192" t="str">
        <x:v>apartamento</x:v>
      </x:c>
      <x:c r="H337" s="192" t="n">
        <x:v>2</x:v>
      </x:c>
      <x:c r="I337" s="192" t="n">
        <x:v>1</x:v>
      </x:c>
      <x:c r="J337" s="192" t="n">
        <x:v>3</x:v>
      </x:c>
      <x:c r="K337" s="192" t="n">
        <x:v>6</x:v>
      </x:c>
      <x:c r="L337" s="192" t="n">
        <x:v>140</x:v>
      </x:c>
      <x:c r="M337" s="192" t="n">
        <x:v>4.8299999237</x:v>
      </x:c>
      <x:c r="N337" s="192" t="n">
        <x:v>200</x:v>
      </x:c>
      <x:c r="O337" s="192" t="n">
        <x:v>22</x:v>
      </x:c>
      <x:c r="P337" s="193" t="b">
        <x:v>0</x:v>
      </x:c>
      <x:c r="Q337" s="193" t="b">
        <x:v>0</x:v>
      </x:c>
      <x:c r="R337" s="193" t="b">
        <x:v>1</x:v>
      </x:c>
      <x:c r="S337" s="193" t="b">
        <x:v>1</x:v>
      </x:c>
      <x:c r="T337" s="192" t="n">
        <x:v>59</x:v>
      </x:c>
      <x:c r="U337" s="192" t="n">
        <x:v>31</x:v>
      </x:c>
      <x:c r="V337" s="200" t="n">
        <x:v>0.3444444444</x:v>
      </x:c>
      <x:c r="W337" s="203" t="n">
        <x:v>323</x:v>
      </x:c>
      <x:c r="X337" s="203" t="n">
        <x:v>10058.1239622261</x:v>
      </x:c>
      <x:c r="Y337" s="203" t="n">
        <x:v>26004.4413273388</x:v>
      </x:c>
      <x:c r="Z337" s="193" t="b">
        <x:v>1</x:v>
      </x:c>
      <x:c r="AA337" s="193" t="b">
        <x:v>0</x:v>
      </x:c>
      <x:c r="AB337" s="193" t="b">
        <x:v>1</x:v>
      </x:c>
      <x:c r="AC337" s="193" t="b">
        <x:v>1</x:v>
      </x:c>
      <x:c r="AD337" s="193" t="b">
        <x:v>0</x:v>
      </x:c>
      <x:c r="AE337" s="193" t="b">
        <x:v>0</x:v>
      </x:c>
      <x:c r="AF337" s="193" t="b">
        <x:v>1</x:v>
      </x:c>
      <x:c r="AG337" s="193" t="b">
        <x:v>1</x:v>
      </x:c>
      <x:c r="AH337" s="193" t="b">
        <x:v>1</x:v>
      </x:c>
      <x:c r="AI337" s="193" t="b">
        <x:v>1</x:v>
      </x:c>
      <x:c r="AJ337" s="193" t="b">
        <x:v>1</x:v>
      </x:c>
    </x:row>
    <x:row r="338">
      <x:c r="A338" s="192" t="n">
        <x:v>929120660817262800</x:v>
      </x:c>
      <x:c r="B338" s="192" t="str">
        <x:v>https://www.airbnb.com.br/rooms/929120660817262874</x:v>
      </x:c>
      <x:c r="C338" s="192" t="str">
        <x:v>Apto 3 dorm, Centro de Itapema.</x:v>
      </x:c>
      <x:c r="D338" s="192" t="str">
        <x:v>Centro</x:v>
      </x:c>
      <x:c r="E338" s="192" t="n">
        <x:v>-27.0939998627</x:v>
      </x:c>
      <x:c r="F338" s="192" t="n">
        <x:v>-48.6150016785</x:v>
      </x:c>
      <x:c r="G338" s="192" t="str">
        <x:v>apartamento</x:v>
      </x:c>
      <x:c r="H338" s="192" t="n">
        <x:v>3</x:v>
      </x:c>
      <x:c r="I338" s="192" t="n">
        <x:v>2</x:v>
      </x:c>
      <x:c r="J338" s="192" t="n">
        <x:v>3</x:v>
      </x:c>
      <x:c r="K338" s="192" t="n">
        <x:v>6</x:v>
      </x:c>
      <x:c r="L338" s="192" t="n">
        <x:v>4</x:v>
      </x:c>
      <x:c r="M338" s="192" t="n">
        <x:v>5</x:v>
      </x:c>
      <x:c r="N338" s="192" t="n">
        <x:v>280</x:v>
      </x:c>
      <x:c r="O338" s="192" t="n">
        <x:v>13</x:v>
      </x:c>
      <x:c r="P338" s="193" t="b">
        <x:v>1</x:v>
      </x:c>
      <x:c r="Q338" s="193" t="b">
        <x:v>0</x:v>
      </x:c>
      <x:c r="R338" s="193" t="b">
        <x:v>0</x:v>
      </x:c>
      <x:c r="S338" s="193" t="b">
        <x:v>0</x:v>
      </x:c>
      <x:c r="T338" s="192" t="n">
        <x:v>86</x:v>
      </x:c>
      <x:c r="U338" s="192" t="n">
        <x:v>4</x:v>
      </x:c>
      <x:c r="V338" s="200" t="n">
        <x:v>0.0444444444</x:v>
      </x:c>
      <x:c r="W338" s="203" t="n">
        <x:v>699</x:v>
      </x:c>
      <x:c r="X338" s="203" t="n">
        <x:v>2892.5121818727</x:v>
      </x:c>
      <x:c r="Y338" s="203" t="n">
        <x:v>7478.34920355</x:v>
      </x:c>
      <x:c r="Z338" s="193" t="b">
        <x:v>1</x:v>
      </x:c>
      <x:c r="AA338" s="193" t="b">
        <x:v>0</x:v>
      </x:c>
      <x:c r="AB338" s="193" t="b">
        <x:v>1</x:v>
      </x:c>
      <x:c r="AC338" s="193" t="b">
        <x:v>1</x:v>
      </x:c>
      <x:c r="AD338" s="193" t="b">
        <x:v>0</x:v>
      </x:c>
      <x:c r="AE338" s="193" t="b">
        <x:v>0</x:v>
      </x:c>
      <x:c r="AF338" s="193" t="b">
        <x:v>1</x:v>
      </x:c>
      <x:c r="AG338" s="193" t="b">
        <x:v>1</x:v>
      </x:c>
      <x:c r="AH338" s="193" t="b">
        <x:v>1</x:v>
      </x:c>
      <x:c r="AI338" s="193" t="b">
        <x:v>1</x:v>
      </x:c>
      <x:c r="AJ338" s="193" t="b">
        <x:v>0</x:v>
      </x:c>
    </x:row>
    <x:row r="339">
      <x:c r="A339" s="192" t="n">
        <x:v>43754654</x:v>
      </x:c>
      <x:c r="B339" s="192" t="str">
        <x:v>https://www.airbnb.com.br/rooms/43754654</x:v>
      </x:c>
      <x:c r="C339" s="192" t="str">
        <x:v>Apartamento 3 Suítes a 70 metros do Mar de Itapema</x:v>
      </x:c>
      <x:c r="D339" s="192" t="str">
        <x:v>Centro</x:v>
      </x:c>
      <x:c r="E339" s="192" t="n">
        <x:v>-27.09491</x:v>
      </x:c>
      <x:c r="F339" s="192" t="n">
        <x:v>-48.61382</x:v>
      </x:c>
      <x:c r="G339" s="192" t="str">
        <x:v>apartamento</x:v>
      </x:c>
      <x:c r="H339" s="192" t="n">
        <x:v>3</x:v>
      </x:c>
      <x:c r="I339" s="192" t="n">
        <x:v>3</x:v>
      </x:c>
      <x:c r="J339" s="192" t="n">
        <x:v>4</x:v>
      </x:c>
      <x:c r="K339" s="192" t="n">
        <x:v>8</x:v>
      </x:c>
      <x:c r="L339" s="192" t="n">
        <x:v>12</x:v>
      </x:c>
      <x:c r="M339" s="192" t="n">
        <x:v>5</x:v>
      </x:c>
      <x:c r="N339" s="192" t="n">
        <x:v>390</x:v>
      </x:c>
      <x:c r="O339" s="192" t="n">
        <x:v>28</x:v>
      </x:c>
      <x:c r="P339" s="193" t="b">
        <x:v>0</x:v>
      </x:c>
      <x:c r="Q339" s="193" t="b">
        <x:v>0</x:v>
      </x:c>
      <x:c r="R339" s="193" t="b">
        <x:v>0</x:v>
      </x:c>
      <x:c r="S339" s="193" t="b">
        <x:v>0</x:v>
      </x:c>
      <x:c r="T339" s="192" t="n">
        <x:v>81</x:v>
      </x:c>
      <x:c r="U339" s="192" t="n">
        <x:v>9</x:v>
      </x:c>
      <x:c r="V339" s="200" t="n">
        <x:v>0.1</x:v>
      </x:c>
      <x:c r="W339" s="203" t="n">
        <x:v>897</x:v>
      </x:c>
      <x:c r="X339" s="203" t="n">
        <x:v>8234.2124310704</x:v>
      </x:c>
      <x:c r="Y339" s="203" t="n">
        <x:v>21288.8700561631</x:v>
      </x:c>
      <x:c r="Z339" s="193" t="b">
        <x:v>1</x:v>
      </x:c>
      <x:c r="AA339" s="193" t="b">
        <x:v>1</x:v>
      </x:c>
      <x:c r="AB339" s="193" t="b">
        <x:v>1</x:v>
      </x:c>
      <x:c r="AC339" s="193" t="b">
        <x:v>1</x:v>
      </x:c>
      <x:c r="AD339" s="193" t="b">
        <x:v>0</x:v>
      </x:c>
      <x:c r="AE339" s="193" t="b">
        <x:v>0</x:v>
      </x:c>
      <x:c r="AF339" s="193" t="b">
        <x:v>1</x:v>
      </x:c>
      <x:c r="AG339" s="193" t="b">
        <x:v>1</x:v>
      </x:c>
      <x:c r="AH339" s="193" t="b">
        <x:v>1</x:v>
      </x:c>
      <x:c r="AI339" s="193" t="b">
        <x:v>1</x:v>
      </x:c>
      <x:c r="AJ339" s="193" t="b">
        <x:v>1</x:v>
      </x:c>
    </x:row>
    <x:row r="340">
      <x:c r="A340" s="192" t="n">
        <x:v>38262480</x:v>
      </x:c>
      <x:c r="B340" s="192" t="str">
        <x:v>https://www.airbnb.com.br/rooms/38262480</x:v>
      </x:c>
      <x:c r="C340" s="192" t="str">
        <x:v>Refúgio ItapeMar - Amplo apartamento à beira-mar</x:v>
      </x:c>
      <x:c r="D340" s="192" t="str">
        <x:v>Meia Praia</x:v>
      </x:c>
      <x:c r="E340" s="192" t="n">
        <x:v>-27.14075</x:v>
      </x:c>
      <x:c r="F340" s="192" t="n">
        <x:v>-48.59029</x:v>
      </x:c>
      <x:c r="G340" s="192" t="str">
        <x:v>apartamento</x:v>
      </x:c>
      <x:c r="H340" s="192" t="n">
        <x:v>4</x:v>
      </x:c>
      <x:c r="I340" s="192" t="n">
        <x:v>3</x:v>
      </x:c>
      <x:c r="J340" s="192" t="n">
        <x:v>5</x:v>
      </x:c>
      <x:c r="K340" s="192" t="n">
        <x:v>8</x:v>
      </x:c>
      <x:c r="L340" s="192" t="n">
        <x:v>45</x:v>
      </x:c>
      <x:c r="M340" s="192" t="n">
        <x:v>4.8699998856</x:v>
      </x:c>
      <x:c r="N340" s="192" t="n">
        <x:v>250</x:v>
      </x:c>
      <x:c r="O340" s="192" t="n">
        <x:v>34</x:v>
      </x:c>
      <x:c r="P340" s="193" t="b">
        <x:v>1</x:v>
      </x:c>
      <x:c r="Q340" s="193" t="b">
        <x:v>0</x:v>
      </x:c>
      <x:c r="R340" s="193" t="b">
        <x:v>1</x:v>
      </x:c>
      <x:c r="S340" s="193" t="b">
        <x:v>1</x:v>
      </x:c>
      <x:c r="T340" s="192" t="n">
        <x:v>24</x:v>
      </x:c>
      <x:c r="U340" s="192" t="n">
        <x:v>66</x:v>
      </x:c>
      <x:c r="V340" s="200" t="n">
        <x:v>0.7333333333</x:v>
      </x:c>
      <x:c r="W340" s="203" t="n">
        <x:v>1200</x:v>
      </x:c>
      <x:c r="X340" s="203" t="n">
        <x:v>79102.3071289074</x:v>
      </x:c>
      <x:c r="Y340" s="203" t="n">
        <x:v>204512.4232228628</x:v>
      </x:c>
      <x:c r="Z340" s="193" t="b">
        <x:v>0</x:v>
      </x:c>
      <x:c r="AA340" s="193" t="b">
        <x:v>0</x:v>
      </x:c>
      <x:c r="AB340" s="193" t="b">
        <x:v>1</x:v>
      </x:c>
      <x:c r="AC340" s="193" t="b">
        <x:v>1</x:v>
      </x:c>
      <x:c r="AD340" s="193" t="b">
        <x:v>1</x:v>
      </x:c>
      <x:c r="AE340" s="193" t="b">
        <x:v>1</x:v>
      </x:c>
      <x:c r="AF340" s="193" t="b">
        <x:v>1</x:v>
      </x:c>
      <x:c r="AG340" s="193" t="b">
        <x:v>1</x:v>
      </x:c>
      <x:c r="AH340" s="193" t="b">
        <x:v>1</x:v>
      </x:c>
      <x:c r="AI340" s="193" t="b">
        <x:v>1</x:v>
      </x:c>
      <x:c r="AJ340" s="193" t="b">
        <x:v>1</x:v>
      </x:c>
    </x:row>
    <x:row r="341">
      <x:c r="A341" s="192" t="n">
        <x:v>53903158</x:v>
      </x:c>
      <x:c r="B341" s="192" t="str">
        <x:v>https://www.airbnb.com.br/rooms/53903158</x:v>
      </x:c>
      <x:c r="C341" s="192" t="str">
        <x:v>Lindo apt frente mar pé n areia itapema/meia praia</x:v>
      </x:c>
      <x:c r="D341" s="192" t="str">
        <x:v>Morretes</x:v>
      </x:c>
      <x:c r="E341" s="192" t="n">
        <x:v>-27.1140804291</x:v>
      </x:c>
      <x:c r="F341" s="192" t="n">
        <x:v>-48.6089096069</x:v>
      </x:c>
      <x:c r="G341" s="192" t="str">
        <x:v>apartamento</x:v>
      </x:c>
      <x:c r="H341" s="192" t="n">
        <x:v>3</x:v>
      </x:c>
      <x:c r="I341" s="192" t="n">
        <x:v>2</x:v>
      </x:c>
      <x:c r="J341" s="192" t="n">
        <x:v>3</x:v>
      </x:c>
      <x:c r="K341" s="192" t="n">
        <x:v>8</x:v>
      </x:c>
      <x:c r="L341" s="192" t="n">
        <x:v>17</x:v>
      </x:c>
      <x:c r="M341" s="192" t="n">
        <x:v>4.9400000572</x:v>
      </x:c>
      <x:c r="N341" s="192" t="n">
        <x:v>400</x:v>
      </x:c>
      <x:c r="O341" s="192" t="n">
        <x:v>19</x:v>
      </x:c>
      <x:c r="P341" s="193" t="b">
        <x:v>1</x:v>
      </x:c>
      <x:c r="Q341" s="193" t="b">
        <x:v>0</x:v>
      </x:c>
      <x:c r="R341" s="193" t="b">
        <x:v>1</x:v>
      </x:c>
      <x:c r="S341" s="193" t="b">
        <x:v>1</x:v>
      </x:c>
      <x:c r="T341" s="192" t="n">
        <x:v>66</x:v>
      </x:c>
      <x:c r="U341" s="192" t="n">
        <x:v>24</x:v>
      </x:c>
      <x:c r="V341" s="200" t="n">
        <x:v>0.2666666667</x:v>
      </x:c>
      <x:c r="W341" s="203" t="n">
        <x:v>1090</x:v>
      </x:c>
      <x:c r="X341" s="203" t="n">
        <x:v>25923.3506073693</x:v>
      </x:c>
      <x:c r="Y341" s="203" t="n">
        <x:v>67022.6627161361</x:v>
      </x:c>
      <x:c r="Z341" s="193" t="b">
        <x:v>1</x:v>
      </x:c>
      <x:c r="AA341" s="193" t="b">
        <x:v>0</x:v>
      </x:c>
      <x:c r="AB341" s="193" t="b">
        <x:v>1</x:v>
      </x:c>
      <x:c r="AC341" s="193" t="b">
        <x:v>1</x:v>
      </x:c>
      <x:c r="AD341" s="193" t="b">
        <x:v>1</x:v>
      </x:c>
      <x:c r="AE341" s="193" t="b">
        <x:v>1</x:v>
      </x:c>
      <x:c r="AF341" s="193" t="b">
        <x:v>1</x:v>
      </x:c>
      <x:c r="AG341" s="193" t="b">
        <x:v>1</x:v>
      </x:c>
      <x:c r="AH341" s="193" t="b">
        <x:v>1</x:v>
      </x:c>
      <x:c r="AI341" s="193" t="b">
        <x:v>1</x:v>
      </x:c>
      <x:c r="AJ341" s="193" t="b">
        <x:v>1</x:v>
      </x:c>
    </x:row>
    <x:row r="342">
      <x:c r="A342" s="192" t="n">
        <x:v>27201205</x:v>
      </x:c>
      <x:c r="B342" s="192" t="str">
        <x:v>https://www.airbnb.com.br/rooms/27201205</x:v>
      </x:c>
      <x:c r="C342" s="192" t="str">
        <x:v>PE NA AREIA Prédio frente mar,  1 quadra koch sup.</x:v>
      </x:c>
      <x:c r="D342" s="192" t="str">
        <x:v>Meia Praia</x:v>
      </x:c>
      <x:c r="E342" s="192" t="n">
        <x:v>-27.12546</x:v>
      </x:c>
      <x:c r="F342" s="192" t="n">
        <x:v>-48.60328</x:v>
      </x:c>
      <x:c r="G342" s="192" t="str">
        <x:v>apartamento</x:v>
      </x:c>
      <x:c r="H342" s="192" t="n">
        <x:v>3</x:v>
      </x:c>
      <x:c r="I342" s="192" t="n">
        <x:v>2</x:v>
      </x:c>
      <x:c r="J342" s="192" t="n">
        <x:v>6</x:v>
      </x:c>
      <x:c r="K342" s="192" t="n">
        <x:v>10</x:v>
      </x:c>
      <x:c r="L342" s="192" t="n">
        <x:v>56</x:v>
      </x:c>
      <x:c r="M342" s="192" t="n">
        <x:v>4.8800001144</x:v>
      </x:c>
      <x:c r="N342" s="192" t="n">
        <x:v>390</x:v>
      </x:c>
      <x:c r="O342" s="192" t="n">
        <x:v>37</x:v>
      </x:c>
      <x:c r="P342" s="193" t="b">
        <x:v>0</x:v>
      </x:c>
      <x:c r="Q342" s="193" t="b">
        <x:v>0</x:v>
      </x:c>
      <x:c r="R342" s="193" t="b">
        <x:v>0</x:v>
      </x:c>
      <x:c r="S342" s="193" t="b">
        <x:v>1</x:v>
      </x:c>
      <x:c r="T342" s="192" t="n">
        <x:v>24</x:v>
      </x:c>
      <x:c r="U342" s="192" t="n">
        <x:v>66</x:v>
      </x:c>
      <x:c r="V342" s="200" t="n">
        <x:v>0.7333333333</x:v>
      </x:c>
      <x:c r="W342" s="203" t="n">
        <x:v>518.8333</x:v>
      </x:c>
      <x:c r="X342" s="203" t="n">
        <x:v>34817.2145156667</x:v>
      </x:c>
      <x:c r="Y342" s="203" t="n">
        <x:v>90017.0066957133</x:v>
      </x:c>
      <x:c r="Z342" s="193" t="b">
        <x:v>0</x:v>
      </x:c>
      <x:c r="AA342" s="193" t="b">
        <x:v>0</x:v>
      </x:c>
      <x:c r="AB342" s="193" t="b">
        <x:v>1</x:v>
      </x:c>
      <x:c r="AC342" s="193" t="b">
        <x:v>1</x:v>
      </x:c>
      <x:c r="AD342" s="193" t="b">
        <x:v>1</x:v>
      </x:c>
      <x:c r="AE342" s="193" t="b">
        <x:v>1</x:v>
      </x:c>
      <x:c r="AF342" s="193" t="b">
        <x:v>1</x:v>
      </x:c>
      <x:c r="AG342" s="193" t="b">
        <x:v>1</x:v>
      </x:c>
      <x:c r="AH342" s="193" t="b">
        <x:v>1</x:v>
      </x:c>
      <x:c r="AI342" s="193" t="b">
        <x:v>1</x:v>
      </x:c>
      <x:c r="AJ342" s="193" t="b">
        <x:v>1</x:v>
      </x:c>
    </x:row>
    <x:row r="343">
      <x:c r="A343" s="192" t="n">
        <x:v>38730549</x:v>
      </x:c>
      <x:c r="B343" s="192" t="str">
        <x:v>https://www.airbnb.com.br/rooms/38730549</x:v>
      </x:c>
      <x:c r="C343" s="192" t="str">
        <x:v>Meia Praia Apto Refinado 3 suítes e 2 garagens</x:v>
      </x:c>
      <x:c r="D343" s="192" t="str">
        <x:v>Meia Praia</x:v>
      </x:c>
      <x:c r="E343" s="192" t="n">
        <x:v>-27.1270008087</x:v>
      </x:c>
      <x:c r="F343" s="192" t="n">
        <x:v>-48.608001709</x:v>
      </x:c>
      <x:c r="G343" s="192" t="str">
        <x:v>apartamento</x:v>
      </x:c>
      <x:c r="H343" s="192" t="n">
        <x:v>3</x:v>
      </x:c>
      <x:c r="I343" s="192" t="n">
        <x:v>3</x:v>
      </x:c>
      <x:c r="J343" s="192" t="n">
        <x:v>3</x:v>
      </x:c>
      <x:c r="K343" s="192" t="n">
        <x:v>8</x:v>
      </x:c>
      <x:c r="L343" s="192" t="n">
        <x:v>37</x:v>
      </x:c>
      <x:c r="M343" s="192" t="n">
        <x:v>4.9699997902</x:v>
      </x:c>
      <x:c r="N343" s="192" t="n">
        <x:v>300</x:v>
      </x:c>
      <x:c r="O343" s="192" t="n">
        <x:v>58</x:v>
      </x:c>
      <x:c r="P343" s="193" t="b">
        <x:v>0</x:v>
      </x:c>
      <x:c r="Q343" s="193" t="b">
        <x:v>1</x:v>
      </x:c>
      <x:c r="R343" s="193" t="b">
        <x:v>1</x:v>
      </x:c>
      <x:c r="S343" s="193" t="b">
        <x:v>0</x:v>
      </x:c>
      <x:c r="T343" s="192" t="n">
        <x:v>64</x:v>
      </x:c>
      <x:c r="U343" s="192" t="n">
        <x:v>26</x:v>
      </x:c>
      <x:c r="V343" s="200" t="n">
        <x:v>0.2888888889</x:v>
      </x:c>
      <x:c r="W343" s="203" t="n">
        <x:v>727</x:v>
      </x:c>
      <x:c r="X343" s="203" t="n">
        <x:v>20020.6533456767</x:v>
      </x:c>
      <x:c r="Y343" s="203" t="n">
        <x:v>51761.7308374683</x:v>
      </x:c>
      <x:c r="Z343" s="193" t="b">
        <x:v>1</x:v>
      </x:c>
      <x:c r="AA343" s="193" t="b">
        <x:v>0</x:v>
      </x:c>
      <x:c r="AB343" s="193" t="b">
        <x:v>1</x:v>
      </x:c>
      <x:c r="AC343" s="193" t="b">
        <x:v>1</x:v>
      </x:c>
      <x:c r="AD343" s="193" t="b">
        <x:v>1</x:v>
      </x:c>
      <x:c r="AE343" s="193" t="b">
        <x:v>1</x:v>
      </x:c>
      <x:c r="AF343" s="193" t="b">
        <x:v>1</x:v>
      </x:c>
      <x:c r="AG343" s="193" t="b">
        <x:v>1</x:v>
      </x:c>
      <x:c r="AH343" s="193" t="b">
        <x:v>1</x:v>
      </x:c>
      <x:c r="AI343" s="193" t="b">
        <x:v>1</x:v>
      </x:c>
      <x:c r="AJ343" s="193" t="b">
        <x:v>1</x:v>
      </x:c>
    </x:row>
    <x:row r="344">
      <x:c r="A344" s="192" t="n">
        <x:v>53077335</x:v>
      </x:c>
      <x:c r="B344" s="192" t="str">
        <x:v>https://www.airbnb.com.br/rooms/53077335</x:v>
      </x:c>
      <x:c r="C344" s="192" t="str">
        <x:v>Apartamento adorável na praia do centro</x:v>
      </x:c>
      <x:c r="D344" s="192" t="str">
        <x:v>Centro</x:v>
      </x:c>
      <x:c r="E344" s="192" t="n">
        <x:v>-27.097563</x:v>
      </x:c>
      <x:c r="F344" s="192" t="n">
        <x:v>-48.616962</x:v>
      </x:c>
      <x:c r="G344" s="192" t="str">
        <x:v>apartamento</x:v>
      </x:c>
      <x:c r="H344" s="192" t="n">
        <x:v>3</x:v>
      </x:c>
      <x:c r="I344" s="192" t="n">
        <x:v>2</x:v>
      </x:c>
      <x:c r="J344" s="192" t="n">
        <x:v>4</x:v>
      </x:c>
      <x:c r="K344" s="192" t="n">
        <x:v>7</x:v>
      </x:c>
      <x:c r="L344" s="192" t="n">
        <x:v>7</x:v>
      </x:c>
      <x:c r="M344" s="192" t="n">
        <x:v>5</x:v>
      </x:c>
      <x:c r="N344" s="192" t="n">
        <x:v>250</x:v>
      </x:c>
      <x:c r="O344" s="192" t="n">
        <x:v>18</x:v>
      </x:c>
      <x:c r="P344" s="193" t="b">
        <x:v>0</x:v>
      </x:c>
      <x:c r="Q344" s="193" t="b">
        <x:v>0</x:v>
      </x:c>
      <x:c r="R344" s="193" t="b">
        <x:v>0</x:v>
      </x:c>
      <x:c r="S344" s="193" t="b">
        <x:v>0</x:v>
      </x:c>
      <x:c r="T344" s="192" t="n">
        <x:v>11</x:v>
      </x:c>
      <x:c r="U344" s="192" t="n">
        <x:v>79</x:v>
      </x:c>
      <x:c r="V344" s="200" t="n">
        <x:v>0.8777777778</x:v>
      </x:c>
      <x:c r="W344" s="203" t="n">
        <x:v>1000</x:v>
      </x:c>
      <x:c r="X344" s="203" t="n">
        <x:v>79618.5630272163</x:v>
      </x:c>
      <x:c r="Y344" s="203" t="n">
        <x:v>205847.1598266155</x:v>
      </x:c>
      <x:c r="Z344" s="193" t="b">
        <x:v>0</x:v>
      </x:c>
      <x:c r="AA344" s="193" t="b">
        <x:v>0</x:v>
      </x:c>
      <x:c r="AB344" s="193" t="b">
        <x:v>1</x:v>
      </x:c>
      <x:c r="AC344" s="193" t="b">
        <x:v>1</x:v>
      </x:c>
      <x:c r="AD344" s="193" t="b">
        <x:v>1</x:v>
      </x:c>
      <x:c r="AE344" s="193" t="b">
        <x:v>1</x:v>
      </x:c>
      <x:c r="AF344" s="193" t="b">
        <x:v>1</x:v>
      </x:c>
      <x:c r="AG344" s="193" t="b">
        <x:v>1</x:v>
      </x:c>
      <x:c r="AH344" s="193" t="b">
        <x:v>1</x:v>
      </x:c>
      <x:c r="AI344" s="193" t="b">
        <x:v>1</x:v>
      </x:c>
      <x:c r="AJ344" s="193" t="b">
        <x:v>1</x:v>
      </x:c>
    </x:row>
    <x:row r="345">
      <x:c r="A345" s="192" t="n">
        <x:v>50047341</x:v>
      </x:c>
      <x:c r="B345" s="192" t="str">
        <x:v>https://www.airbnb.com.br/rooms/50047341</x:v>
      </x:c>
      <x:c r="C345" s="192" t="str">
        <x:v>⭐️Apto perfeito 3 dormitórios quadra mar com Wi-Fi</x:v>
      </x:c>
      <x:c r="D345" s="192" t="str">
        <x:v>Meia Praia</x:v>
      </x:c>
      <x:c r="E345" s="192" t="n">
        <x:v>-27.1345233917</x:v>
      </x:c>
      <x:c r="F345" s="192" t="n">
        <x:v>-48.5968666077</x:v>
      </x:c>
      <x:c r="G345" s="192" t="str">
        <x:v>apartamento</x:v>
      </x:c>
      <x:c r="H345" s="192" t="n">
        <x:v>3</x:v>
      </x:c>
      <x:c r="I345" s="192" t="n">
        <x:v>2</x:v>
      </x:c>
      <x:c r="J345" s="192" t="n">
        <x:v>5</x:v>
      </x:c>
      <x:c r="K345" s="192" t="n">
        <x:v>8</x:v>
      </x:c>
      <x:c r="L345" s="192" t="n">
        <x:v>81</x:v>
      </x:c>
      <x:c r="M345" s="192" t="n">
        <x:v>4.7800002098</x:v>
      </x:c>
      <x:c r="N345" s="192" t="n">
        <x:v>200</x:v>
      </x:c>
      <x:c r="O345" s="192" t="n">
        <x:v>26</x:v>
      </x:c>
      <x:c r="P345" s="193" t="b">
        <x:v>0</x:v>
      </x:c>
      <x:c r="Q345" s="193" t="b">
        <x:v>0</x:v>
      </x:c>
      <x:c r="R345" s="193" t="b">
        <x:v>1</x:v>
      </x:c>
      <x:c r="S345" s="193" t="b">
        <x:v>1</x:v>
      </x:c>
      <x:c r="T345" s="192" t="n">
        <x:v>29</x:v>
      </x:c>
      <x:c r="U345" s="192" t="n">
        <x:v>61</x:v>
      </x:c>
      <x:c r="V345" s="200" t="n">
        <x:v>0.6777777778</x:v>
      </x:c>
      <x:c r="W345" s="203" t="n">
        <x:v>300</x:v>
      </x:c>
      <x:c r="X345" s="203" t="n">
        <x:v>18785.6760138611</x:v>
      </x:c>
      <x:c r="Y345" s="203" t="n">
        <x:v>48568.7998608367</x:v>
      </x:c>
      <x:c r="Z345" s="193" t="b">
        <x:v>0</x:v>
      </x:c>
      <x:c r="AA345" s="193" t="b">
        <x:v>0</x:v>
      </x:c>
      <x:c r="AB345" s="193" t="b">
        <x:v>1</x:v>
      </x:c>
      <x:c r="AC345" s="193" t="b">
        <x:v>1</x:v>
      </x:c>
      <x:c r="AD345" s="193" t="b">
        <x:v>1</x:v>
      </x:c>
      <x:c r="AE345" s="193" t="b">
        <x:v>1</x:v>
      </x:c>
      <x:c r="AF345" s="193" t="b">
        <x:v>1</x:v>
      </x:c>
      <x:c r="AG345" s="193" t="b">
        <x:v>1</x:v>
      </x:c>
      <x:c r="AH345" s="193" t="b">
        <x:v>1</x:v>
      </x:c>
      <x:c r="AI345" s="193" t="b">
        <x:v>1</x:v>
      </x:c>
      <x:c r="AJ345" s="193" t="b">
        <x:v>1</x:v>
      </x:c>
    </x:row>
    <x:row r="346">
      <x:c r="A346" s="192" t="n">
        <x:v>944320965810800800</x:v>
      </x:c>
      <x:c r="B346" s="192" t="str">
        <x:v>https://www.airbnb.com.br/rooms/944320965810800803</x:v>
      </x:c>
      <x:c r="C346" s="192" t="str">
        <x:v>Pertinho da areia, vista mar, amplo e confortável</x:v>
      </x:c>
      <x:c r="D346" s="192" t="str">
        <x:v>Meia Praia</x:v>
      </x:c>
      <x:c r="E346" s="192" t="n">
        <x:v>-27.142999649</x:v>
      </x:c>
      <x:c r="F346" s="192" t="n">
        <x:v>-48.5880012512</x:v>
      </x:c>
      <x:c r="G346" s="192" t="str">
        <x:v>apartamento</x:v>
      </x:c>
      <x:c r="H346" s="192" t="n">
        <x:v>3</x:v>
      </x:c>
      <x:c r="I346" s="192" t="n">
        <x:v>2</x:v>
      </x:c>
      <x:c r="J346" s="192" t="n">
        <x:v>5</x:v>
      </x:c>
      <x:c r="K346" s="192" t="n">
        <x:v>7</x:v>
      </x:c>
      <x:c r="L346" s="192" t="n">
        <x:v>8</x:v>
      </x:c>
      <x:c r="M346" s="192" t="n">
        <x:v>5</x:v>
      </x:c>
      <x:c r="N346" s="192" t="n">
        <x:v>380</x:v>
      </x:c>
      <x:c r="O346" s="192" t="n">
        <x:v>29</x:v>
      </x:c>
      <x:c r="P346" s="193" t="b">
        <x:v>0</x:v>
      </x:c>
      <x:c r="Q346" s="193" t="b">
        <x:v>0</x:v>
      </x:c>
      <x:c r="R346" s="193" t="b">
        <x:v>1</x:v>
      </x:c>
      <x:c r="S346" s="193" t="b">
        <x:v>0</x:v>
      </x:c>
      <x:c r="T346" s="192" t="n">
        <x:v>84</x:v>
      </x:c>
      <x:c r="U346" s="192" t="n">
        <x:v>6</x:v>
      </x:c>
      <x:c r="V346" s="200" t="n">
        <x:v>0.0666666667</x:v>
      </x:c>
      <x:c r="W346" s="203" t="n">
        <x:v>800</x:v>
      </x:c>
      <x:c r="X346" s="203" t="n">
        <x:v>4919.8300950574</x:v>
      </x:c>
      <x:c r="Y346" s="203" t="n">
        <x:v>12719.8107249297</x:v>
      </x:c>
      <x:c r="Z346" s="193" t="b">
        <x:v>1</x:v>
      </x:c>
      <x:c r="AA346" s="193" t="b">
        <x:v>0</x:v>
      </x:c>
      <x:c r="AB346" s="193" t="b">
        <x:v>1</x:v>
      </x:c>
      <x:c r="AC346" s="193" t="b">
        <x:v>1</x:v>
      </x:c>
      <x:c r="AD346" s="193" t="b">
        <x:v>1</x:v>
      </x:c>
      <x:c r="AE346" s="193" t="b">
        <x:v>1</x:v>
      </x:c>
      <x:c r="AF346" s="193" t="b">
        <x:v>1</x:v>
      </x:c>
      <x:c r="AG346" s="193" t="b">
        <x:v>1</x:v>
      </x:c>
      <x:c r="AH346" s="193" t="b">
        <x:v>1</x:v>
      </x:c>
      <x:c r="AI346" s="193" t="b">
        <x:v>1</x:v>
      </x:c>
      <x:c r="AJ346" s="193" t="b">
        <x:v>1</x:v>
      </x:c>
    </x:row>
    <x:row r="347">
      <x:c r="A347" s="192" t="n">
        <x:v>32443120</x:v>
      </x:c>
      <x:c r="B347" s="192" t="str">
        <x:v>https://www.airbnb.com.br/rooms/32443120</x:v>
      </x:c>
      <x:c r="C347" s="192" t="str">
        <x:v>Onde eu moro!</x:v>
      </x:c>
      <x:c r="D347" s="192" t="str">
        <x:v>Meia Praia</x:v>
      </x:c>
      <x:c r="E347" s="192" t="n">
        <x:v>-27.13206</x:v>
      </x:c>
      <x:c r="F347" s="192" t="n">
        <x:v>-48.60071</x:v>
      </x:c>
      <x:c r="G347" s="192" t="str">
        <x:v>apartamento</x:v>
      </x:c>
      <x:c r="H347" s="192" t="n">
        <x:v>2</x:v>
      </x:c>
      <x:c r="I347" s="192" t="n">
        <x:v>2</x:v>
      </x:c>
      <x:c r="J347" s="192" t="n">
        <x:v>2</x:v>
      </x:c>
      <x:c r="K347" s="192" t="n">
        <x:v>5</x:v>
      </x:c>
      <x:c r="L347" s="192" t="n">
        <x:v>12</x:v>
      </x:c>
      <x:c r="M347" s="192" t="n">
        <x:v>4.9200000763</x:v>
      </x:c>
      <x:c r="N347" s="192" t="n">
        <x:v>250</x:v>
      </x:c>
      <x:c r="O347" s="192" t="n">
        <x:v>17</x:v>
      </x:c>
      <x:c r="P347" s="193" t="b">
        <x:v>1</x:v>
      </x:c>
      <x:c r="Q347" s="193" t="b">
        <x:v>0</x:v>
      </x:c>
      <x:c r="R347" s="193" t="b">
        <x:v>1</x:v>
      </x:c>
      <x:c r="S347" s="193" t="b">
        <x:v>0</x:v>
      </x:c>
      <x:c r="T347" s="192" t="n">
        <x:v>13</x:v>
      </x:c>
      <x:c r="U347" s="192" t="n">
        <x:v>77</x:v>
      </x:c>
      <x:c r="V347" s="200" t="n">
        <x:v>0.8555555556</x:v>
      </x:c>
      <x:c r="W347" s="203" t="n">
        <x:v>529</x:v>
      </x:c>
      <x:c r="X347" s="203" t="n">
        <x:v>39613.8060451482</x:v>
      </x:c>
      <x:c r="Y347" s="203" t="n">
        <x:v>102418.194379227</x:v>
      </x:c>
      <x:c r="Z347" s="193" t="b">
        <x:v>0</x:v>
      </x:c>
      <x:c r="AA347" s="193" t="b">
        <x:v>0</x:v>
      </x:c>
      <x:c r="AB347" s="193" t="b">
        <x:v>1</x:v>
      </x:c>
      <x:c r="AC347" s="193" t="b">
        <x:v>1</x:v>
      </x:c>
      <x:c r="AD347" s="193" t="b">
        <x:v>0</x:v>
      </x:c>
      <x:c r="AE347" s="193" t="b">
        <x:v>0</x:v>
      </x:c>
      <x:c r="AF347" s="193" t="b">
        <x:v>1</x:v>
      </x:c>
      <x:c r="AG347" s="193" t="b">
        <x:v>1</x:v>
      </x:c>
      <x:c r="AH347" s="193" t="b">
        <x:v>1</x:v>
      </x:c>
      <x:c r="AI347" s="193" t="b">
        <x:v>1</x:v>
      </x:c>
      <x:c r="AJ347" s="193" t="b">
        <x:v>1</x:v>
      </x:c>
    </x:row>
    <x:row r="348">
      <x:c r="A348" s="192" t="n">
        <x:v>795495744056169100</x:v>
      </x:c>
      <x:c r="B348" s="192" t="str">
        <x:v>https://www.airbnb.com.br/rooms/795495744056169046</x:v>
      </x:c>
      <x:c r="C348" s="192" t="str">
        <x:v>Apartamento Frente Mar em MEIA PRAIA.</x:v>
      </x:c>
      <x:c r="D348" s="192" t="str">
        <x:v>Meia Praia</x:v>
      </x:c>
      <x:c r="E348" s="192" t="n">
        <x:v>-27.1210002899</x:v>
      </x:c>
      <x:c r="F348" s="192" t="n">
        <x:v>-48.6069984436</x:v>
      </x:c>
      <x:c r="G348" s="192" t="str">
        <x:v>apartamento</x:v>
      </x:c>
      <x:c r="H348" s="192" t="n">
        <x:v>3</x:v>
      </x:c>
      <x:c r="I348" s="192" t="n">
        <x:v>2</x:v>
      </x:c>
      <x:c r="J348" s="192" t="n">
        <x:v>5</x:v>
      </x:c>
      <x:c r="K348" s="192" t="n">
        <x:v>8</x:v>
      </x:c>
      <x:c r="L348" s="192" t="n">
        <x:v>39</x:v>
      </x:c>
      <x:c r="M348" s="192" t="n">
        <x:v>4.9499998093</x:v>
      </x:c>
      <x:c r="N348" s="192" t="n">
        <x:v>450</x:v>
      </x:c>
      <x:c r="O348" s="192" t="n">
        <x:v>29</x:v>
      </x:c>
      <x:c r="P348" s="193" t="b">
        <x:v>0</x:v>
      </x:c>
      <x:c r="Q348" s="193" t="b">
        <x:v>0</x:v>
      </x:c>
      <x:c r="R348" s="193" t="b">
        <x:v>1</x:v>
      </x:c>
      <x:c r="S348" s="193" t="b">
        <x:v>1</x:v>
      </x:c>
      <x:c r="T348" s="192" t="n">
        <x:v>45</x:v>
      </x:c>
      <x:c r="U348" s="192" t="n">
        <x:v>45</x:v>
      </x:c>
      <x:c r="V348" s="200" t="n">
        <x:v>0.5</x:v>
      </x:c>
      <x:c r="W348" s="203" t="n">
        <x:v>800</x:v>
      </x:c>
      <x:c r="X348" s="203" t="n">
        <x:v>36873.8996829142</x:v>
      </x:c>
      <x:c r="Y348" s="203" t="n">
        <x:v>95334.3948052011</x:v>
      </x:c>
      <x:c r="Z348" s="193" t="b">
        <x:v>1</x:v>
      </x:c>
      <x:c r="AA348" s="193" t="b">
        <x:v>0</x:v>
      </x:c>
      <x:c r="AB348" s="193" t="b">
        <x:v>1</x:v>
      </x:c>
      <x:c r="AC348" s="193" t="b">
        <x:v>1</x:v>
      </x:c>
      <x:c r="AD348" s="193" t="b">
        <x:v>1</x:v>
      </x:c>
      <x:c r="AE348" s="193" t="b">
        <x:v>1</x:v>
      </x:c>
      <x:c r="AF348" s="193" t="b">
        <x:v>1</x:v>
      </x:c>
      <x:c r="AG348" s="193" t="b">
        <x:v>1</x:v>
      </x:c>
      <x:c r="AH348" s="193" t="b">
        <x:v>1</x:v>
      </x:c>
      <x:c r="AI348" s="193" t="b">
        <x:v>1</x:v>
      </x:c>
      <x:c r="AJ348" s="193" t="b">
        <x:v>0</x:v>
      </x:c>
    </x:row>
    <x:row r="349">
      <x:c r="A349" s="192" t="n">
        <x:v>42362925</x:v>
      </x:c>
      <x:c r="B349" s="192" t="str">
        <x:v>https://www.airbnb.com.br/rooms/42362925</x:v>
      </x:c>
      <x:c r="C349" s="192" t="str">
        <x:v>MS1502B Moderno, Amplo, Confortável e Diferenciado</x:v>
      </x:c>
      <x:c r="D349" s="192" t="str">
        <x:v>Meia Praia</x:v>
      </x:c>
      <x:c r="E349" s="192" t="n">
        <x:v>-27.1343002319</x:v>
      </x:c>
      <x:c r="F349" s="192" t="n">
        <x:v>-48.6015396118</x:v>
      </x:c>
      <x:c r="G349" s="192" t="str">
        <x:v>apartamento</x:v>
      </x:c>
      <x:c r="H349" s="192" t="n">
        <x:v>4</x:v>
      </x:c>
      <x:c r="I349" s="192" t="n">
        <x:v>4</x:v>
      </x:c>
      <x:c r="J349" s="192" t="n">
        <x:v>4</x:v>
      </x:c>
      <x:c r="K349" s="192" t="n">
        <x:v>8</x:v>
      </x:c>
      <x:c r="L349" s="192" t="n">
        <x:v>175</x:v>
      </x:c>
      <x:c r="M349" s="192" t="n">
        <x:v>4.9400000572</x:v>
      </x:c>
      <x:c r="N349" s="192" t="n">
        <x:v>495</x:v>
      </x:c>
      <x:c r="O349" s="192" t="n">
        <x:v>112</x:v>
      </x:c>
      <x:c r="P349" s="193" t="b">
        <x:v>1</x:v>
      </x:c>
      <x:c r="Q349" s="193" t="b">
        <x:v>0</x:v>
      </x:c>
      <x:c r="R349" s="193" t="b">
        <x:v>1</x:v>
      </x:c>
      <x:c r="S349" s="193" t="b">
        <x:v>0</x:v>
      </x:c>
      <x:c r="T349" s="192" t="n">
        <x:v>69</x:v>
      </x:c>
      <x:c r="U349" s="192" t="n">
        <x:v>21</x:v>
      </x:c>
      <x:c r="V349" s="200" t="n">
        <x:v>0.2333333333</x:v>
      </x:c>
      <x:c r="W349" s="203" t="n">
        <x:v>874</x:v>
      </x:c>
      <x:c r="X349" s="203" t="n">
        <x:v>18285.523100153</x:v>
      </x:c>
      <x:c r="Y349" s="203" t="n">
        <x:v>47275.696181854</x:v>
      </x:c>
      <x:c r="Z349" s="193" t="b">
        <x:v>1</x:v>
      </x:c>
      <x:c r="AA349" s="193" t="b">
        <x:v>0</x:v>
      </x:c>
      <x:c r="AB349" s="193" t="b">
        <x:v>1</x:v>
      </x:c>
      <x:c r="AC349" s="193" t="b">
        <x:v>1</x:v>
      </x:c>
      <x:c r="AD349" s="193" t="b">
        <x:v>1</x:v>
      </x:c>
      <x:c r="AE349" s="193" t="b">
        <x:v>1</x:v>
      </x:c>
      <x:c r="AF349" s="193" t="b">
        <x:v>1</x:v>
      </x:c>
      <x:c r="AG349" s="193" t="b">
        <x:v>1</x:v>
      </x:c>
      <x:c r="AH349" s="193" t="b">
        <x:v>1</x:v>
      </x:c>
      <x:c r="AI349" s="193" t="b">
        <x:v>1</x:v>
      </x:c>
      <x:c r="AJ349" s="193" t="b">
        <x:v>1</x:v>
      </x:c>
    </x:row>
    <x:row r="350">
      <x:c r="A350" s="192" t="n">
        <x:v>1248514191377483800</x:v>
      </x:c>
      <x:c r="B350" s="192" t="str">
        <x:v>https://www.airbnb.com.br/rooms/1248514191377483703</x:v>
      </x:c>
      <x:c r="C350" s="192" t="str">
        <x:v>Apto a 260m da Praia do Canto em Itapema RTL0302</x:v>
      </x:c>
      <x:c r="D350" s="192" t="str">
        <x:v>Centro</x:v>
      </x:c>
      <x:c r="E350" s="192" t="n">
        <x:v>-27.08942</x:v>
      </x:c>
      <x:c r="F350" s="192" t="n">
        <x:v>-48.6092985</x:v>
      </x:c>
      <x:c r="G350" s="192" t="str">
        <x:v>apartamento</x:v>
      </x:c>
      <x:c r="H350" s="192" t="n">
        <x:v>2</x:v>
      </x:c>
      <x:c r="I350" s="192" t="n">
        <x:v>1</x:v>
      </x:c>
      <x:c r="J350" s="192" t="n">
        <x:v>5</x:v>
      </x:c>
      <x:c r="K350" s="192" t="n">
        <x:v>6</x:v>
      </x:c>
      <x:c r="L350" s="192" t="n">
        <x:v>6</x:v>
      </x:c>
      <x:c r="M350" s="192" t="n">
        <x:v>5</x:v>
      </x:c>
      <x:c r="N350" s="192" t="n">
        <x:v>351</x:v>
      </x:c>
      <x:c r="O350" s="192" t="n">
        <x:v>0</x:v>
      </x:c>
      <x:c r="P350" s="193" t="b">
        <x:v>1</x:v>
      </x:c>
      <x:c r="Q350" s="193" t="b">
        <x:v>1</x:v>
      </x:c>
      <x:c r="R350" s="193" t="b">
        <x:v>1</x:v>
      </x:c>
      <x:c r="S350" s="193" t="b">
        <x:v>0</x:v>
      </x:c>
      <x:c r="T350" s="192" t="n">
        <x:v>70</x:v>
      </x:c>
      <x:c r="U350" s="192" t="n">
        <x:v>20</x:v>
      </x:c>
      <x:c r="V350" s="200" t="n">
        <x:v>0.2222222222</x:v>
      </x:c>
      <x:c r="W350" s="203" t="n">
        <x:v>427</x:v>
      </x:c>
      <x:c r="X350" s="203" t="n">
        <x:v>8505.1770540534</x:v>
      </x:c>
      <x:c r="Y350" s="203" t="n">
        <x:v>21989.4265085006</x:v>
      </x:c>
      <x:c r="Z350" s="193" t="b">
        <x:v>1</x:v>
      </x:c>
      <x:c r="AA350" s="193" t="b">
        <x:v>0</x:v>
      </x:c>
      <x:c r="AB350" s="193" t="b">
        <x:v>1</x:v>
      </x:c>
      <x:c r="AC350" s="193" t="b">
        <x:v>1</x:v>
      </x:c>
      <x:c r="AD350" s="193" t="b">
        <x:v>0</x:v>
      </x:c>
      <x:c r="AE350" s="193" t="b">
        <x:v>0</x:v>
      </x:c>
      <x:c r="AF350" s="193" t="b">
        <x:v>0</x:v>
      </x:c>
      <x:c r="AG350" s="193" t="b">
        <x:v>1</x:v>
      </x:c>
      <x:c r="AH350" s="193" t="b">
        <x:v>1</x:v>
      </x:c>
      <x:c r="AI350" s="193" t="b">
        <x:v>1</x:v>
      </x:c>
      <x:c r="AJ350" s="193" t="b">
        <x:v>0</x:v>
      </x:c>
    </x:row>
    <x:row r="351">
      <x:c r="A351" s="192" t="n">
        <x:v>946451380352813700</x:v>
      </x:c>
      <x:c r="B351" s="192" t="str">
        <x:v>https://www.airbnb.com.br/rooms/946451380352813662</x:v>
      </x:c>
      <x:c r="C351" s="192" t="str">
        <x:v>Apto Meia Praia - Itapema SC</x:v>
      </x:c>
      <x:c r="D351" s="192" t="str">
        <x:v>Meia Praia</x:v>
      </x:c>
      <x:c r="E351" s="192" t="n">
        <x:v>-27.1407814026</x:v>
      </x:c>
      <x:c r="F351" s="192" t="n">
        <x:v>-48.5916404724</x:v>
      </x:c>
      <x:c r="G351" s="192" t="str">
        <x:v>apartamento</x:v>
      </x:c>
      <x:c r="H351" s="192" t="n">
        <x:v>3</x:v>
      </x:c>
      <x:c r="I351" s="192" t="n">
        <x:v>3</x:v>
      </x:c>
      <x:c r="J351" s="192" t="n">
        <x:v>4</x:v>
      </x:c>
      <x:c r="K351" s="192" t="n">
        <x:v>6</x:v>
      </x:c>
      <x:c r="L351" s="192" t="n">
        <x:v>5</x:v>
      </x:c>
      <x:c r="M351" s="192" t="n">
        <x:v>5</x:v>
      </x:c>
      <x:c r="N351" s="192" t="n">
        <x:v>300</x:v>
      </x:c>
      <x:c r="O351" s="192" t="n">
        <x:v>29</x:v>
      </x:c>
      <x:c r="P351" s="193" t="b">
        <x:v>0</x:v>
      </x:c>
      <x:c r="Q351" s="193" t="b">
        <x:v>0</x:v>
      </x:c>
      <x:c r="R351" s="193" t="b">
        <x:v>1</x:v>
      </x:c>
      <x:c r="S351" s="193" t="b">
        <x:v>0</x:v>
      </x:c>
      <x:c r="T351" s="192" t="n">
        <x:v>20</x:v>
      </x:c>
      <x:c r="U351" s="192" t="n">
        <x:v>70</x:v>
      </x:c>
      <x:c r="V351" s="200" t="n">
        <x:v>0.7777777778</x:v>
      </x:c>
      <x:c r="W351" s="203" t="n">
        <x:v>1100</x:v>
      </x:c>
      <x:c r="X351" s="203" t="n">
        <x:v>78334.2609792213</x:v>
      </x:c>
      <x:c r="Y351" s="203" t="n">
        <x:v>202526.703906695</x:v>
      </x:c>
      <x:c r="Z351" s="193" t="b">
        <x:v>0</x:v>
      </x:c>
      <x:c r="AA351" s="193" t="b">
        <x:v>0</x:v>
      </x:c>
      <x:c r="AB351" s="193" t="b">
        <x:v>1</x:v>
      </x:c>
      <x:c r="AC351" s="193" t="b">
        <x:v>1</x:v>
      </x:c>
      <x:c r="AD351" s="193" t="b">
        <x:v>1</x:v>
      </x:c>
      <x:c r="AE351" s="193" t="b">
        <x:v>1</x:v>
      </x:c>
      <x:c r="AF351" s="193" t="b">
        <x:v>1</x:v>
      </x:c>
      <x:c r="AG351" s="193" t="b">
        <x:v>1</x:v>
      </x:c>
      <x:c r="AH351" s="193" t="b">
        <x:v>1</x:v>
      </x:c>
      <x:c r="AI351" s="193" t="b">
        <x:v>1</x:v>
      </x:c>
      <x:c r="AJ351" s="193" t="b">
        <x:v>1</x:v>
      </x:c>
    </x:row>
    <x:row r="352">
      <x:c r="A352" s="192" t="n">
        <x:v>1050857413300266800</x:v>
      </x:c>
      <x:c r="B352" s="192" t="str">
        <x:v>https://www.airbnb.com.br/rooms/1050857413300266721</x:v>
      </x:c>
      <x:c r="C352" s="192" t="str">
        <x:v>Apto confortável a 300m da Praia Itapema-SC MLN701</x:v>
      </x:c>
      <x:c r="D352" s="192" t="str">
        <x:v>Meia Praia</x:v>
      </x:c>
      <x:c r="E352" s="192" t="n">
        <x:v>-27.1380004883</x:v>
      </x:c>
      <x:c r="F352" s="192" t="n">
        <x:v>-48.5960006714</x:v>
      </x:c>
      <x:c r="G352" s="192" t="str">
        <x:v>apartamento</x:v>
      </x:c>
      <x:c r="H352" s="192" t="n">
        <x:v>3</x:v>
      </x:c>
      <x:c r="I352" s="192" t="n">
        <x:v>2</x:v>
      </x:c>
      <x:c r="J352" s="192" t="n">
        <x:v>6</x:v>
      </x:c>
      <x:c r="K352" s="192" t="n">
        <x:v>8</x:v>
      </x:c>
      <x:c r="L352" s="192" t="n">
        <x:v>2</x:v>
      </x:c>
      <x:c r="M352" s="192" t="n">
        <x:v>5</x:v>
      </x:c>
      <x:c r="N352" s="192" t="n">
        <x:v>500</x:v>
      </x:c>
      <x:c r="O352" s="192" t="n">
        <x:v>33</x:v>
      </x:c>
      <x:c r="P352" s="193" t="b">
        <x:v>1</x:v>
      </x:c>
      <x:c r="Q352" s="193" t="b">
        <x:v>1</x:v>
      </x:c>
      <x:c r="R352" s="193" t="b">
        <x:v>0</x:v>
      </x:c>
      <x:c r="S352" s="193" t="b">
        <x:v>0</x:v>
      </x:c>
      <x:c r="T352" s="192" t="n">
        <x:v>54</x:v>
      </x:c>
      <x:c r="U352" s="192" t="n">
        <x:v>36</x:v>
      </x:c>
      <x:c r="V352" s="200" t="n">
        <x:v>0.4</x:v>
      </x:c>
      <x:c r="W352" s="203" t="n">
        <x:v>614</x:v>
      </x:c>
      <x:c r="X352" s="203" t="n">
        <x:v>21331.4724269963</x:v>
      </x:c>
      <x:c r="Y352" s="203" t="n">
        <x:v>55150.7443372968</x:v>
      </x:c>
      <x:c r="Z352" s="193" t="b">
        <x:v>1</x:v>
      </x:c>
      <x:c r="AA352" s="193" t="b">
        <x:v>0</x:v>
      </x:c>
      <x:c r="AB352" s="193" t="b">
        <x:v>1</x:v>
      </x:c>
      <x:c r="AC352" s="193" t="b">
        <x:v>1</x:v>
      </x:c>
      <x:c r="AD352" s="193" t="b">
        <x:v>1</x:v>
      </x:c>
      <x:c r="AE352" s="193" t="b">
        <x:v>0</x:v>
      </x:c>
      <x:c r="AF352" s="193" t="b">
        <x:v>1</x:v>
      </x:c>
      <x:c r="AG352" s="193" t="b">
        <x:v>1</x:v>
      </x:c>
      <x:c r="AH352" s="193" t="b">
        <x:v>1</x:v>
      </x:c>
      <x:c r="AI352" s="193" t="b">
        <x:v>1</x:v>
      </x:c>
      <x:c r="AJ352" s="193" t="b">
        <x:v>1</x:v>
      </x:c>
    </x:row>
    <x:row r="353">
      <x:c r="A353" s="192" t="n">
        <x:v>826063757882656900</x:v>
      </x:c>
      <x:c r="B353" s="192" t="str">
        <x:v>https://www.airbnb.com.br/rooms/826063757882656916</x:v>
      </x:c>
      <x:c r="C353" s="192" t="str">
        <x:v>Alto padrão. Para exigentes</x:v>
      </x:c>
      <x:c r="D353" s="192" t="str">
        <x:v>Meia Praia</x:v>
      </x:c>
      <x:c r="E353" s="192" t="n">
        <x:v>-27.1270008087</x:v>
      </x:c>
      <x:c r="F353" s="192" t="n">
        <x:v>-48.6040000916</x:v>
      </x:c>
      <x:c r="G353" s="192" t="str">
        <x:v>apartamento</x:v>
      </x:c>
      <x:c r="H353" s="192" t="n">
        <x:v>1</x:v>
      </x:c>
      <x:c r="I353" s="192" t="n">
        <x:v>1</x:v>
      </x:c>
      <x:c r="J353" s="192" t="n">
        <x:v>3</x:v>
      </x:c>
      <x:c r="K353" s="192" t="n">
        <x:v>4</x:v>
      </x:c>
      <x:c r="L353" s="192" t="n">
        <x:v>45</x:v>
      </x:c>
      <x:c r="M353" s="192" t="n">
        <x:v>5</x:v>
      </x:c>
      <x:c r="N353" s="192" t="n">
        <x:v>200</x:v>
      </x:c>
      <x:c r="O353" s="192" t="n">
        <x:v>36</x:v>
      </x:c>
      <x:c r="P353" s="193" t="b">
        <x:v>1</x:v>
      </x:c>
      <x:c r="Q353" s="193" t="b">
        <x:v>0</x:v>
      </x:c>
      <x:c r="R353" s="193" t="b">
        <x:v>1</x:v>
      </x:c>
      <x:c r="S353" s="193" t="b">
        <x:v>1</x:v>
      </x:c>
      <x:c r="T353" s="192" t="n">
        <x:v>73</x:v>
      </x:c>
      <x:c r="U353" s="192" t="n">
        <x:v>17</x:v>
      </x:c>
      <x:c r="V353" s="200" t="n">
        <x:v>0.1888888889</x:v>
      </x:c>
      <x:c r="W353" s="203" t="n">
        <x:v>516</x:v>
      </x:c>
      <x:c r="X353" s="203" t="n">
        <x:v>9699.4524439038</x:v>
      </x:c>
      <x:c r="Y353" s="203" t="n">
        <x:v>25077.1260060096</x:v>
      </x:c>
      <x:c r="Z353" s="193" t="b">
        <x:v>1</x:v>
      </x:c>
      <x:c r="AA353" s="193" t="b">
        <x:v>1</x:v>
      </x:c>
      <x:c r="AB353" s="193" t="b">
        <x:v>1</x:v>
      </x:c>
      <x:c r="AC353" s="193" t="b">
        <x:v>1</x:v>
      </x:c>
      <x:c r="AD353" s="193" t="b">
        <x:v>0</x:v>
      </x:c>
      <x:c r="AE353" s="193" t="b">
        <x:v>0</x:v>
      </x:c>
      <x:c r="AF353" s="193" t="b">
        <x:v>1</x:v>
      </x:c>
      <x:c r="AG353" s="193" t="b">
        <x:v>0</x:v>
      </x:c>
      <x:c r="AH353" s="193" t="b">
        <x:v>1</x:v>
      </x:c>
      <x:c r="AI353" s="193" t="b">
        <x:v>1</x:v>
      </x:c>
      <x:c r="AJ353" s="193" t="b">
        <x:v>0</x:v>
      </x:c>
    </x:row>
    <x:row r="354">
      <x:c r="A354" s="192" t="n">
        <x:v>39363955</x:v>
      </x:c>
      <x:c r="B354" s="192" t="str">
        <x:v>https://www.airbnb.com.br/rooms/39363955</x:v>
      </x:c>
      <x:c r="C354" s="192" t="str">
        <x:v>Apto  Inteiro! Seu  Lugar é Aqui!</x:v>
      </x:c>
      <x:c r="D354" s="192" t="str">
        <x:v>Meia Praia</x:v>
      </x:c>
      <x:c r="E354" s="192" t="n">
        <x:v>-27.13961</x:v>
      </x:c>
      <x:c r="F354" s="192" t="n">
        <x:v>-48.59398</x:v>
      </x:c>
      <x:c r="G354" s="192" t="str">
        <x:v>apartamento</x:v>
      </x:c>
      <x:c r="H354" s="192" t="n">
        <x:v>2</x:v>
      </x:c>
      <x:c r="I354" s="192" t="n">
        <x:v>1</x:v>
      </x:c>
      <x:c r="J354" s="192" t="n">
        <x:v>4</x:v>
      </x:c>
      <x:c r="K354" s="192" t="n">
        <x:v>7</x:v>
      </x:c>
      <x:c r="L354" s="192" t="n">
        <x:v>6</x:v>
      </x:c>
      <x:c r="M354" s="192" t="n">
        <x:v>5</x:v>
      </x:c>
      <x:c r="N354" s="192" t="n">
        <x:v>200</x:v>
      </x:c>
      <x:c r="O354" s="192" t="n">
        <x:v>18</x:v>
      </x:c>
      <x:c r="P354" s="193" t="b">
        <x:v>0</x:v>
      </x:c>
      <x:c r="Q354" s="193" t="b">
        <x:v>0</x:v>
      </x:c>
      <x:c r="R354" s="193" t="b">
        <x:v>0</x:v>
      </x:c>
      <x:c r="S354" s="193" t="b">
        <x:v>0</x:v>
      </x:c>
      <x:c r="T354" s="192" t="n">
        <x:v>57</x:v>
      </x:c>
      <x:c r="U354" s="192" t="n">
        <x:v>33</x:v>
      </x:c>
      <x:c r="V354" s="200" t="n">
        <x:v>0.3666666667</x:v>
      </x:c>
      <x:c r="W354" s="203" t="n">
        <x:v>370</x:v>
      </x:c>
      <x:c r="X354" s="203" t="n">
        <x:v>12047.6274426499</x:v>
      </x:c>
      <x:c r="Y354" s="203" t="n">
        <x:v>31148.1367840178</x:v>
      </x:c>
      <x:c r="Z354" s="193" t="b">
        <x:v>1</x:v>
      </x:c>
      <x:c r="AA354" s="193" t="b">
        <x:v>0</x:v>
      </x:c>
      <x:c r="AB354" s="193" t="b">
        <x:v>1</x:v>
      </x:c>
      <x:c r="AC354" s="193" t="b">
        <x:v>1</x:v>
      </x:c>
      <x:c r="AD354" s="193" t="b">
        <x:v>1</x:v>
      </x:c>
      <x:c r="AE354" s="193" t="b">
        <x:v>0</x:v>
      </x:c>
      <x:c r="AF354" s="193" t="b">
        <x:v>1</x:v>
      </x:c>
      <x:c r="AG354" s="193" t="b">
        <x:v>1</x:v>
      </x:c>
      <x:c r="AH354" s="193" t="b">
        <x:v>1</x:v>
      </x:c>
      <x:c r="AI354" s="193" t="b">
        <x:v>1</x:v>
      </x:c>
      <x:c r="AJ354" s="193" t="b">
        <x:v>0</x:v>
      </x:c>
    </x:row>
    <x:row r="355">
      <x:c r="A355" s="192" t="n">
        <x:v>48848529</x:v>
      </x:c>
      <x:c r="B355" s="192" t="str">
        <x:v>https://www.airbnb.com.br/rooms/48848529</x:v>
      </x:c>
      <x:c r="C355" s="192" t="str">
        <x:v>AP Meia Praia  Aluguel/Venda - 4min caminhando mar</x:v>
      </x:c>
      <x:c r="D355" s="192" t="str">
        <x:v>Meia Praia</x:v>
      </x:c>
      <x:c r="E355" s="192" t="n">
        <x:v>-27.13125</x:v>
      </x:c>
      <x:c r="F355" s="192" t="n">
        <x:v>-48.60243</x:v>
      </x:c>
      <x:c r="G355" s="192" t="str">
        <x:v>apartamento</x:v>
      </x:c>
      <x:c r="H355" s="192" t="n">
        <x:v>3</x:v>
      </x:c>
      <x:c r="I355" s="192" t="n">
        <x:v>4</x:v>
      </x:c>
      <x:c r="J355" s="192" t="n">
        <x:v>4</x:v>
      </x:c>
      <x:c r="K355" s="192" t="n">
        <x:v>12</x:v>
      </x:c>
      <x:c r="L355" s="192" t="n">
        <x:v>61</x:v>
      </x:c>
      <x:c r="M355" s="192" t="n">
        <x:v>4.8400001526</x:v>
      </x:c>
      <x:c r="N355" s="192" t="n">
        <x:v>350</x:v>
      </x:c>
      <x:c r="O355" s="192" t="n">
        <x:v>15</x:v>
      </x:c>
      <x:c r="P355" s="193" t="b">
        <x:v>0</x:v>
      </x:c>
      <x:c r="Q355" s="193" t="b">
        <x:v>0</x:v>
      </x:c>
      <x:c r="R355" s="193" t="b">
        <x:v>1</x:v>
      </x:c>
      <x:c r="S355" s="193" t="b">
        <x:v>1</x:v>
      </x:c>
      <x:c r="T355" s="192" t="n">
        <x:v>78</x:v>
      </x:c>
      <x:c r="U355" s="192" t="n">
        <x:v>12</x:v>
      </x:c>
      <x:c r="V355" s="200" t="n">
        <x:v>0.1333333333</x:v>
      </x:c>
      <x:c r="W355" s="203" t="n">
        <x:v>1000</x:v>
      </x:c>
      <x:c r="X355" s="203" t="n">
        <x:v>13730.9064210246</x:v>
      </x:c>
      <x:c r="Y355" s="203" t="n">
        <x:v>35500.1143093574</x:v>
      </x:c>
      <x:c r="Z355" s="193" t="b">
        <x:v>1</x:v>
      </x:c>
      <x:c r="AA355" s="193" t="b">
        <x:v>0</x:v>
      </x:c>
      <x:c r="AB355" s="193" t="b">
        <x:v>1</x:v>
      </x:c>
      <x:c r="AC355" s="193" t="b">
        <x:v>1</x:v>
      </x:c>
      <x:c r="AD355" s="193" t="b">
        <x:v>0</x:v>
      </x:c>
      <x:c r="AE355" s="193" t="b">
        <x:v>1</x:v>
      </x:c>
      <x:c r="AF355" s="193" t="b">
        <x:v>1</x:v>
      </x:c>
      <x:c r="AG355" s="193" t="b">
        <x:v>1</x:v>
      </x:c>
      <x:c r="AH355" s="193" t="b">
        <x:v>1</x:v>
      </x:c>
      <x:c r="AI355" s="193" t="b">
        <x:v>1</x:v>
      </x:c>
      <x:c r="AJ355" s="193" t="b">
        <x:v>0</x:v>
      </x:c>
    </x:row>
    <x:row r="356">
      <x:c r="A356" s="192" t="n">
        <x:v>1207940918769840400</x:v>
      </x:c>
      <x:c r="B356" s="192" t="str">
        <x:v>https://www.airbnb.com.br/rooms/1207940918769840398</x:v>
      </x:c>
      <x:c r="C356" s="192" t="str">
        <x:v>Estúdio a 280m da Praia em Itapema MHFB0507</x:v>
      </x:c>
      <x:c r="D356" s="192" t="str">
        <x:v>Centro</x:v>
      </x:c>
      <x:c r="E356" s="192" t="n">
        <x:v>-27.09231</x:v>
      </x:c>
      <x:c r="F356" s="192" t="n">
        <x:v>-48.61455</x:v>
      </x:c>
      <x:c r="G356" s="192" t="str">
        <x:v>apartamento</x:v>
      </x:c>
      <x:c r="H356" s="192" t="n">
        <x:v>1</x:v>
      </x:c>
      <x:c r="I356" s="192" t="n">
        <x:v>1</x:v>
      </x:c>
      <x:c r="J356" s="192" t="n">
        <x:v>1</x:v>
      </x:c>
      <x:c r="K356" s="192" t="n">
        <x:v>2</x:v>
      </x:c>
      <x:c r="L356" s="192" t="n">
        <x:v>2</x:v>
      </x:c>
      <x:c r="M356" s="192" t="n">
        <x:v>5</x:v>
      </x:c>
      <x:c r="N356" s="192" t="n">
        <x:v>150</x:v>
      </x:c>
      <x:c r="O356" s="192" t="n">
        <x:v>0</x:v>
      </x:c>
      <x:c r="P356" s="193" t="b">
        <x:v>1</x:v>
      </x:c>
      <x:c r="Q356" s="193" t="b">
        <x:v>1</x:v>
      </x:c>
      <x:c r="R356" s="193" t="b">
        <x:v>0</x:v>
      </x:c>
      <x:c r="S356" s="193" t="b">
        <x:v>0</x:v>
      </x:c>
      <x:c r="T356" s="192" t="n">
        <x:v>68</x:v>
      </x:c>
      <x:c r="U356" s="192" t="n">
        <x:v>22</x:v>
      </x:c>
      <x:c r="V356" s="200" t="n">
        <x:v>0.2444444444</x:v>
      </x:c>
      <x:c r="W356" s="203" t="n">
        <x:v>385</x:v>
      </x:c>
      <x:c r="X356" s="203" t="n">
        <x:v>8416.1313866084</x:v>
      </x:c>
      <x:c r="Y356" s="203" t="n">
        <x:v>21759.2063557939</x:v>
      </x:c>
      <x:c r="Z356" s="193" t="b">
        <x:v>1</x:v>
      </x:c>
      <x:c r="AA356" s="193" t="b">
        <x:v>1</x:v>
      </x:c>
      <x:c r="AB356" s="193" t="b">
        <x:v>1</x:v>
      </x:c>
      <x:c r="AC356" s="193" t="b">
        <x:v>1</x:v>
      </x:c>
      <x:c r="AD356" s="193" t="b">
        <x:v>1</x:v>
      </x:c>
      <x:c r="AE356" s="193" t="b">
        <x:v>0</x:v>
      </x:c>
      <x:c r="AF356" s="193" t="b">
        <x:v>1</x:v>
      </x:c>
      <x:c r="AG356" s="193" t="b">
        <x:v>1</x:v>
      </x:c>
      <x:c r="AH356" s="193" t="b">
        <x:v>1</x:v>
      </x:c>
      <x:c r="AI356" s="193" t="b">
        <x:v>1</x:v>
      </x:c>
      <x:c r="AJ356" s="193" t="b">
        <x:v>0</x:v>
      </x:c>
    </x:row>
    <x:row r="357">
      <x:c r="A357" s="192" t="n">
        <x:v>47254288</x:v>
      </x:c>
      <x:c r="B357" s="192" t="str">
        <x:v>https://www.airbnb.com.br/rooms/47254288</x:v>
      </x:c>
      <x:c r="C357" s="192" t="str">
        <x:v>MELHOR LOCALIZAÇÃO DA MEIA PRAIA E A 200M DO MAR</x:v>
      </x:c>
      <x:c r="D357" s="192" t="str">
        <x:v>Meia Praia</x:v>
      </x:c>
      <x:c r="E357" s="192" t="n">
        <x:v>-27.13393</x:v>
      </x:c>
      <x:c r="F357" s="192" t="n">
        <x:v>-48.59852</x:v>
      </x:c>
      <x:c r="G357" s="192" t="str">
        <x:v>apartamento</x:v>
      </x:c>
      <x:c r="H357" s="192" t="n">
        <x:v>3</x:v>
      </x:c>
      <x:c r="I357" s="192" t="n">
        <x:v>2</x:v>
      </x:c>
      <x:c r="J357" s="192" t="n">
        <x:v>3</x:v>
      </x:c>
      <x:c r="K357" s="192" t="n">
        <x:v>6</x:v>
      </x:c>
      <x:c r="L357" s="192" t="n">
        <x:v>38</x:v>
      </x:c>
      <x:c r="M357" s="192" t="n">
        <x:v>4.9699997902</x:v>
      </x:c>
      <x:c r="N357" s="192" t="n">
        <x:v>249</x:v>
      </x:c>
      <x:c r="O357" s="192" t="n">
        <x:v>11</x:v>
      </x:c>
      <x:c r="P357" s="193" t="b">
        <x:v>0</x:v>
      </x:c>
      <x:c r="Q357" s="193" t="b">
        <x:v>0</x:v>
      </x:c>
      <x:c r="R357" s="193" t="b">
        <x:v>1</x:v>
      </x:c>
      <x:c r="S357" s="193" t="b">
        <x:v>0</x:v>
      </x:c>
      <x:c r="T357" s="192" t="n">
        <x:v>67</x:v>
      </x:c>
      <x:c r="U357" s="192" t="n">
        <x:v>23</x:v>
      </x:c>
      <x:c r="V357" s="200" t="n">
        <x:v>0.2555555556</x:v>
      </x:c>
      <x:c r="W357" s="203" t="n">
        <x:v>450</x:v>
      </x:c>
      <x:c r="X357" s="203" t="n">
        <x:v>10344.9205819422</x:v>
      </x:c>
      <x:c r="Y357" s="203" t="n">
        <x:v>26745.9300878964</x:v>
      </x:c>
      <x:c r="Z357" s="193" t="b">
        <x:v>1</x:v>
      </x:c>
      <x:c r="AA357" s="193" t="b">
        <x:v>0</x:v>
      </x:c>
      <x:c r="AB357" s="193" t="b">
        <x:v>1</x:v>
      </x:c>
      <x:c r="AC357" s="193" t="b">
        <x:v>1</x:v>
      </x:c>
      <x:c r="AD357" s="193" t="b">
        <x:v>0</x:v>
      </x:c>
      <x:c r="AE357" s="193" t="b">
        <x:v>0</x:v>
      </x:c>
      <x:c r="AF357" s="193" t="b">
        <x:v>1</x:v>
      </x:c>
      <x:c r="AG357" s="193" t="b">
        <x:v>1</x:v>
      </x:c>
      <x:c r="AH357" s="193" t="b">
        <x:v>1</x:v>
      </x:c>
      <x:c r="AI357" s="193" t="b">
        <x:v>1</x:v>
      </x:c>
      <x:c r="AJ357" s="193" t="b">
        <x:v>1</x:v>
      </x:c>
    </x:row>
    <x:row r="358">
      <x:c r="A358" s="192" t="n">
        <x:v>730437501239201000</x:v>
      </x:c>
      <x:c r="B358" s="192" t="str">
        <x:v>https://www.airbnb.com.br/rooms/730437501239201082</x:v>
      </x:c>
      <x:c r="C358" s="192" t="str">
        <x:v>Apartamento em Itapema SC, meia praia</x:v>
      </x:c>
      <x:c r="D358" s="192" t="str">
        <x:v>Meia Praia</x:v>
      </x:c>
      <x:c r="E358" s="192" t="n">
        <x:v>-27.13304</x:v>
      </x:c>
      <x:c r="F358" s="192" t="n">
        <x:v>-48.59873</x:v>
      </x:c>
      <x:c r="G358" s="192" t="str">
        <x:v>apartamento</x:v>
      </x:c>
      <x:c r="H358" s="192" t="n">
        <x:v>3</x:v>
      </x:c>
      <x:c r="I358" s="192" t="n">
        <x:v>2</x:v>
      </x:c>
      <x:c r="J358" s="192" t="n">
        <x:v>6</x:v>
      </x:c>
      <x:c r="K358" s="192" t="n">
        <x:v>8</x:v>
      </x:c>
      <x:c r="L358" s="192" t="n">
        <x:v>11</x:v>
      </x:c>
      <x:c r="M358" s="192" t="n">
        <x:v>4.8200001717</x:v>
      </x:c>
      <x:c r="N358" s="192" t="n">
        <x:v>350</x:v>
      </x:c>
      <x:c r="O358" s="192" t="n">
        <x:v>20</x:v>
      </x:c>
      <x:c r="P358" s="193" t="b">
        <x:v>0</x:v>
      </x:c>
      <x:c r="Q358" s="193" t="b">
        <x:v>0</x:v>
      </x:c>
      <x:c r="R358" s="193" t="b">
        <x:v>0</x:v>
      </x:c>
      <x:c r="S358" s="193" t="b">
        <x:v>1</x:v>
      </x:c>
      <x:c r="T358" s="192" t="n">
        <x:v>84</x:v>
      </x:c>
      <x:c r="U358" s="192" t="n">
        <x:v>6</x:v>
      </x:c>
      <x:c r="V358" s="200" t="n">
        <x:v>0.0666666667</x:v>
      </x:c>
      <x:c r="W358" s="203" t="n">
        <x:v>708.33335</x:v>
      </x:c>
      <x:c r="X358" s="203" t="n">
        <x:v>4356.0996658285</x:v>
      </x:c>
      <x:c r="Y358" s="203" t="n">
        <x:v>11262.3326776942</x:v>
      </x:c>
      <x:c r="Z358" s="193" t="b">
        <x:v>1</x:v>
      </x:c>
      <x:c r="AA358" s="193" t="b">
        <x:v>0</x:v>
      </x:c>
      <x:c r="AB358" s="193" t="b">
        <x:v>1</x:v>
      </x:c>
      <x:c r="AC358" s="193" t="b">
        <x:v>1</x:v>
      </x:c>
      <x:c r="AD358" s="193" t="b">
        <x:v>1</x:v>
      </x:c>
      <x:c r="AE358" s="193" t="b">
        <x:v>1</x:v>
      </x:c>
      <x:c r="AF358" s="193" t="b">
        <x:v>1</x:v>
      </x:c>
      <x:c r="AG358" s="193" t="b">
        <x:v>1</x:v>
      </x:c>
      <x:c r="AH358" s="193" t="b">
        <x:v>1</x:v>
      </x:c>
      <x:c r="AI358" s="193" t="b">
        <x:v>1</x:v>
      </x:c>
      <x:c r="AJ358" s="193" t="b">
        <x:v>1</x:v>
      </x:c>
    </x:row>
    <x:row r="359">
      <x:c r="A359" s="192" t="n">
        <x:v>1035628196408986400</x:v>
      </x:c>
      <x:c r="B359" s="192" t="str">
        <x:v>https://www.airbnb.com.br/rooms/1035628196408986358</x:v>
      </x:c>
      <x:c r="C359" s="192" t="str">
        <x:v>Apto lindo Beira-Mar e com Churrasqueira RSL0502</x:v>
      </x:c>
      <x:c r="D359" s="192" t="str">
        <x:v>Centro</x:v>
      </x:c>
      <x:c r="E359" s="192" t="n">
        <x:v>-27.1040000916</x:v>
      </x:c>
      <x:c r="F359" s="192" t="n">
        <x:v>-48.6129989624</x:v>
      </x:c>
      <x:c r="G359" s="192" t="str">
        <x:v>apartamento</x:v>
      </x:c>
      <x:c r="H359" s="192" t="n">
        <x:v>3</x:v>
      </x:c>
      <x:c r="I359" s="192" t="n">
        <x:v>2</x:v>
      </x:c>
      <x:c r="J359" s="192" t="n">
        <x:v>3</x:v>
      </x:c>
      <x:c r="K359" s="192" t="n">
        <x:v>6</x:v>
      </x:c>
      <x:c r="L359" s="192" t="n">
        <x:v>4</x:v>
      </x:c>
      <x:c r="M359" s="192" t="n">
        <x:v>5</x:v>
      </x:c>
      <x:c r="N359" s="192" t="n">
        <x:v>456</x:v>
      </x:c>
      <x:c r="O359" s="192" t="n">
        <x:v>0</x:v>
      </x:c>
      <x:c r="P359" s="193" t="b">
        <x:v>1</x:v>
      </x:c>
      <x:c r="Q359" s="193" t="b">
        <x:v>1</x:v>
      </x:c>
      <x:c r="R359" s="193" t="b">
        <x:v>0</x:v>
      </x:c>
      <x:c r="S359" s="193" t="b">
        <x:v>0</x:v>
      </x:c>
      <x:c r="T359" s="192" t="n">
        <x:v>43</x:v>
      </x:c>
      <x:c r="U359" s="192" t="n">
        <x:v>47</x:v>
      </x:c>
      <x:c r="V359" s="200" t="n">
        <x:v>0.5222222222</x:v>
      </x:c>
      <x:c r="W359" s="203" t="n">
        <x:v>805</x:v>
      </x:c>
      <x:c r="X359" s="203" t="n">
        <x:v>39250.356966924</x:v>
      </x:c>
      <x:c r="Y359" s="203" t="n">
        <x:v>101478.5270749015</x:v>
      </x:c>
      <x:c r="Z359" s="193" t="b">
        <x:v>1</x:v>
      </x:c>
      <x:c r="AA359" s="193" t="b">
        <x:v>0</x:v>
      </x:c>
      <x:c r="AB359" s="193" t="b">
        <x:v>1</x:v>
      </x:c>
      <x:c r="AC359" s="193" t="b">
        <x:v>1</x:v>
      </x:c>
      <x:c r="AD359" s="193" t="b">
        <x:v>1</x:v>
      </x:c>
      <x:c r="AE359" s="193" t="b">
        <x:v>1</x:v>
      </x:c>
      <x:c r="AF359" s="193" t="b">
        <x:v>1</x:v>
      </x:c>
      <x:c r="AG359" s="193" t="b">
        <x:v>1</x:v>
      </x:c>
      <x:c r="AH359" s="193" t="b">
        <x:v>1</x:v>
      </x:c>
      <x:c r="AI359" s="193" t="b">
        <x:v>1</x:v>
      </x:c>
      <x:c r="AJ359" s="193" t="b">
        <x:v>1</x:v>
      </x:c>
    </x:row>
    <x:row r="360">
      <x:c r="A360" s="192" t="n">
        <x:v>46327705</x:v>
      </x:c>
      <x:c r="B360" s="192" t="str">
        <x:v>https://www.airbnb.com.br/rooms/46327705</x:v>
      </x:c>
      <x:c r="C360" s="192" t="str">
        <x:v>3 Suítes na quadra do mar!</x:v>
      </x:c>
      <x:c r="D360" s="192" t="str">
        <x:v>Meia Praia</x:v>
      </x:c>
      <x:c r="E360" s="192" t="n">
        <x:v>-27.13223</x:v>
      </x:c>
      <x:c r="F360" s="192" t="n">
        <x:v>-48.5969</x:v>
      </x:c>
      <x:c r="G360" s="192" t="str">
        <x:v>apartamento</x:v>
      </x:c>
      <x:c r="H360" s="192" t="n">
        <x:v>3</x:v>
      </x:c>
      <x:c r="I360" s="192" t="n">
        <x:v>3</x:v>
      </x:c>
      <x:c r="J360" s="192" t="n">
        <x:v>4</x:v>
      </x:c>
      <x:c r="K360" s="192" t="n">
        <x:v>7</x:v>
      </x:c>
      <x:c r="L360" s="192" t="n">
        <x:v>6</x:v>
      </x:c>
      <x:c r="M360" s="192" t="n">
        <x:v>5</x:v>
      </x:c>
      <x:c r="N360" s="192" t="n">
        <x:v>400</x:v>
      </x:c>
      <x:c r="O360" s="192" t="n">
        <x:v>23</x:v>
      </x:c>
      <x:c r="P360" s="193" t="b">
        <x:v>0</x:v>
      </x:c>
      <x:c r="Q360" s="193" t="b">
        <x:v>0</x:v>
      </x:c>
      <x:c r="R360" s="193" t="b">
        <x:v>0</x:v>
      </x:c>
      <x:c r="S360" s="193" t="b">
        <x:v>0</x:v>
      </x:c>
      <x:c r="T360" s="192" t="n">
        <x:v>40</x:v>
      </x:c>
      <x:c r="U360" s="192" t="n">
        <x:v>50</x:v>
      </x:c>
      <x:c r="V360" s="200" t="n">
        <x:v>0.5555555556</x:v>
      </x:c>
      <x:c r="W360" s="203" t="n">
        <x:v>944</x:v>
      </x:c>
      <x:c r="X360" s="203" t="n">
        <x:v>45752.3214991091</x:v>
      </x:c>
      <x:c r="Y360" s="203" t="n">
        <x:v>118288.8145424883</x:v>
      </x:c>
      <x:c r="Z360" s="193" t="b">
        <x:v>1</x:v>
      </x:c>
      <x:c r="AA360" s="193" t="b">
        <x:v>0</x:v>
      </x:c>
      <x:c r="AB360" s="193" t="b">
        <x:v>1</x:v>
      </x:c>
      <x:c r="AC360" s="193" t="b">
        <x:v>1</x:v>
      </x:c>
      <x:c r="AD360" s="193" t="b">
        <x:v>1</x:v>
      </x:c>
      <x:c r="AE360" s="193" t="b">
        <x:v>1</x:v>
      </x:c>
      <x:c r="AF360" s="193" t="b">
        <x:v>1</x:v>
      </x:c>
      <x:c r="AG360" s="193" t="b">
        <x:v>1</x:v>
      </x:c>
      <x:c r="AH360" s="193" t="b">
        <x:v>1</x:v>
      </x:c>
      <x:c r="AI360" s="193" t="b">
        <x:v>1</x:v>
      </x:c>
      <x:c r="AJ360" s="193" t="b">
        <x:v>0</x:v>
      </x:c>
    </x:row>
    <x:row r="361">
      <x:c r="A361" s="192" t="n">
        <x:v>1226856286781952800</x:v>
      </x:c>
      <x:c r="B361" s="192" t="str">
        <x:v>https://www.airbnb.com.br/rooms/1226856286781952840</x:v>
      </x:c>
      <x:c r="C361" s="192" t="str">
        <x:v>Apto charmoso vista mar em Itapema MHF1402</x:v>
      </x:c>
      <x:c r="D361" s="192" t="str">
        <x:v>Centro</x:v>
      </x:c>
      <x:c r="E361" s="192" t="n">
        <x:v>-27.09306</x:v>
      </x:c>
      <x:c r="F361" s="192" t="n">
        <x:v>-48.61326</x:v>
      </x:c>
      <x:c r="G361" s="192" t="str">
        <x:v>apartamento</x:v>
      </x:c>
      <x:c r="H361" s="192" t="n">
        <x:v>2</x:v>
      </x:c>
      <x:c r="I361" s="192" t="n">
        <x:v>1</x:v>
      </x:c>
      <x:c r="J361" s="192" t="n">
        <x:v>3</x:v>
      </x:c>
      <x:c r="K361" s="192" t="n">
        <x:v>5</x:v>
      </x:c>
      <x:c r="L361" s="192" t="n">
        <x:v>12</x:v>
      </x:c>
      <x:c r="M361" s="192" t="n">
        <x:v>4.5799999237</x:v>
      </x:c>
      <x:c r="N361" s="192" t="n">
        <x:v>220</x:v>
      </x:c>
      <x:c r="O361" s="192" t="n">
        <x:v>0</x:v>
      </x:c>
      <x:c r="P361" s="193" t="b">
        <x:v>1</x:v>
      </x:c>
      <x:c r="Q361" s="193" t="b">
        <x:v>1</x:v>
      </x:c>
      <x:c r="R361" s="193" t="b">
        <x:v>0</x:v>
      </x:c>
      <x:c r="S361" s="193" t="b">
        <x:v>0</x:v>
      </x:c>
      <x:c r="T361" s="192" t="n">
        <x:v>69</x:v>
      </x:c>
      <x:c r="U361" s="192" t="n">
        <x:v>21</x:v>
      </x:c>
      <x:c r="V361" s="200" t="n">
        <x:v>0.2333333333</x:v>
      </x:c>
      <x:c r="W361" s="203" t="n">
        <x:v>640.5</x:v>
      </x:c>
      <x:c r="X361" s="203" t="n">
        <x:v>13480.8540114631</x:v>
      </x:c>
      <x:c r="Y361" s="203" t="n">
        <x:v>34853.6246421368</x:v>
      </x:c>
      <x:c r="Z361" s="193" t="b">
        <x:v>1</x:v>
      </x:c>
      <x:c r="AA361" s="193" t="b">
        <x:v>1</x:v>
      </x:c>
      <x:c r="AB361" s="193" t="b">
        <x:v>1</x:v>
      </x:c>
      <x:c r="AC361" s="193" t="b">
        <x:v>1</x:v>
      </x:c>
      <x:c r="AD361" s="193" t="b">
        <x:v>1</x:v>
      </x:c>
      <x:c r="AE361" s="193" t="b">
        <x:v>0</x:v>
      </x:c>
      <x:c r="AF361" s="193" t="b">
        <x:v>1</x:v>
      </x:c>
      <x:c r="AG361" s="193" t="b">
        <x:v>1</x:v>
      </x:c>
      <x:c r="AH361" s="193" t="b">
        <x:v>1</x:v>
      </x:c>
      <x:c r="AI361" s="193" t="b">
        <x:v>1</x:v>
      </x:c>
      <x:c r="AJ361" s="193" t="b">
        <x:v>1</x:v>
      </x:c>
    </x:row>
    <x:row r="362">
      <x:c r="A362" s="192" t="n">
        <x:v>1057137469420115100</x:v>
      </x:c>
      <x:c r="B362" s="192" t="str">
        <x:v>https://www.airbnb.com.br/rooms/1057137469420115073</x:v>
      </x:c>
      <x:c r="C362" s="192" t="str">
        <x:v>Apto excelente e luxuoso a 400m da praia DBR0805</x:v>
      </x:c>
      <x:c r="D362" s="192" t="str">
        <x:v>Morretes</x:v>
      </x:c>
      <x:c r="E362" s="192" t="n">
        <x:v>-27.1170005798</x:v>
      </x:c>
      <x:c r="F362" s="192" t="n">
        <x:v>-48.6100006104</x:v>
      </x:c>
      <x:c r="G362" s="192" t="str">
        <x:v>apartamento</x:v>
      </x:c>
      <x:c r="H362" s="192" t="n">
        <x:v>2</x:v>
      </x:c>
      <x:c r="I362" s="192" t="n">
        <x:v>2</x:v>
      </x:c>
      <x:c r="J362" s="192" t="n">
        <x:v>3</x:v>
      </x:c>
      <x:c r="K362" s="192" t="n">
        <x:v>6</x:v>
      </x:c>
      <x:c r="L362" s="192" t="n">
        <x:v>28</x:v>
      </x:c>
      <x:c r="M362" s="192" t="n">
        <x:v>4.9600000381</x:v>
      </x:c>
      <x:c r="N362" s="192" t="n">
        <x:v>400</x:v>
      </x:c>
      <x:c r="O362" s="192" t="n">
        <x:v>17</x:v>
      </x:c>
      <x:c r="P362" s="193" t="b">
        <x:v>1</x:v>
      </x:c>
      <x:c r="Q362" s="193" t="b">
        <x:v>1</x:v>
      </x:c>
      <x:c r="R362" s="193" t="b">
        <x:v>1</x:v>
      </x:c>
      <x:c r="S362" s="193" t="b">
        <x:v>0</x:v>
      </x:c>
      <x:c r="T362" s="192" t="n">
        <x:v>69</x:v>
      </x:c>
      <x:c r="U362" s="192" t="n">
        <x:v>21</x:v>
      </x:c>
      <x:c r="V362" s="200" t="n">
        <x:v>0.2333333333</x:v>
      </x:c>
      <x:c r="W362" s="203" t="n">
        <x:v>594</x:v>
      </x:c>
      <x:c r="X362" s="203" t="n">
        <x:v>12532.7697623011</x:v>
      </x:c>
      <x:c r="Y362" s="203" t="n">
        <x:v>32402.4318229493</x:v>
      </x:c>
      <x:c r="Z362" s="193" t="b">
        <x:v>1</x:v>
      </x:c>
      <x:c r="AA362" s="193" t="b">
        <x:v>0</x:v>
      </x:c>
      <x:c r="AB362" s="193" t="b">
        <x:v>1</x:v>
      </x:c>
      <x:c r="AC362" s="193" t="b">
        <x:v>1</x:v>
      </x:c>
      <x:c r="AD362" s="193" t="b">
        <x:v>1</x:v>
      </x:c>
      <x:c r="AE362" s="193" t="b">
        <x:v>0</x:v>
      </x:c>
      <x:c r="AF362" s="193" t="b">
        <x:v>1</x:v>
      </x:c>
      <x:c r="AG362" s="193" t="b">
        <x:v>0</x:v>
      </x:c>
      <x:c r="AH362" s="193" t="b">
        <x:v>1</x:v>
      </x:c>
      <x:c r="AI362" s="193" t="b">
        <x:v>1</x:v>
      </x:c>
      <x:c r="AJ362" s="193" t="b">
        <x:v>1</x:v>
      </x:c>
    </x:row>
    <x:row r="363">
      <x:c r="A363" s="192" t="n">
        <x:v>40289385</x:v>
      </x:c>
      <x:c r="B363" s="192" t="str">
        <x:v>https://www.airbnb.com.br/rooms/40289385</x:v>
      </x:c>
      <x:c r="C363" s="192" t="str">
        <x:v>chacara em cidade de praia</x:v>
      </x:c>
      <x:c r="D363" s="192" t="str">
        <x:v>Alto Sao Bento</x:v>
      </x:c>
      <x:c r="E363" s="192" t="n">
        <x:v>-27.0859298706</x:v>
      </x:c>
      <x:c r="F363" s="192" t="n">
        <x:v>-48.6206092834</x:v>
      </x:c>
      <x:c r="G363" s="192" t="str">
        <x:v>casa</x:v>
      </x:c>
      <x:c r="H363" s="192" t="n">
        <x:v>12</x:v>
      </x:c>
      <x:c r="I363" s="192" t="n">
        <x:v>13</x:v>
      </x:c>
      <x:c r="J363" s="192" t="n">
        <x:v>34</x:v>
      </x:c>
      <x:c r="K363" s="192" t="n">
        <x:v>16</x:v>
      </x:c>
      <x:c r="L363" s="192" t="n">
        <x:v>15</x:v>
      </x:c>
      <x:c r="M363" s="192" t="n">
        <x:v>4.6700000763</x:v>
      </x:c>
      <x:c r="N363" s="192" t="n">
        <x:v>700</x:v>
      </x:c>
      <x:c r="O363" s="192" t="n">
        <x:v>61</x:v>
      </x:c>
      <x:c r="P363" s="193" t="b">
        <x:v>0</x:v>
      </x:c>
      <x:c r="Q363" s="193" t="b">
        <x:v>0</x:v>
      </x:c>
      <x:c r="R363" s="193" t="b">
        <x:v>0</x:v>
      </x:c>
      <x:c r="S363" s="193" t="b">
        <x:v>0</x:v>
      </x:c>
      <x:c r="T363" s="192" t="n">
        <x:v>62</x:v>
      </x:c>
      <x:c r="U363" s="192" t="n">
        <x:v>28</x:v>
      </x:c>
      <x:c r="V363" s="200" t="n">
        <x:v>0.3111111111</x:v>
      </x:c>
      <x:c r="W363" s="203" t="n">
        <x:v>2500</x:v>
      </x:c>
      <x:c r="X363" s="203" t="n">
        <x:v>74668.7983489386</x:v>
      </x:c>
      <x:c r="Y363" s="203" t="n">
        <x:v>193049.9557313184</x:v>
      </x:c>
      <x:c r="Z363" s="193" t="b">
        <x:v>1</x:v>
      </x:c>
      <x:c r="AA363" s="193" t="b">
        <x:v>1</x:v>
      </x:c>
      <x:c r="AB363" s="193" t="b">
        <x:v>1</x:v>
      </x:c>
      <x:c r="AC363" s="193" t="b">
        <x:v>1</x:v>
      </x:c>
      <x:c r="AD363" s="193" t="b">
        <x:v>0</x:v>
      </x:c>
      <x:c r="AE363" s="193" t="b">
        <x:v>0</x:v>
      </x:c>
      <x:c r="AF363" s="193" t="b">
        <x:v>1</x:v>
      </x:c>
      <x:c r="AG363" s="193" t="b">
        <x:v>1</x:v>
      </x:c>
      <x:c r="AH363" s="193" t="b">
        <x:v>1</x:v>
      </x:c>
      <x:c r="AI363" s="193" t="b">
        <x:v>1</x:v>
      </x:c>
      <x:c r="AJ363" s="193" t="b">
        <x:v>0</x:v>
      </x:c>
    </x:row>
    <x:row r="364">
      <x:c r="A364" s="192" t="n">
        <x:v>881204142086821400</x:v>
      </x:c>
      <x:c r="B364" s="192" t="str">
        <x:v>https://www.airbnb.com.br/rooms/881204142086821328</x:v>
      </x:c>
      <x:c r="C364" s="192" t="str">
        <x:v>150m mar em Meia Praia. Último andar 3 quartos.</x:v>
      </x:c>
      <x:c r="D364" s="192" t="str">
        <x:v>Meia Praia</x:v>
      </x:c>
      <x:c r="E364" s="192" t="n">
        <x:v>-27.1210002899</x:v>
      </x:c>
      <x:c r="F364" s="192" t="n">
        <x:v>-48.6090011597</x:v>
      </x:c>
      <x:c r="G364" s="192" t="str">
        <x:v>apartamento</x:v>
      </x:c>
      <x:c r="H364" s="192" t="n">
        <x:v>3</x:v>
      </x:c>
      <x:c r="I364" s="192" t="n">
        <x:v>2</x:v>
      </x:c>
      <x:c r="J364" s="192" t="n">
        <x:v>3</x:v>
      </x:c>
      <x:c r="K364" s="192" t="n">
        <x:v>7</x:v>
      </x:c>
      <x:c r="L364" s="192" t="n">
        <x:v>43</x:v>
      </x:c>
      <x:c r="M364" s="192" t="n">
        <x:v>4.9800000191</x:v>
      </x:c>
      <x:c r="N364" s="192" t="n">
        <x:v>200</x:v>
      </x:c>
      <x:c r="O364" s="192" t="n">
        <x:v>29</x:v>
      </x:c>
      <x:c r="P364" s="193" t="b">
        <x:v>1</x:v>
      </x:c>
      <x:c r="Q364" s="193" t="b">
        <x:v>0</x:v>
      </x:c>
      <x:c r="R364" s="193" t="b">
        <x:v>1</x:v>
      </x:c>
      <x:c r="S364" s="193" t="b">
        <x:v>1</x:v>
      </x:c>
      <x:c r="T364" s="192" t="n">
        <x:v>51</x:v>
      </x:c>
      <x:c r="U364" s="192" t="n">
        <x:v>39</x:v>
      </x:c>
      <x:c r="V364" s="200" t="n">
        <x:v>0.4333333333</x:v>
      </x:c>
      <x:c r="W364" s="203" t="n">
        <x:v>550</x:v>
      </x:c>
      <x:c r="X364" s="203" t="n">
        <x:v>21912.0644080523</x:v>
      </x:c>
      <x:c r="Y364" s="203" t="n">
        <x:v>56651.816521652</x:v>
      </x:c>
      <x:c r="Z364" s="193" t="b">
        <x:v>1</x:v>
      </x:c>
      <x:c r="AA364" s="193" t="b">
        <x:v>0</x:v>
      </x:c>
      <x:c r="AB364" s="193" t="b">
        <x:v>1</x:v>
      </x:c>
      <x:c r="AC364" s="193" t="b">
        <x:v>1</x:v>
      </x:c>
      <x:c r="AD364" s="193" t="b">
        <x:v>1</x:v>
      </x:c>
      <x:c r="AE364" s="193" t="b">
        <x:v>1</x:v>
      </x:c>
      <x:c r="AF364" s="193" t="b">
        <x:v>1</x:v>
      </x:c>
      <x:c r="AG364" s="193" t="b">
        <x:v>1</x:v>
      </x:c>
      <x:c r="AH364" s="193" t="b">
        <x:v>1</x:v>
      </x:c>
      <x:c r="AI364" s="193" t="b">
        <x:v>1</x:v>
      </x:c>
      <x:c r="AJ364" s="193" t="b">
        <x:v>1</x:v>
      </x:c>
    </x:row>
    <x:row r="365">
      <x:c r="A365" s="192" t="n">
        <x:v>1100991386372756500</x:v>
      </x:c>
      <x:c r="B365" s="192" t="str">
        <x:v>https://www.airbnb.com.br/rooms/1100991386372756521</x:v>
      </x:c>
      <x:c r="C365" s="192" t="str">
        <x:v>Excelente apto. próximo do mar</x:v>
      </x:c>
      <x:c r="D365" s="192" t="str">
        <x:v>Meia Praia</x:v>
      </x:c>
      <x:c r="E365" s="192" t="n">
        <x:v>-27.14177</x:v>
      </x:c>
      <x:c r="F365" s="192" t="n">
        <x:v>-48.59507</x:v>
      </x:c>
      <x:c r="G365" s="192" t="str">
        <x:v>apartamento</x:v>
      </x:c>
      <x:c r="H365" s="192" t="n">
        <x:v>2</x:v>
      </x:c>
      <x:c r="I365" s="192" t="n">
        <x:v>2</x:v>
      </x:c>
      <x:c r="J365" s="192" t="n">
        <x:v>0</x:v>
      </x:c>
      <x:c r="K365" s="192" t="n">
        <x:v>8</x:v>
      </x:c>
      <x:c r="L365" s="192" t="n">
        <x:v>12</x:v>
      </x:c>
      <x:c r="M365" s="192" t="n">
        <x:v>5</x:v>
      </x:c>
      <x:c r="N365" s="192" t="n">
        <x:v>0</x:v>
      </x:c>
      <x:c r="O365" s="192" t="n">
        <x:v>13</x:v>
      </x:c>
      <x:c r="P365" s="193" t="b">
        <x:v>0</x:v>
      </x:c>
      <x:c r="Q365" s="193" t="b">
        <x:v>0</x:v>
      </x:c>
      <x:c r="R365" s="193" t="b">
        <x:v>1</x:v>
      </x:c>
      <x:c r="S365" s="193" t="b">
        <x:v>1</x:v>
      </x:c>
      <x:c r="T365" s="192" t="n">
        <x:v>90</x:v>
      </x:c>
      <x:c r="U365" s="192" t="n">
        <x:v>0</x:v>
      </x:c>
      <x:c r="V365" s="200" t="n">
        <x:v>0</x:v>
      </x:c>
      <x:c r="W365" s="203" t="n">
        <x:v>800</x:v>
      </x:c>
      <x:c r="X365" s="203" t="n">
        <x:v>0</x:v>
      </x:c>
      <x:c r="Y365" s="203" t="n">
        <x:v>0</x:v>
      </x:c>
      <x:c r="Z365" s="193" t="b">
        <x:v>1</x:v>
      </x:c>
      <x:c r="AA365" s="193" t="b">
        <x:v>0</x:v>
      </x:c>
      <x:c r="AB365" s="193" t="b">
        <x:v>1</x:v>
      </x:c>
      <x:c r="AC365" s="193" t="b">
        <x:v>1</x:v>
      </x:c>
      <x:c r="AD365" s="193" t="b">
        <x:v>0</x:v>
      </x:c>
      <x:c r="AE365" s="193" t="b">
        <x:v>1</x:v>
      </x:c>
      <x:c r="AF365" s="193" t="b">
        <x:v>1</x:v>
      </x:c>
      <x:c r="AG365" s="193" t="b">
        <x:v>1</x:v>
      </x:c>
      <x:c r="AH365" s="193" t="b">
        <x:v>1</x:v>
      </x:c>
      <x:c r="AI365" s="193" t="b">
        <x:v>1</x:v>
      </x:c>
      <x:c r="AJ365" s="193" t="b">
        <x:v>0</x:v>
      </x:c>
    </x:row>
    <x:row r="366">
      <x:c r="A366" s="192" t="n">
        <x:v>1203075817950465500</x:v>
      </x:c>
      <x:c r="B366" s="192" t="str">
        <x:v>https://www.airbnb.com.br/rooms/1203075817950465589</x:v>
      </x:c>
      <x:c r="C366" s="192" t="str">
        <x:v>Cobertura à Beira-Mar em Itapema- SC Ref. 1229</x:v>
      </x:c>
      <x:c r="D366" s="192" t="str">
        <x:v>Centro</x:v>
      </x:c>
      <x:c r="E366" s="192" t="n">
        <x:v>-27.09712</x:v>
      </x:c>
      <x:c r="F366" s="192" t="n">
        <x:v>-48.61363</x:v>
      </x:c>
      <x:c r="G366" s="192" t="str">
        <x:v>apartamento</x:v>
      </x:c>
      <x:c r="H366" s="192" t="n">
        <x:v>3</x:v>
      </x:c>
      <x:c r="I366" s="192" t="n">
        <x:v>2</x:v>
      </x:c>
      <x:c r="J366" s="192" t="n">
        <x:v>4</x:v>
      </x:c>
      <x:c r="K366" s="192" t="n">
        <x:v>6</x:v>
      </x:c>
      <x:c r="L366" s="192" t="n">
        <x:v>0</x:v>
      </x:c>
      <x:c r="M366" s="192"/>
      <x:c r="N366" s="192" t="n">
        <x:v>400</x:v>
      </x:c>
      <x:c r="O366" s="192" t="n">
        <x:v>0</x:v>
      </x:c>
      <x:c r="P366" s="193" t="b">
        <x:v>0</x:v>
      </x:c>
      <x:c r="Q366" s="193" t="b">
        <x:v>0</x:v>
      </x:c>
      <x:c r="R366" s="193" t="b">
        <x:v>0</x:v>
      </x:c>
      <x:c r="S366" s="193" t="b">
        <x:v>0</x:v>
      </x:c>
      <x:c r="T366" s="192" t="n">
        <x:v>28</x:v>
      </x:c>
      <x:c r="U366" s="192" t="n">
        <x:v>62</x:v>
      </x:c>
      <x:c r="V366" s="200" t="n">
        <x:v>0.6888888889</x:v>
      </x:c>
      <x:c r="W366" s="203" t="n">
        <x:v>1400</x:v>
      </x:c>
      <x:c r="X366" s="203" t="n">
        <x:v>88743.7693229891</x:v>
      </x:c>
      <x:c r="Y366" s="203" t="n">
        <x:v>229439.620270478</x:v>
      </x:c>
      <x:c r="Z366" s="193" t="b">
        <x:v>0</x:v>
      </x:c>
      <x:c r="AA366" s="193" t="b">
        <x:v>0</x:v>
      </x:c>
      <x:c r="AB366" s="193" t="b">
        <x:v>1</x:v>
      </x:c>
      <x:c r="AC366" s="193" t="b">
        <x:v>1</x:v>
      </x:c>
      <x:c r="AD366" s="193" t="b">
        <x:v>0</x:v>
      </x:c>
      <x:c r="AE366" s="193" t="b">
        <x:v>1</x:v>
      </x:c>
      <x:c r="AF366" s="193" t="b">
        <x:v>1</x:v>
      </x:c>
      <x:c r="AG366" s="193" t="b">
        <x:v>1</x:v>
      </x:c>
      <x:c r="AH366" s="193" t="b">
        <x:v>1</x:v>
      </x:c>
      <x:c r="AI366" s="193" t="b">
        <x:v>1</x:v>
      </x:c>
      <x:c r="AJ366" s="193" t="b">
        <x:v>0</x:v>
      </x:c>
    </x:row>
    <x:row r="367">
      <x:c r="A367" s="192" t="n">
        <x:v>46298558</x:v>
      </x:c>
      <x:c r="B367" s="192" t="str">
        <x:v>https://www.airbnb.com.br/rooms/46298558</x:v>
      </x:c>
      <x:c r="C367" s="192" t="str">
        <x:v>Vista do Mar, a 180 mt da praia. Aconchegante Apt.</x:v>
      </x:c>
      <x:c r="D367" s="192" t="str">
        <x:v>Meia Praia</x:v>
      </x:c>
      <x:c r="E367" s="192" t="n">
        <x:v>-27.139169693</x:v>
      </x:c>
      <x:c r="F367" s="192" t="n">
        <x:v>-48.5935783386</x:v>
      </x:c>
      <x:c r="G367" s="192" t="str">
        <x:v>apartamento</x:v>
      </x:c>
      <x:c r="H367" s="192" t="n">
        <x:v>2</x:v>
      </x:c>
      <x:c r="I367" s="192" t="n">
        <x:v>2</x:v>
      </x:c>
      <x:c r="J367" s="192" t="n">
        <x:v>8</x:v>
      </x:c>
      <x:c r="K367" s="192" t="n">
        <x:v>4</x:v>
      </x:c>
      <x:c r="L367" s="192" t="n">
        <x:v>6</x:v>
      </x:c>
      <x:c r="M367" s="192" t="n">
        <x:v>5</x:v>
      </x:c>
      <x:c r="N367" s="192" t="n">
        <x:v>220</x:v>
      </x:c>
      <x:c r="O367" s="192" t="n">
        <x:v>33</x:v>
      </x:c>
      <x:c r="P367" s="193" t="b">
        <x:v>1</x:v>
      </x:c>
      <x:c r="Q367" s="193" t="b">
        <x:v>0</x:v>
      </x:c>
      <x:c r="R367" s="193" t="b">
        <x:v>1</x:v>
      </x:c>
      <x:c r="S367" s="193" t="b">
        <x:v>0</x:v>
      </x:c>
      <x:c r="T367" s="192" t="n">
        <x:v>50</x:v>
      </x:c>
      <x:c r="U367" s="192" t="n">
        <x:v>40</x:v>
      </x:c>
      <x:c r="V367" s="200" t="n">
        <x:v>0.4444444444</x:v>
      </x:c>
      <x:c r="W367" s="203" t="n">
        <x:v>633.5</x:v>
      </x:c>
      <x:c r="X367" s="203" t="n">
        <x:v>26641.2097465588</x:v>
      </x:c>
      <x:c r="Y367" s="203" t="n">
        <x:v>68878.6276989156</x:v>
      </x:c>
      <x:c r="Z367" s="193" t="b">
        <x:v>1</x:v>
      </x:c>
      <x:c r="AA367" s="193" t="b">
        <x:v>0</x:v>
      </x:c>
      <x:c r="AB367" s="193" t="b">
        <x:v>0</x:v>
      </x:c>
      <x:c r="AC367" s="193" t="b">
        <x:v>1</x:v>
      </x:c>
      <x:c r="AD367" s="193" t="b">
        <x:v>1</x:v>
      </x:c>
      <x:c r="AE367" s="193" t="b">
        <x:v>1</x:v>
      </x:c>
      <x:c r="AF367" s="193" t="b">
        <x:v>1</x:v>
      </x:c>
      <x:c r="AG367" s="193" t="b">
        <x:v>1</x:v>
      </x:c>
      <x:c r="AH367" s="193" t="b">
        <x:v>1</x:v>
      </x:c>
      <x:c r="AI367" s="193" t="b">
        <x:v>1</x:v>
      </x:c>
      <x:c r="AJ367" s="193" t="b">
        <x:v>1</x:v>
      </x:c>
    </x:row>
    <x:row r="368">
      <x:c r="A368" s="192" t="n">
        <x:v>1055163452693752800</x:v>
      </x:c>
      <x:c r="B368" s="192" t="str">
        <x:v>https://www.airbnb.com.br/rooms/1055163452693752832</x:v>
      </x:c>
      <x:c r="C368" s="192" t="str">
        <x:v>Vista Privilegiada da Queima de Fogos</x:v>
      </x:c>
      <x:c r="D368" s="192" t="str">
        <x:v>Morretes</x:v>
      </x:c>
      <x:c r="E368" s="192" t="n">
        <x:v>-27.11629</x:v>
      </x:c>
      <x:c r="F368" s="192" t="n">
        <x:v>-48.61059</x:v>
      </x:c>
      <x:c r="G368" s="192" t="str">
        <x:v>apartamento</x:v>
      </x:c>
      <x:c r="H368" s="192" t="n">
        <x:v>2</x:v>
      </x:c>
      <x:c r="I368" s="192" t="n">
        <x:v>2</x:v>
      </x:c>
      <x:c r="J368" s="192" t="n">
        <x:v>2</x:v>
      </x:c>
      <x:c r="K368" s="192" t="n">
        <x:v>4</x:v>
      </x:c>
      <x:c r="L368" s="192" t="n">
        <x:v>16</x:v>
      </x:c>
      <x:c r="M368" s="192" t="n">
        <x:v>4.9400000572</x:v>
      </x:c>
      <x:c r="N368" s="192" t="n">
        <x:v>50</x:v>
      </x:c>
      <x:c r="O368" s="192" t="n">
        <x:v>19</x:v>
      </x:c>
      <x:c r="P368" s="193" t="b">
        <x:v>0</x:v>
      </x:c>
      <x:c r="Q368" s="193" t="b">
        <x:v>0</x:v>
      </x:c>
      <x:c r="R368" s="193" t="b">
        <x:v>1</x:v>
      </x:c>
      <x:c r="S368" s="193" t="b">
        <x:v>1</x:v>
      </x:c>
      <x:c r="T368" s="192" t="n">
        <x:v>71</x:v>
      </x:c>
      <x:c r="U368" s="192" t="n">
        <x:v>19</x:v>
      </x:c>
      <x:c r="V368" s="200" t="n">
        <x:v>0.2111111111</x:v>
      </x:c>
      <x:c r="W368" s="203" t="n">
        <x:v>500</x:v>
      </x:c>
      <x:c r="X368" s="203" t="n">
        <x:v>9624.8092282861</x:v>
      </x:c>
      <x:c r="Y368" s="203" t="n">
        <x:v>24884.1421922979</x:v>
      </x:c>
      <x:c r="Z368" s="193" t="b">
        <x:v>1</x:v>
      </x:c>
      <x:c r="AA368" s="193" t="b">
        <x:v>0</x:v>
      </x:c>
      <x:c r="AB368" s="193" t="b">
        <x:v>1</x:v>
      </x:c>
      <x:c r="AC368" s="193" t="b">
        <x:v>1</x:v>
      </x:c>
      <x:c r="AD368" s="193" t="b">
        <x:v>1</x:v>
      </x:c>
      <x:c r="AE368" s="193" t="b">
        <x:v>1</x:v>
      </x:c>
      <x:c r="AF368" s="193" t="b">
        <x:v>1</x:v>
      </x:c>
      <x:c r="AG368" s="193" t="b">
        <x:v>1</x:v>
      </x:c>
      <x:c r="AH368" s="193" t="b">
        <x:v>1</x:v>
      </x:c>
      <x:c r="AI368" s="193" t="b">
        <x:v>1</x:v>
      </x:c>
      <x:c r="AJ368" s="193" t="b">
        <x:v>0</x:v>
      </x:c>
    </x:row>
    <x:row r="369">
      <x:c r="A369" s="192" t="n">
        <x:v>957349094500016500</x:v>
      </x:c>
      <x:c r="B369" s="192" t="str">
        <x:v>https://www.airbnb.com.br/rooms/957349094500016515</x:v>
      </x:c>
      <x:c r="C369" s="192" t="str">
        <x:v>lindo e espaçoso apto itapema</x:v>
      </x:c>
      <x:c r="D369" s="192" t="str">
        <x:v>Centro</x:v>
      </x:c>
      <x:c r="E369" s="192" t="n">
        <x:v>-27.09051</x:v>
      </x:c>
      <x:c r="F369" s="192" t="n">
        <x:v>-48.61245</x:v>
      </x:c>
      <x:c r="G369" s="192" t="str">
        <x:v>apartamento</x:v>
      </x:c>
      <x:c r="H369" s="192" t="n">
        <x:v>2</x:v>
      </x:c>
      <x:c r="I369" s="192" t="n">
        <x:v>2</x:v>
      </x:c>
      <x:c r="J369" s="192" t="n">
        <x:v>2</x:v>
      </x:c>
      <x:c r="K369" s="192" t="n">
        <x:v>6</x:v>
      </x:c>
      <x:c r="L369" s="192" t="n">
        <x:v>11</x:v>
      </x:c>
      <x:c r="M369" s="192" t="n">
        <x:v>4.9099998474</x:v>
      </x:c>
      <x:c r="N369" s="192" t="n">
        <x:v>200</x:v>
      </x:c>
      <x:c r="O369" s="192" t="n">
        <x:v>15</x:v>
      </x:c>
      <x:c r="P369" s="193" t="b">
        <x:v>1</x:v>
      </x:c>
      <x:c r="Q369" s="193" t="b">
        <x:v>0</x:v>
      </x:c>
      <x:c r="R369" s="193" t="b">
        <x:v>1</x:v>
      </x:c>
      <x:c r="S369" s="193" t="b">
        <x:v>1</x:v>
      </x:c>
      <x:c r="T369" s="192" t="n">
        <x:v>82</x:v>
      </x:c>
      <x:c r="U369" s="192" t="n">
        <x:v>8</x:v>
      </x:c>
      <x:c r="V369" s="200" t="n">
        <x:v>0.0888888889</x:v>
      </x:c>
      <x:c r="W369" s="203" t="n">
        <x:v>699</x:v>
      </x:c>
      <x:c r="X369" s="203" t="n">
        <x:v>5578.0553685257</x:v>
      </x:c>
      <x:c r="Y369" s="203" t="n">
        <x:v>14421.5973173758</x:v>
      </x:c>
      <x:c r="Z369" s="193" t="b">
        <x:v>1</x:v>
      </x:c>
      <x:c r="AA369" s="193" t="b">
        <x:v>0</x:v>
      </x:c>
      <x:c r="AB369" s="193" t="b">
        <x:v>1</x:v>
      </x:c>
      <x:c r="AC369" s="193" t="b">
        <x:v>1</x:v>
      </x:c>
      <x:c r="AD369" s="193" t="b">
        <x:v>0</x:v>
      </x:c>
      <x:c r="AE369" s="193" t="b">
        <x:v>0</x:v>
      </x:c>
      <x:c r="AF369" s="193" t="b">
        <x:v>1</x:v>
      </x:c>
      <x:c r="AG369" s="193" t="b">
        <x:v>1</x:v>
      </x:c>
      <x:c r="AH369" s="193" t="b">
        <x:v>1</x:v>
      </x:c>
      <x:c r="AI369" s="193" t="b">
        <x:v>1</x:v>
      </x:c>
      <x:c r="AJ369" s="193" t="b">
        <x:v>1</x:v>
      </x:c>
    </x:row>
    <x:row r="370">
      <x:c r="A370" s="192" t="n">
        <x:v>53914255</x:v>
      </x:c>
      <x:c r="B370" s="192" t="str">
        <x:v>https://www.airbnb.com.br/rooms/53914255</x:v>
      </x:c>
      <x:c r="C370" s="192" t="str">
        <x:v>Apartamento 2 suítes Meia Praia</x:v>
      </x:c>
      <x:c r="D370" s="192" t="str">
        <x:v>Meia Praia</x:v>
      </x:c>
      <x:c r="E370" s="192" t="n">
        <x:v>-27.12743</x:v>
      </x:c>
      <x:c r="F370" s="192" t="n">
        <x:v>-48.60484</x:v>
      </x:c>
      <x:c r="G370" s="192" t="str">
        <x:v>apartamento</x:v>
      </x:c>
      <x:c r="H370" s="192" t="n">
        <x:v>2</x:v>
      </x:c>
      <x:c r="I370" s="192" t="n">
        <x:v>2</x:v>
      </x:c>
      <x:c r="J370" s="192" t="n">
        <x:v>2</x:v>
      </x:c>
      <x:c r="K370" s="192" t="n">
        <x:v>5</x:v>
      </x:c>
      <x:c r="L370" s="192" t="n">
        <x:v>8</x:v>
      </x:c>
      <x:c r="M370" s="192" t="n">
        <x:v>5</x:v>
      </x:c>
      <x:c r="N370" s="192" t="n">
        <x:v>300</x:v>
      </x:c>
      <x:c r="O370" s="192" t="n">
        <x:v>12</x:v>
      </x:c>
      <x:c r="P370" s="193" t="b">
        <x:v>1</x:v>
      </x:c>
      <x:c r="Q370" s="193" t="b">
        <x:v>1</x:v>
      </x:c>
      <x:c r="R370" s="193" t="b">
        <x:v>1</x:v>
      </x:c>
      <x:c r="S370" s="193" t="b">
        <x:v>1</x:v>
      </x:c>
      <x:c r="T370" s="192" t="n">
        <x:v>47</x:v>
      </x:c>
      <x:c r="U370" s="192" t="n">
        <x:v>43</x:v>
      </x:c>
      <x:c r="V370" s="200" t="n">
        <x:v>0.4777777778</x:v>
      </x:c>
      <x:c r="W370" s="203" t="n">
        <x:v>390</x:v>
      </x:c>
      <x:c r="X370" s="203" t="n">
        <x:v>16707.5928703521</x:v>
      </x:c>
      <x:c r="Y370" s="203" t="n">
        <x:v>43196.0890668894</x:v>
      </x:c>
      <x:c r="Z370" s="193" t="b">
        <x:v>1</x:v>
      </x:c>
      <x:c r="AA370" s="193" t="b">
        <x:v>0</x:v>
      </x:c>
      <x:c r="AB370" s="193" t="b">
        <x:v>1</x:v>
      </x:c>
      <x:c r="AC370" s="193" t="b">
        <x:v>1</x:v>
      </x:c>
      <x:c r="AD370" s="193" t="b">
        <x:v>1</x:v>
      </x:c>
      <x:c r="AE370" s="193" t="b">
        <x:v>0</x:v>
      </x:c>
      <x:c r="AF370" s="193" t="b">
        <x:v>1</x:v>
      </x:c>
      <x:c r="AG370" s="193" t="b">
        <x:v>1</x:v>
      </x:c>
      <x:c r="AH370" s="193" t="b">
        <x:v>1</x:v>
      </x:c>
      <x:c r="AI370" s="193" t="b">
        <x:v>1</x:v>
      </x:c>
      <x:c r="AJ370" s="193" t="b">
        <x:v>1</x:v>
      </x:c>
    </x:row>
    <x:row r="371">
      <x:c r="A371" s="192" t="n">
        <x:v>52530322</x:v>
      </x:c>
      <x:c r="B371" s="192" t="str">
        <x:v>https://www.airbnb.com.br/rooms/52530322</x:v>
      </x:c>
      <x:c r="C371" s="192" t="str">
        <x:v>Excelente apto próximo ao mar, 2 quartos  ar cond.</x:v>
      </x:c>
      <x:c r="D371" s="192" t="str">
        <x:v>Meia Praia</x:v>
      </x:c>
      <x:c r="E371" s="192" t="n">
        <x:v>-27.141527</x:v>
      </x:c>
      <x:c r="F371" s="192" t="n">
        <x:v>-48.594387</x:v>
      </x:c>
      <x:c r="G371" s="192" t="str">
        <x:v>apartamento</x:v>
      </x:c>
      <x:c r="H371" s="192" t="n">
        <x:v>2</x:v>
      </x:c>
      <x:c r="I371" s="192" t="n">
        <x:v>2</x:v>
      </x:c>
      <x:c r="J371" s="192" t="n">
        <x:v>3</x:v>
      </x:c>
      <x:c r="K371" s="192" t="n">
        <x:v>6</x:v>
      </x:c>
      <x:c r="L371" s="192" t="n">
        <x:v>11</x:v>
      </x:c>
      <x:c r="M371" s="192" t="n">
        <x:v>4.9099998474</x:v>
      </x:c>
      <x:c r="N371" s="192" t="n">
        <x:v>250</x:v>
      </x:c>
      <x:c r="O371" s="192" t="n">
        <x:v>14</x:v>
      </x:c>
      <x:c r="P371" s="193" t="b">
        <x:v>0</x:v>
      </x:c>
      <x:c r="Q371" s="193" t="b">
        <x:v>0</x:v>
      </x:c>
      <x:c r="R371" s="193" t="b">
        <x:v>0</x:v>
      </x:c>
      <x:c r="S371" s="193" t="b">
        <x:v>0</x:v>
      </x:c>
      <x:c r="T371" s="192" t="n">
        <x:v>74</x:v>
      </x:c>
      <x:c r="U371" s="192" t="n">
        <x:v>16</x:v>
      </x:c>
      <x:c r="V371" s="200" t="n">
        <x:v>0.1777777778</x:v>
      </x:c>
      <x:c r="W371" s="203" t="n">
        <x:v>450</x:v>
      </x:c>
      <x:c r="X371" s="203" t="n">
        <x:v>7176.4282314956</x:v>
      </x:c>
      <x:c r="Y371" s="203" t="n">
        <x:v>18554.057156846</x:v>
      </x:c>
      <x:c r="Z371" s="193" t="b">
        <x:v>1</x:v>
      </x:c>
      <x:c r="AA371" s="193" t="b">
        <x:v>0</x:v>
      </x:c>
      <x:c r="AB371" s="193" t="b">
        <x:v>1</x:v>
      </x:c>
      <x:c r="AC371" s="193" t="b">
        <x:v>1</x:v>
      </x:c>
      <x:c r="AD371" s="193" t="b">
        <x:v>1</x:v>
      </x:c>
      <x:c r="AE371" s="193" t="b">
        <x:v>1</x:v>
      </x:c>
      <x:c r="AF371" s="193" t="b">
        <x:v>1</x:v>
      </x:c>
      <x:c r="AG371" s="193" t="b">
        <x:v>1</x:v>
      </x:c>
      <x:c r="AH371" s="193" t="b">
        <x:v>1</x:v>
      </x:c>
      <x:c r="AI371" s="193" t="b">
        <x:v>1</x:v>
      </x:c>
      <x:c r="AJ371" s="193" t="b">
        <x:v>1</x:v>
      </x:c>
    </x:row>
    <x:row r="372">
      <x:c r="A372" s="192" t="n">
        <x:v>45002455</x:v>
      </x:c>
      <x:c r="B372" s="192" t="str">
        <x:v>https://www.airbnb.com.br/rooms/45002455</x:v>
      </x:c>
      <x:c r="C372" s="192" t="str">
        <x:v>Ótimo apartamento, bem localizado, 30m da praia!!</x:v>
      </x:c>
      <x:c r="D372" s="192" t="str">
        <x:v>Meia Praia</x:v>
      </x:c>
      <x:c r="E372" s="192" t="n">
        <x:v>-27.134</x:v>
      </x:c>
      <x:c r="F372" s="192" t="n">
        <x:v>-48.5981</x:v>
      </x:c>
      <x:c r="G372" s="192" t="str">
        <x:v>apartamento</x:v>
      </x:c>
      <x:c r="H372" s="192" t="n">
        <x:v>2</x:v>
      </x:c>
      <x:c r="I372" s="192" t="n">
        <x:v>2</x:v>
      </x:c>
      <x:c r="J372" s="192" t="n">
        <x:v>2</x:v>
      </x:c>
      <x:c r="K372" s="192" t="n">
        <x:v>5</x:v>
      </x:c>
      <x:c r="L372" s="192" t="n">
        <x:v>52</x:v>
      </x:c>
      <x:c r="M372" s="192" t="n">
        <x:v>4.6500000954</x:v>
      </x:c>
      <x:c r="N372" s="192" t="n">
        <x:v>300</x:v>
      </x:c>
      <x:c r="O372" s="192" t="n">
        <x:v>32</x:v>
      </x:c>
      <x:c r="P372" s="193" t="b">
        <x:v>0</x:v>
      </x:c>
      <x:c r="Q372" s="193" t="b">
        <x:v>0</x:v>
      </x:c>
      <x:c r="R372" s="193" t="b">
        <x:v>0</x:v>
      </x:c>
      <x:c r="S372" s="193" t="b">
        <x:v>0</x:v>
      </x:c>
      <x:c r="T372" s="192" t="n">
        <x:v>26</x:v>
      </x:c>
      <x:c r="U372" s="192" t="n">
        <x:v>64</x:v>
      </x:c>
      <x:c r="V372" s="200" t="n">
        <x:v>0.7111111111</x:v>
      </x:c>
      <x:c r="W372" s="203" t="n">
        <x:v>250</x:v>
      </x:c>
      <x:c r="X372" s="203" t="n">
        <x:v>15750.4598626451</x:v>
      </x:c>
      <x:c r="Y372" s="203" t="n">
        <x:v>40721.501436547</x:v>
      </x:c>
      <x:c r="Z372" s="193" t="b">
        <x:v>0</x:v>
      </x:c>
      <x:c r="AA372" s="193" t="b">
        <x:v>0</x:v>
      </x:c>
      <x:c r="AB372" s="193" t="b">
        <x:v>1</x:v>
      </x:c>
      <x:c r="AC372" s="193" t="b">
        <x:v>1</x:v>
      </x:c>
      <x:c r="AD372" s="193" t="b">
        <x:v>1</x:v>
      </x:c>
      <x:c r="AE372" s="193" t="b">
        <x:v>1</x:v>
      </x:c>
      <x:c r="AF372" s="193" t="b">
        <x:v>1</x:v>
      </x:c>
      <x:c r="AG372" s="193" t="b">
        <x:v>1</x:v>
      </x:c>
      <x:c r="AH372" s="193" t="b">
        <x:v>1</x:v>
      </x:c>
      <x:c r="AI372" s="193" t="b">
        <x:v>1</x:v>
      </x:c>
      <x:c r="AJ372" s="193" t="b">
        <x:v>1</x:v>
      </x:c>
    </x:row>
    <x:row r="373">
      <x:c r="A373" s="192" t="n">
        <x:v>37487828</x:v>
      </x:c>
      <x:c r="B373" s="192" t="str">
        <x:v>https://www.airbnb.com.br/rooms/37487828</x:v>
      </x:c>
      <x:c r="C373" s="192" t="str">
        <x:v>Meia Praia-Itapema/SC Ap 3 Dormitórios Completo</x:v>
      </x:c>
      <x:c r="D373" s="192" t="str">
        <x:v>Meia Praia</x:v>
      </x:c>
      <x:c r="E373" s="192" t="n">
        <x:v>-27.13755</x:v>
      </x:c>
      <x:c r="F373" s="192" t="n">
        <x:v>-48.59893</x:v>
      </x:c>
      <x:c r="G373" s="192" t="str">
        <x:v>apartamento</x:v>
      </x:c>
      <x:c r="H373" s="192" t="n">
        <x:v>3</x:v>
      </x:c>
      <x:c r="I373" s="192" t="n">
        <x:v>2</x:v>
      </x:c>
      <x:c r="J373" s="192" t="n">
        <x:v>6</x:v>
      </x:c>
      <x:c r="K373" s="192" t="n">
        <x:v>8</x:v>
      </x:c>
      <x:c r="L373" s="192" t="n">
        <x:v>96</x:v>
      </x:c>
      <x:c r="M373" s="192" t="n">
        <x:v>4.9800000191</x:v>
      </x:c>
      <x:c r="N373" s="192" t="n">
        <x:v>250</x:v>
      </x:c>
      <x:c r="O373" s="192" t="n">
        <x:v>31</x:v>
      </x:c>
      <x:c r="P373" s="193" t="b">
        <x:v>0</x:v>
      </x:c>
      <x:c r="Q373" s="193" t="b">
        <x:v>0</x:v>
      </x:c>
      <x:c r="R373" s="193" t="b">
        <x:v>1</x:v>
      </x:c>
      <x:c r="S373" s="193" t="b">
        <x:v>1</x:v>
      </x:c>
      <x:c r="T373" s="192" t="n">
        <x:v>43</x:v>
      </x:c>
      <x:c r="U373" s="192" t="n">
        <x:v>47</x:v>
      </x:c>
      <x:c r="V373" s="200" t="n">
        <x:v>0.5222222222</x:v>
      </x:c>
      <x:c r="W373" s="203" t="n">
        <x:v>380</x:v>
      </x:c>
      <x:c r="X373" s="203" t="n">
        <x:v>17705.0889148526</x:v>
      </x:c>
      <x:c r="Y373" s="203" t="n">
        <x:v>45775.0319652752</x:v>
      </x:c>
      <x:c r="Z373" s="193" t="b">
        <x:v>1</x:v>
      </x:c>
      <x:c r="AA373" s="193" t="b">
        <x:v>0</x:v>
      </x:c>
      <x:c r="AB373" s="193" t="b">
        <x:v>1</x:v>
      </x:c>
      <x:c r="AC373" s="193" t="b">
        <x:v>1</x:v>
      </x:c>
      <x:c r="AD373" s="193" t="b">
        <x:v>1</x:v>
      </x:c>
      <x:c r="AE373" s="193" t="b">
        <x:v>0</x:v>
      </x:c>
      <x:c r="AF373" s="193" t="b">
        <x:v>1</x:v>
      </x:c>
      <x:c r="AG373" s="193" t="b">
        <x:v>1</x:v>
      </x:c>
      <x:c r="AH373" s="193" t="b">
        <x:v>1</x:v>
      </x:c>
      <x:c r="AI373" s="193" t="b">
        <x:v>1</x:v>
      </x:c>
      <x:c r="AJ373" s="193" t="b">
        <x:v>1</x:v>
      </x:c>
    </x:row>
    <x:row r="374">
      <x:c r="A374" s="192" t="n">
        <x:v>1100720037663116800</x:v>
      </x:c>
      <x:c r="B374" s="192" t="str">
        <x:v>https://www.airbnb.com.br/rooms/1100720037663116812</x:v>
      </x:c>
      <x:c r="C374" s="192" t="str">
        <x:v>Apto 3 suítes próximo ao mar Itapema-SC VGA1002</x:v>
      </x:c>
      <x:c r="D374" s="192" t="str">
        <x:v>Centro</x:v>
      </x:c>
      <x:c r="E374" s="192" t="n">
        <x:v>-27.1000003815</x:v>
      </x:c>
      <x:c r="F374" s="192" t="n">
        <x:v>-48.6170005798</x:v>
      </x:c>
      <x:c r="G374" s="192" t="str">
        <x:v>apartamento</x:v>
      </x:c>
      <x:c r="H374" s="192" t="n">
        <x:v>3</x:v>
      </x:c>
      <x:c r="I374" s="192" t="n">
        <x:v>3</x:v>
      </x:c>
      <x:c r="J374" s="192" t="n">
        <x:v>3</x:v>
      </x:c>
      <x:c r="K374" s="192" t="n">
        <x:v>6</x:v>
      </x:c>
      <x:c r="L374" s="192" t="n">
        <x:v>15</x:v>
      </x:c>
      <x:c r="M374" s="192" t="n">
        <x:v>4.8699998856</x:v>
      </x:c>
      <x:c r="N374" s="192" t="n">
        <x:v>500</x:v>
      </x:c>
      <x:c r="O374" s="192" t="n">
        <x:v>21</x:v>
      </x:c>
      <x:c r="P374" s="193" t="b">
        <x:v>1</x:v>
      </x:c>
      <x:c r="Q374" s="193" t="b">
        <x:v>1</x:v>
      </x:c>
      <x:c r="R374" s="193" t="b">
        <x:v>1</x:v>
      </x:c>
      <x:c r="S374" s="193" t="b">
        <x:v>0</x:v>
      </x:c>
      <x:c r="T374" s="192" t="n">
        <x:v>62</x:v>
      </x:c>
      <x:c r="U374" s="192" t="n">
        <x:v>28</x:v>
      </x:c>
      <x:c r="V374" s="200" t="n">
        <x:v>0.3111111111</x:v>
      </x:c>
      <x:c r="W374" s="203" t="n">
        <x:v>842</x:v>
      </x:c>
      <x:c r="X374" s="203" t="n">
        <x:v>22932.3146970754</x:v>
      </x:c>
      <x:c r="Y374" s="203" t="n">
        <x:v>59289.5886230637</x:v>
      </x:c>
      <x:c r="Z374" s="193" t="b">
        <x:v>1</x:v>
      </x:c>
      <x:c r="AA374" s="193" t="b">
        <x:v>0</x:v>
      </x:c>
      <x:c r="AB374" s="193" t="b">
        <x:v>1</x:v>
      </x:c>
      <x:c r="AC374" s="193" t="b">
        <x:v>1</x:v>
      </x:c>
      <x:c r="AD374" s="193" t="b">
        <x:v>1</x:v>
      </x:c>
      <x:c r="AE374" s="193" t="b">
        <x:v>1</x:v>
      </x:c>
      <x:c r="AF374" s="193" t="b">
        <x:v>1</x:v>
      </x:c>
      <x:c r="AG374" s="193" t="b">
        <x:v>1</x:v>
      </x:c>
      <x:c r="AH374" s="193" t="b">
        <x:v>1</x:v>
      </x:c>
      <x:c r="AI374" s="193" t="b">
        <x:v>1</x:v>
      </x:c>
      <x:c r="AJ374" s="193" t="b">
        <x:v>1</x:v>
      </x:c>
    </x:row>
    <x:row r="375">
      <x:c r="A375" s="192" t="n">
        <x:v>1195858349379362000</x:v>
      </x:c>
      <x:c r="B375" s="192" t="str">
        <x:v>https://www.airbnb.com.br/rooms/1195858349379362032</x:v>
      </x:c>
      <x:c r="C375" s="192" t="str">
        <x:v>Apartamento Alto Padrão Centro</x:v>
      </x:c>
      <x:c r="D375" s="192" t="str">
        <x:v>Centro</x:v>
      </x:c>
      <x:c r="E375" s="192" t="n">
        <x:v>-27.0985446142</x:v>
      </x:c>
      <x:c r="F375" s="192" t="n">
        <x:v>-48.6146933958</x:v>
      </x:c>
      <x:c r="G375" s="192" t="str">
        <x:v>apartamento</x:v>
      </x:c>
      <x:c r="H375" s="192" t="n">
        <x:v>3</x:v>
      </x:c>
      <x:c r="I375" s="192" t="n">
        <x:v>3</x:v>
      </x:c>
      <x:c r="J375" s="192" t="n">
        <x:v>3</x:v>
      </x:c>
      <x:c r="K375" s="192" t="n">
        <x:v>8</x:v>
      </x:c>
      <x:c r="L375" s="192" t="n">
        <x:v>17</x:v>
      </x:c>
      <x:c r="M375" s="192" t="n">
        <x:v>4.7100000381</x:v>
      </x:c>
      <x:c r="N375" s="192" t="n">
        <x:v>330</x:v>
      </x:c>
      <x:c r="O375" s="192" t="n">
        <x:v>0</x:v>
      </x:c>
      <x:c r="P375" s="193" t="b">
        <x:v>0</x:v>
      </x:c>
      <x:c r="Q375" s="193" t="b">
        <x:v>0</x:v>
      </x:c>
      <x:c r="R375" s="193" t="b">
        <x:v>0</x:v>
      </x:c>
      <x:c r="S375" s="193" t="b">
        <x:v>1</x:v>
      </x:c>
      <x:c r="T375" s="192" t="n">
        <x:v>48</x:v>
      </x:c>
      <x:c r="U375" s="192" t="n">
        <x:v>42</x:v>
      </x:c>
      <x:c r="V375" s="200" t="n">
        <x:v>0.4666666667</x:v>
      </x:c>
      <x:c r="W375" s="203" t="n">
        <x:v>590</x:v>
      </x:c>
      <x:c r="X375" s="203" t="n">
        <x:v>25321.8453693769</x:v>
      </x:c>
      <x:c r="Y375" s="203" t="n">
        <x:v>65467.5210487432</x:v>
      </x:c>
      <x:c r="Z375" s="193" t="b">
        <x:v>1</x:v>
      </x:c>
      <x:c r="AA375" s="193" t="b">
        <x:v>0</x:v>
      </x:c>
      <x:c r="AB375" s="193" t="b">
        <x:v>1</x:v>
      </x:c>
      <x:c r="AC375" s="193" t="b">
        <x:v>1</x:v>
      </x:c>
      <x:c r="AD375" s="193" t="b">
        <x:v>1</x:v>
      </x:c>
      <x:c r="AE375" s="193" t="b">
        <x:v>1</x:v>
      </x:c>
      <x:c r="AF375" s="193" t="b">
        <x:v>1</x:v>
      </x:c>
      <x:c r="AG375" s="193" t="b">
        <x:v>1</x:v>
      </x:c>
      <x:c r="AH375" s="193" t="b">
        <x:v>1</x:v>
      </x:c>
      <x:c r="AI375" s="193" t="b">
        <x:v>1</x:v>
      </x:c>
      <x:c r="AJ375" s="193" t="b">
        <x:v>1</x:v>
      </x:c>
    </x:row>
    <x:row r="376">
      <x:c r="A376" s="192" t="n">
        <x:v>1161796266594364400</x:v>
      </x:c>
      <x:c r="B376" s="192" t="str">
        <x:v>https://www.airbnb.com.br/rooms/1161796266594364332</x:v>
      </x:c>
      <x:c r="C376" s="192" t="str">
        <x:v>Stúdio B - VIP c/cozinha Vista Mar, 1 min Pé Areia</x:v>
      </x:c>
      <x:c r="D376" s="192" t="str">
        <x:v>Centro</x:v>
      </x:c>
      <x:c r="E376" s="192" t="n">
        <x:v>-27.0932025909</x:v>
      </x:c>
      <x:c r="F376" s="192" t="n">
        <x:v>-48.613243103</x:v>
      </x:c>
      <x:c r="G376" s="192" t="str">
        <x:v>apartamento</x:v>
      </x:c>
      <x:c r="H376" s="192" t="n">
        <x:v>1</x:v>
      </x:c>
      <x:c r="I376" s="192" t="n">
        <x:v>1</x:v>
      </x:c>
      <x:c r="J376" s="192" t="n">
        <x:v>1</x:v>
      </x:c>
      <x:c r="K376" s="192" t="n">
        <x:v>2</x:v>
      </x:c>
      <x:c r="L376" s="192" t="n">
        <x:v>21</x:v>
      </x:c>
      <x:c r="M376" s="192" t="n">
        <x:v>5</x:v>
      </x:c>
      <x:c r="N376" s="192" t="n">
        <x:v>250</x:v>
      </x:c>
      <x:c r="O376" s="192" t="n">
        <x:v>57</x:v>
      </x:c>
      <x:c r="P376" s="193" t="b">
        <x:v>1</x:v>
      </x:c>
      <x:c r="Q376" s="193" t="b">
        <x:v>0</x:v>
      </x:c>
      <x:c r="R376" s="193" t="b">
        <x:v>1</x:v>
      </x:c>
      <x:c r="S376" s="193" t="b">
        <x:v>1</x:v>
      </x:c>
      <x:c r="T376" s="192" t="n">
        <x:v>25</x:v>
      </x:c>
      <x:c r="U376" s="192" t="n">
        <x:v>65</x:v>
      </x:c>
      <x:c r="V376" s="200" t="n">
        <x:v>0.7222222222</x:v>
      </x:c>
      <x:c r="W376" s="203" t="n">
        <x:v>450</x:v>
      </x:c>
      <x:c r="X376" s="203" t="n">
        <x:v>29897.3229168639</x:v>
      </x:c>
      <x:c r="Y376" s="203" t="n">
        <x:v>77297.0369579751</x:v>
      </x:c>
      <x:c r="Z376" s="193" t="b">
        <x:v>0</x:v>
      </x:c>
      <x:c r="AA376" s="193" t="b">
        <x:v>1</x:v>
      </x:c>
      <x:c r="AB376" s="193" t="b">
        <x:v>1</x:v>
      </x:c>
      <x:c r="AC376" s="193" t="b">
        <x:v>1</x:v>
      </x:c>
      <x:c r="AD376" s="193" t="b">
        <x:v>1</x:v>
      </x:c>
      <x:c r="AE376" s="193" t="b">
        <x:v>1</x:v>
      </x:c>
      <x:c r="AF376" s="193" t="b">
        <x:v>0</x:v>
      </x:c>
      <x:c r="AG376" s="193" t="b">
        <x:v>1</x:v>
      </x:c>
      <x:c r="AH376" s="193" t="b">
        <x:v>1</x:v>
      </x:c>
      <x:c r="AI376" s="193" t="b">
        <x:v>1</x:v>
      </x:c>
      <x:c r="AJ376" s="193" t="b">
        <x:v>0</x:v>
      </x:c>
    </x:row>
    <x:row r="377">
      <x:c r="A377" s="192" t="n">
        <x:v>16177778</x:v>
      </x:c>
      <x:c r="B377" s="192" t="str">
        <x:v>https://www.airbnb.com.br/rooms/16177778</x:v>
      </x:c>
      <x:c r="C377" s="192" t="str">
        <x:v>APARTAMENTO LUXUOSO com 3 Suítes</x:v>
      </x:c>
      <x:c r="D377" s="192" t="str">
        <x:v>Meia Praia</x:v>
      </x:c>
      <x:c r="E377" s="192" t="n">
        <x:v>-27.12398</x:v>
      </x:c>
      <x:c r="F377" s="192" t="n">
        <x:v>-48.6075</x:v>
      </x:c>
      <x:c r="G377" s="192" t="str">
        <x:v>apartamento</x:v>
      </x:c>
      <x:c r="H377" s="192" t="n">
        <x:v>3</x:v>
      </x:c>
      <x:c r="I377" s="192" t="n">
        <x:v>3</x:v>
      </x:c>
      <x:c r="J377" s="192" t="n">
        <x:v>4</x:v>
      </x:c>
      <x:c r="K377" s="192" t="n">
        <x:v>8</x:v>
      </x:c>
      <x:c r="L377" s="192" t="n">
        <x:v>9</x:v>
      </x:c>
      <x:c r="M377" s="192" t="n">
        <x:v>5</x:v>
      </x:c>
      <x:c r="N377" s="192" t="n">
        <x:v>300</x:v>
      </x:c>
      <x:c r="O377" s="192" t="n">
        <x:v>17</x:v>
      </x:c>
      <x:c r="P377" s="193" t="b">
        <x:v>0</x:v>
      </x:c>
      <x:c r="Q377" s="193" t="b">
        <x:v>0</x:v>
      </x:c>
      <x:c r="R377" s="193" t="b">
        <x:v>0</x:v>
      </x:c>
      <x:c r="S377" s="193" t="b">
        <x:v>1</x:v>
      </x:c>
      <x:c r="T377" s="192" t="n">
        <x:v>90</x:v>
      </x:c>
      <x:c r="U377" s="192" t="n">
        <x:v>0</x:v>
      </x:c>
      <x:c r="V377" s="200" t="n">
        <x:v>0</x:v>
      </x:c>
      <x:c r="W377" s="203" t="n">
        <x:v>600</x:v>
      </x:c>
      <x:c r="X377" s="203" t="n">
        <x:v>0</x:v>
      </x:c>
      <x:c r="Y377" s="203" t="n">
        <x:v>0</x:v>
      </x:c>
      <x:c r="Z377" s="193" t="b">
        <x:v>1</x:v>
      </x:c>
      <x:c r="AA377" s="193" t="b">
        <x:v>0</x:v>
      </x:c>
      <x:c r="AB377" s="193" t="b">
        <x:v>1</x:v>
      </x:c>
      <x:c r="AC377" s="193" t="b">
        <x:v>1</x:v>
      </x:c>
      <x:c r="AD377" s="193" t="b">
        <x:v>1</x:v>
      </x:c>
      <x:c r="AE377" s="193" t="b">
        <x:v>0</x:v>
      </x:c>
      <x:c r="AF377" s="193" t="b">
        <x:v>0</x:v>
      </x:c>
      <x:c r="AG377" s="193" t="b">
        <x:v>1</x:v>
      </x:c>
      <x:c r="AH377" s="193" t="b">
        <x:v>1</x:v>
      </x:c>
      <x:c r="AI377" s="193" t="b">
        <x:v>1</x:v>
      </x:c>
      <x:c r="AJ377" s="193" t="b">
        <x:v>1</x:v>
      </x:c>
    </x:row>
    <x:row r="378">
      <x:c r="A378" s="192" t="n">
        <x:v>1182028381058524200</x:v>
      </x:c>
      <x:c r="B378" s="192" t="str">
        <x:v>https://www.airbnb.com.br/rooms/1182028381058524086</x:v>
      </x:c>
      <x:c r="C378" s="192" t="str">
        <x:v>Apto aconchegante c/ vista mar em Itapema MHF1303</x:v>
      </x:c>
      <x:c r="D378" s="192" t="str">
        <x:v>Centro</x:v>
      </x:c>
      <x:c r="E378" s="192" t="n">
        <x:v>-27.0936893</x:v>
      </x:c>
      <x:c r="F378" s="192" t="n">
        <x:v>-48.6131638</x:v>
      </x:c>
      <x:c r="G378" s="192" t="str">
        <x:v>apartamento</x:v>
      </x:c>
      <x:c r="H378" s="192" t="n">
        <x:v>1</x:v>
      </x:c>
      <x:c r="I378" s="192" t="n">
        <x:v>1</x:v>
      </x:c>
      <x:c r="J378" s="192" t="n">
        <x:v>2</x:v>
      </x:c>
      <x:c r="K378" s="192" t="n">
        <x:v>4</x:v>
      </x:c>
      <x:c r="L378" s="192" t="n">
        <x:v>12</x:v>
      </x:c>
      <x:c r="M378" s="192" t="n">
        <x:v>5</x:v>
      </x:c>
      <x:c r="N378" s="192" t="n">
        <x:v>190</x:v>
      </x:c>
      <x:c r="O378" s="192" t="n">
        <x:v>0</x:v>
      </x:c>
      <x:c r="P378" s="193" t="b">
        <x:v>1</x:v>
      </x:c>
      <x:c r="Q378" s="193" t="b">
        <x:v>1</x:v>
      </x:c>
      <x:c r="R378" s="193" t="b">
        <x:v>1</x:v>
      </x:c>
      <x:c r="S378" s="193" t="b">
        <x:v>0</x:v>
      </x:c>
      <x:c r="T378" s="192" t="n">
        <x:v>33</x:v>
      </x:c>
      <x:c r="U378" s="192" t="n">
        <x:v>57</x:v>
      </x:c>
      <x:c r="V378" s="200" t="n">
        <x:v>0.6333333333</x:v>
      </x:c>
      <x:c r="W378" s="203" t="n">
        <x:v>520</x:v>
      </x:c>
      <x:c r="X378" s="203" t="n">
        <x:v>30388.4040203595</x:v>
      </x:c>
      <x:c r="Y378" s="203" t="n">
        <x:v>78566.6862276379</x:v>
      </x:c>
      <x:c r="Z378" s="193" t="b">
        <x:v>1</x:v>
      </x:c>
      <x:c r="AA378" s="193" t="b">
        <x:v>1</x:v>
      </x:c>
      <x:c r="AB378" s="193" t="b">
        <x:v>1</x:v>
      </x:c>
      <x:c r="AC378" s="193" t="b">
        <x:v>0</x:v>
      </x:c>
      <x:c r="AD378" s="193" t="b">
        <x:v>1</x:v>
      </x:c>
      <x:c r="AE378" s="193" t="b">
        <x:v>1</x:v>
      </x:c>
      <x:c r="AF378" s="193" t="b">
        <x:v>1</x:v>
      </x:c>
      <x:c r="AG378" s="193" t="b">
        <x:v>1</x:v>
      </x:c>
      <x:c r="AH378" s="193" t="b">
        <x:v>1</x:v>
      </x:c>
      <x:c r="AI378" s="193" t="b">
        <x:v>1</x:v>
      </x:c>
      <x:c r="AJ378" s="193" t="b">
        <x:v>0</x:v>
      </x:c>
    </x:row>
    <x:row r="379">
      <x:c r="A379" s="192" t="n">
        <x:v>22901902</x:v>
      </x:c>
      <x:c r="B379" s="192" t="str">
        <x:v>https://www.airbnb.com.br/rooms/22901902</x:v>
      </x:c>
      <x:c r="C379" s="192" t="str">
        <x:v>Lindo apto à 30m do mar, em Meia Praia</x:v>
      </x:c>
      <x:c r="D379" s="192" t="str">
        <x:v>Meia Praia</x:v>
      </x:c>
      <x:c r="E379" s="192" t="n">
        <x:v>-27.1420001984</x:v>
      </x:c>
      <x:c r="F379" s="192" t="n">
        <x:v>-48.5890007019</x:v>
      </x:c>
      <x:c r="G379" s="192" t="str">
        <x:v>apartamento</x:v>
      </x:c>
      <x:c r="H379" s="192" t="n">
        <x:v>3</x:v>
      </x:c>
      <x:c r="I379" s="192" t="n">
        <x:v>2</x:v>
      </x:c>
      <x:c r="J379" s="192" t="n">
        <x:v>3</x:v>
      </x:c>
      <x:c r="K379" s="192" t="n">
        <x:v>6</x:v>
      </x:c>
      <x:c r="L379" s="192" t="n">
        <x:v>29</x:v>
      </x:c>
      <x:c r="M379" s="192" t="n">
        <x:v>4.9299998283</x:v>
      </x:c>
      <x:c r="N379" s="192" t="n">
        <x:v>300</x:v>
      </x:c>
      <x:c r="O379" s="192" t="n">
        <x:v>28</x:v>
      </x:c>
      <x:c r="P379" s="193" t="b">
        <x:v>1</x:v>
      </x:c>
      <x:c r="Q379" s="193" t="b">
        <x:v>0</x:v>
      </x:c>
      <x:c r="R379" s="193" t="b">
        <x:v>1</x:v>
      </x:c>
      <x:c r="S379" s="193" t="b">
        <x:v>0</x:v>
      </x:c>
      <x:c r="T379" s="192" t="n">
        <x:v>81</x:v>
      </x:c>
      <x:c r="U379" s="192" t="n">
        <x:v>9</x:v>
      </x:c>
      <x:c r="V379" s="200" t="n">
        <x:v>0.1</x:v>
      </x:c>
      <x:c r="W379" s="203" t="n">
        <x:v>700</x:v>
      </x:c>
      <x:c r="X379" s="203" t="n">
        <x:v>6377.6364803959</x:v>
      </x:c>
      <x:c r="Y379" s="203" t="n">
        <x:v>16488.8476503569</x:v>
      </x:c>
      <x:c r="Z379" s="193" t="b">
        <x:v>1</x:v>
      </x:c>
      <x:c r="AA379" s="193" t="b">
        <x:v>0</x:v>
      </x:c>
      <x:c r="AB379" s="193" t="b">
        <x:v>1</x:v>
      </x:c>
      <x:c r="AC379" s="193" t="b">
        <x:v>1</x:v>
      </x:c>
      <x:c r="AD379" s="193" t="b">
        <x:v>1</x:v>
      </x:c>
      <x:c r="AE379" s="193" t="b">
        <x:v>0</x:v>
      </x:c>
      <x:c r="AF379" s="193" t="b">
        <x:v>1</x:v>
      </x:c>
      <x:c r="AG379" s="193" t="b">
        <x:v>1</x:v>
      </x:c>
      <x:c r="AH379" s="193" t="b">
        <x:v>1</x:v>
      </x:c>
      <x:c r="AI379" s="193" t="b">
        <x:v>1</x:v>
      </x:c>
      <x:c r="AJ379" s="193" t="b">
        <x:v>1</x:v>
      </x:c>
    </x:row>
    <x:row r="380">
      <x:c r="A380" s="192" t="n">
        <x:v>986245345084467600</x:v>
      </x:c>
      <x:c r="B380" s="192" t="str">
        <x:v>https://www.airbnb.com.br/rooms/986245345084467584</x:v>
      </x:c>
      <x:c r="C380" s="192" t="str">
        <x:v>Apto p ate 8 pessoas Meia Praia, 2 garagens, wi fi</x:v>
      </x:c>
      <x:c r="D380" s="192" t="str">
        <x:v>Meia Praia</x:v>
      </x:c>
      <x:c r="E380" s="192" t="n">
        <x:v>-27.1369991302</x:v>
      </x:c>
      <x:c r="F380" s="192" t="n">
        <x:v>-48.5999984741</x:v>
      </x:c>
      <x:c r="G380" s="192" t="str">
        <x:v>apartamento</x:v>
      </x:c>
      <x:c r="H380" s="192" t="n">
        <x:v>3</x:v>
      </x:c>
      <x:c r="I380" s="192" t="n">
        <x:v>3</x:v>
      </x:c>
      <x:c r="J380" s="192" t="n">
        <x:v>4</x:v>
      </x:c>
      <x:c r="K380" s="192" t="n">
        <x:v>8</x:v>
      </x:c>
      <x:c r="L380" s="192" t="n">
        <x:v>8</x:v>
      </x:c>
      <x:c r="M380" s="192" t="n">
        <x:v>5</x:v>
      </x:c>
      <x:c r="N380" s="192" t="n">
        <x:v>250</x:v>
      </x:c>
      <x:c r="O380" s="192" t="n">
        <x:v>29</x:v>
      </x:c>
      <x:c r="P380" s="193" t="b">
        <x:v>1</x:v>
      </x:c>
      <x:c r="Q380" s="193" t="b">
        <x:v>0</x:v>
      </x:c>
      <x:c r="R380" s="193" t="b">
        <x:v>1</x:v>
      </x:c>
      <x:c r="S380" s="193" t="b">
        <x:v>1</x:v>
      </x:c>
      <x:c r="T380" s="192" t="n">
        <x:v>86</x:v>
      </x:c>
      <x:c r="U380" s="192" t="n">
        <x:v>4</x:v>
      </x:c>
      <x:c r="V380" s="200" t="n">
        <x:v>0.0444444444</x:v>
      </x:c>
      <x:c r="W380" s="203" t="n">
        <x:v>800</x:v>
      </x:c>
      <x:c r="X380" s="203" t="n">
        <x:v>3310.4574327584</x:v>
      </x:c>
      <x:c r="Y380" s="203" t="n">
        <x:v>8558.9118209442</x:v>
      </x:c>
      <x:c r="Z380" s="193" t="b">
        <x:v>1</x:v>
      </x:c>
      <x:c r="AA380" s="193" t="b">
        <x:v>0</x:v>
      </x:c>
      <x:c r="AB380" s="193" t="b">
        <x:v>1</x:v>
      </x:c>
      <x:c r="AC380" s="193" t="b">
        <x:v>1</x:v>
      </x:c>
      <x:c r="AD380" s="193" t="b">
        <x:v>1</x:v>
      </x:c>
      <x:c r="AE380" s="193" t="b">
        <x:v>1</x:v>
      </x:c>
      <x:c r="AF380" s="193" t="b">
        <x:v>1</x:v>
      </x:c>
      <x:c r="AG380" s="193" t="b">
        <x:v>1</x:v>
      </x:c>
      <x:c r="AH380" s="193" t="b">
        <x:v>1</x:v>
      </x:c>
      <x:c r="AI380" s="193" t="b">
        <x:v>1</x:v>
      </x:c>
      <x:c r="AJ380" s="193" t="b">
        <x:v>1</x:v>
      </x:c>
    </x:row>
    <x:row r="381">
      <x:c r="A381" s="192" t="n">
        <x:v>52214716</x:v>
      </x:c>
      <x:c r="B381" s="192" t="str">
        <x:v>https://www.airbnb.com.br/rooms/52214716</x:v>
      </x:c>
      <x:c r="C381" s="192" t="str">
        <x:v>Vista Mar encantador até 11 hóspedes 204 Tela</x:v>
      </x:c>
      <x:c r="D381" s="192" t="str">
        <x:v>Meia Praia</x:v>
      </x:c>
      <x:c r="E381" s="192" t="n">
        <x:v>-27.13719</x:v>
      </x:c>
      <x:c r="F381" s="192" t="n">
        <x:v>-48.59333</x:v>
      </x:c>
      <x:c r="G381" s="192" t="str">
        <x:v>apartamento</x:v>
      </x:c>
      <x:c r="H381" s="192" t="n">
        <x:v>4</x:v>
      </x:c>
      <x:c r="I381" s="192" t="n">
        <x:v>3</x:v>
      </x:c>
      <x:c r="J381" s="192" t="n">
        <x:v>6</x:v>
      </x:c>
      <x:c r="K381" s="192" t="n">
        <x:v>11</x:v>
      </x:c>
      <x:c r="L381" s="192" t="n">
        <x:v>7</x:v>
      </x:c>
      <x:c r="M381" s="192" t="n">
        <x:v>5</x:v>
      </x:c>
      <x:c r="N381" s="192" t="n">
        <x:v>350</x:v>
      </x:c>
      <x:c r="O381" s="192" t="n">
        <x:v>31</x:v>
      </x:c>
      <x:c r="P381" s="193" t="b">
        <x:v>0</x:v>
      </x:c>
      <x:c r="Q381" s="193" t="b">
        <x:v>1</x:v>
      </x:c>
      <x:c r="R381" s="193" t="b">
        <x:v>0</x:v>
      </x:c>
      <x:c r="S381" s="193" t="b">
        <x:v>0</x:v>
      </x:c>
      <x:c r="T381" s="192" t="n">
        <x:v>76</x:v>
      </x:c>
      <x:c r="U381" s="192" t="n">
        <x:v>14</x:v>
      </x:c>
      <x:c r="V381" s="200" t="n">
        <x:v>0.1555555556</x:v>
      </x:c>
      <x:c r="W381" s="203" t="n">
        <x:v>1647</x:v>
      </x:c>
      <x:c r="X381" s="203" t="n">
        <x:v>22452.2215020427</x:v>
      </x:c>
      <x:c r="Y381" s="203" t="n">
        <x:v>58048.3476750729</x:v>
      </x:c>
      <x:c r="Z381" s="193" t="b">
        <x:v>1</x:v>
      </x:c>
      <x:c r="AA381" s="193" t="b">
        <x:v>0</x:v>
      </x:c>
      <x:c r="AB381" s="193" t="b">
        <x:v>1</x:v>
      </x:c>
      <x:c r="AC381" s="193" t="b">
        <x:v>1</x:v>
      </x:c>
      <x:c r="AD381" s="193" t="b">
        <x:v>1</x:v>
      </x:c>
      <x:c r="AE381" s="193" t="b">
        <x:v>1</x:v>
      </x:c>
      <x:c r="AF381" s="193" t="b">
        <x:v>1</x:v>
      </x:c>
      <x:c r="AG381" s="193" t="b">
        <x:v>1</x:v>
      </x:c>
      <x:c r="AH381" s="193" t="b">
        <x:v>1</x:v>
      </x:c>
      <x:c r="AI381" s="193" t="b">
        <x:v>1</x:v>
      </x:c>
      <x:c r="AJ381" s="193" t="b">
        <x:v>1</x:v>
      </x:c>
    </x:row>
    <x:row r="382">
      <x:c r="A382" s="192" t="n">
        <x:v>1125970477826966400</x:v>
      </x:c>
      <x:c r="B382" s="192" t="str">
        <x:v>https://www.airbnb.com.br/rooms/1125970477826966385</x:v>
      </x:c>
      <x:c r="C382" s="192" t="str">
        <x:v>Apto confortável a 5 min da praia, Itapema JZZ702</x:v>
      </x:c>
      <x:c r="D382" s="192" t="str">
        <x:v>Morretes</x:v>
      </x:c>
      <x:c r="E382" s="192" t="n">
        <x:v>-27.1170005798</x:v>
      </x:c>
      <x:c r="F382" s="192" t="n">
        <x:v>-48.611000061</x:v>
      </x:c>
      <x:c r="G382" s="192" t="str">
        <x:v>apartamento</x:v>
      </x:c>
      <x:c r="H382" s="192" t="n">
        <x:v>2</x:v>
      </x:c>
      <x:c r="I382" s="192" t="n">
        <x:v>2</x:v>
      </x:c>
      <x:c r="J382" s="192" t="n">
        <x:v>2</x:v>
      </x:c>
      <x:c r="K382" s="192" t="n">
        <x:v>4</x:v>
      </x:c>
      <x:c r="L382" s="192" t="n">
        <x:v>10</x:v>
      </x:c>
      <x:c r="M382" s="192" t="n">
        <x:v>4.5999999046</x:v>
      </x:c>
      <x:c r="N382" s="192" t="n">
        <x:v>400</x:v>
      </x:c>
      <x:c r="O382" s="192" t="n">
        <x:v>14</x:v>
      </x:c>
      <x:c r="P382" s="193" t="b">
        <x:v>1</x:v>
      </x:c>
      <x:c r="Q382" s="193" t="b">
        <x:v>1</x:v>
      </x:c>
      <x:c r="R382" s="193" t="b">
        <x:v>0</x:v>
      </x:c>
      <x:c r="S382" s="193" t="b">
        <x:v>0</x:v>
      </x:c>
      <x:c r="T382" s="192" t="n">
        <x:v>65</x:v>
      </x:c>
      <x:c r="U382" s="192" t="n">
        <x:v>25</x:v>
      </x:c>
      <x:c r="V382" s="200" t="n">
        <x:v>0.2777777778</x:v>
      </x:c>
      <x:c r="W382" s="203" t="n">
        <x:v>458</x:v>
      </x:c>
      <x:c r="X382" s="203" t="n">
        <x:v>11374.8654208141</x:v>
      </x:c>
      <x:c r="Y382" s="203" t="n">
        <x:v>29408.7666400632</x:v>
      </x:c>
      <x:c r="Z382" s="193" t="b">
        <x:v>1</x:v>
      </x:c>
      <x:c r="AA382" s="193" t="b">
        <x:v>0</x:v>
      </x:c>
      <x:c r="AB382" s="193" t="b">
        <x:v>1</x:v>
      </x:c>
      <x:c r="AC382" s="193" t="b">
        <x:v>1</x:v>
      </x:c>
      <x:c r="AD382" s="193" t="b">
        <x:v>1</x:v>
      </x:c>
      <x:c r="AE382" s="193" t="b">
        <x:v>0</x:v>
      </x:c>
      <x:c r="AF382" s="193" t="b">
        <x:v>1</x:v>
      </x:c>
      <x:c r="AG382" s="193" t="b">
        <x:v>1</x:v>
      </x:c>
      <x:c r="AH382" s="193" t="b">
        <x:v>1</x:v>
      </x:c>
      <x:c r="AI382" s="193" t="b">
        <x:v>1</x:v>
      </x:c>
      <x:c r="AJ382" s="193" t="b">
        <x:v>1</x:v>
      </x:c>
    </x:row>
    <x:row r="383">
      <x:c r="A383" s="192" t="n">
        <x:v>31454750</x:v>
      </x:c>
      <x:c r="B383" s="192" t="str">
        <x:v>https://www.airbnb.com.br/rooms/31454750</x:v>
      </x:c>
      <x:c r="C383" s="192" t="str">
        <x:v>Apto  50 m da praia de Itapema</x:v>
      </x:c>
      <x:c r="D383" s="192" t="str">
        <x:v>Canto da Praia</x:v>
      </x:c>
      <x:c r="E383" s="192" t="n">
        <x:v>-27.09186</x:v>
      </x:c>
      <x:c r="F383" s="192" t="n">
        <x:v>-48.60839</x:v>
      </x:c>
      <x:c r="G383" s="192" t="str">
        <x:v>apartamento</x:v>
      </x:c>
      <x:c r="H383" s="192" t="n">
        <x:v>2</x:v>
      </x:c>
      <x:c r="I383" s="192" t="n">
        <x:v>2</x:v>
      </x:c>
      <x:c r="J383" s="192" t="n">
        <x:v>2</x:v>
      </x:c>
      <x:c r="K383" s="192" t="n">
        <x:v>4</x:v>
      </x:c>
      <x:c r="L383" s="192" t="n">
        <x:v>38</x:v>
      </x:c>
      <x:c r="M383" s="192" t="n">
        <x:v>4.9499998093</x:v>
      </x:c>
      <x:c r="N383" s="192" t="n">
        <x:v>300</x:v>
      </x:c>
      <x:c r="O383" s="192" t="n">
        <x:v>34</x:v>
      </x:c>
      <x:c r="P383" s="193" t="b">
        <x:v>0</x:v>
      </x:c>
      <x:c r="Q383" s="193" t="b">
        <x:v>0</x:v>
      </x:c>
      <x:c r="R383" s="193" t="b">
        <x:v>1</x:v>
      </x:c>
      <x:c r="S383" s="193" t="b">
        <x:v>1</x:v>
      </x:c>
      <x:c r="T383" s="192" t="n">
        <x:v>58</x:v>
      </x:c>
      <x:c r="U383" s="192" t="n">
        <x:v>32</x:v>
      </x:c>
      <x:c r="V383" s="200" t="n">
        <x:v>0.3555555556</x:v>
      </x:c>
      <x:c r="W383" s="203" t="n">
        <x:v>479</x:v>
      </x:c>
      <x:c r="X383" s="203" t="n">
        <x:v>14750.4270977535</x:v>
      </x:c>
      <x:c r="Y383" s="203" t="n">
        <x:v>38136.0000589835</x:v>
      </x:c>
      <x:c r="Z383" s="193" t="b">
        <x:v>1</x:v>
      </x:c>
      <x:c r="AA383" s="193" t="b">
        <x:v>0</x:v>
      </x:c>
      <x:c r="AB383" s="193" t="b">
        <x:v>1</x:v>
      </x:c>
      <x:c r="AC383" s="193" t="b">
        <x:v>1</x:v>
      </x:c>
      <x:c r="AD383" s="193" t="b">
        <x:v>1</x:v>
      </x:c>
      <x:c r="AE383" s="193" t="b">
        <x:v>1</x:v>
      </x:c>
      <x:c r="AF383" s="193" t="b">
        <x:v>1</x:v>
      </x:c>
      <x:c r="AG383" s="193" t="b">
        <x:v>1</x:v>
      </x:c>
      <x:c r="AH383" s="193" t="b">
        <x:v>1</x:v>
      </x:c>
      <x:c r="AI383" s="193" t="b">
        <x:v>1</x:v>
      </x:c>
      <x:c r="AJ383" s="193" t="b">
        <x:v>1</x:v>
      </x:c>
    </x:row>
    <x:row r="384">
      <x:c r="A384" s="192" t="n">
        <x:v>1297930390704189700</x:v>
      </x:c>
      <x:c r="B384" s="192" t="str">
        <x:v>https://www.airbnb.com.br/rooms/1297930390704189766</x:v>
      </x:c>
      <x:c r="C384" s="192" t="str">
        <x:v>Lindo Estúdio c/ Piscina em Itapema IFT1405</x:v>
      </x:c>
      <x:c r="D384" s="192" t="str">
        <x:v>Meia Praia</x:v>
      </x:c>
      <x:c r="E384" s="192" t="n">
        <x:v>-27.1276039</x:v>
      </x:c>
      <x:c r="F384" s="192" t="n">
        <x:v>-48.6052271</x:v>
      </x:c>
      <x:c r="G384" s="192" t="str">
        <x:v>apartamento</x:v>
      </x:c>
      <x:c r="H384" s="192" t="n">
        <x:v>1</x:v>
      </x:c>
      <x:c r="I384" s="192" t="n">
        <x:v>1</x:v>
      </x:c>
      <x:c r="J384" s="192" t="n">
        <x:v>1</x:v>
      </x:c>
      <x:c r="K384" s="192" t="n">
        <x:v>2</x:v>
      </x:c>
      <x:c r="L384" s="192" t="n">
        <x:v>6</x:v>
      </x:c>
      <x:c r="M384" s="192" t="n">
        <x:v>5</x:v>
      </x:c>
      <x:c r="N384" s="192" t="n">
        <x:v>170</x:v>
      </x:c>
      <x:c r="O384" s="192" t="n">
        <x:v>0</x:v>
      </x:c>
      <x:c r="P384" s="193" t="b">
        <x:v>1</x:v>
      </x:c>
      <x:c r="Q384" s="193" t="b">
        <x:v>1</x:v>
      </x:c>
      <x:c r="R384" s="193" t="b">
        <x:v>1</x:v>
      </x:c>
      <x:c r="S384" s="193" t="b">
        <x:v>0</x:v>
      </x:c>
      <x:c r="T384" s="192" t="n">
        <x:v>70</x:v>
      </x:c>
      <x:c r="U384" s="192" t="n">
        <x:v>20</x:v>
      </x:c>
      <x:c r="V384" s="200" t="n">
        <x:v>0.2222222222</x:v>
      </x:c>
      <x:c r="W384" s="203" t="n">
        <x:v>516</x:v>
      </x:c>
      <x:c r="X384" s="203" t="n">
        <x:v>10276.8593031946</x:v>
      </x:c>
      <x:c r="Y384" s="203" t="n">
        <x:v>26569.9633234677</x:v>
      </x:c>
      <x:c r="Z384" s="193" t="b">
        <x:v>1</x:v>
      </x:c>
      <x:c r="AA384" s="193" t="b">
        <x:v>1</x:v>
      </x:c>
      <x:c r="AB384" s="193" t="b">
        <x:v>1</x:v>
      </x:c>
      <x:c r="AC384" s="193" t="b">
        <x:v>1</x:v>
      </x:c>
      <x:c r="AD384" s="193" t="b">
        <x:v>1</x:v>
      </x:c>
      <x:c r="AE384" s="193" t="b">
        <x:v>0</x:v>
      </x:c>
      <x:c r="AF384" s="193" t="b">
        <x:v>0</x:v>
      </x:c>
      <x:c r="AG384" s="193" t="b">
        <x:v>1</x:v>
      </x:c>
      <x:c r="AH384" s="193" t="b">
        <x:v>1</x:v>
      </x:c>
      <x:c r="AI384" s="193" t="b">
        <x:v>1</x:v>
      </x:c>
      <x:c r="AJ384" s="193" t="b">
        <x:v>0</x:v>
      </x:c>
    </x:row>
    <x:row r="385">
      <x:c r="A385" s="192" t="n">
        <x:v>675242237586865300</x:v>
      </x:c>
      <x:c r="B385" s="192" t="str">
        <x:v>https://www.airbnb.com.br/rooms/675242237586865339</x:v>
      </x:c>
      <x:c r="C385" s="192" t="str">
        <x:v>Dom Basílio perto do Mar Meia Praia Aconchegante</x:v>
      </x:c>
      <x:c r="D385" s="192" t="str">
        <x:v>Morretes</x:v>
      </x:c>
      <x:c r="E385" s="192" t="n">
        <x:v>-27.1178901266</x:v>
      </x:c>
      <x:c r="F385" s="192" t="n">
        <x:v>-48.6103804037</x:v>
      </x:c>
      <x:c r="G385" s="192" t="str">
        <x:v>apartamento</x:v>
      </x:c>
      <x:c r="H385" s="192" t="n">
        <x:v>2</x:v>
      </x:c>
      <x:c r="I385" s="192" t="n">
        <x:v>2</x:v>
      </x:c>
      <x:c r="J385" s="192" t="n">
        <x:v>3</x:v>
      </x:c>
      <x:c r="K385" s="192" t="n">
        <x:v>6</x:v>
      </x:c>
      <x:c r="L385" s="192" t="n">
        <x:v>6</x:v>
      </x:c>
      <x:c r="M385" s="192" t="n">
        <x:v>5</x:v>
      </x:c>
      <x:c r="N385" s="192" t="n">
        <x:v>250</x:v>
      </x:c>
      <x:c r="O385" s="192" t="n">
        <x:v>11</x:v>
      </x:c>
      <x:c r="P385" s="193" t="b">
        <x:v>0</x:v>
      </x:c>
      <x:c r="Q385" s="193" t="b">
        <x:v>0</x:v>
      </x:c>
      <x:c r="R385" s="193" t="b">
        <x:v>0</x:v>
      </x:c>
      <x:c r="S385" s="193" t="b">
        <x:v>1</x:v>
      </x:c>
      <x:c r="T385" s="192" t="n">
        <x:v>71</x:v>
      </x:c>
      <x:c r="U385" s="192" t="n">
        <x:v>19</x:v>
      </x:c>
      <x:c r="V385" s="200" t="n">
        <x:v>0.2111111111</x:v>
      </x:c>
      <x:c r="W385" s="203" t="n">
        <x:v>453.5</x:v>
      </x:c>
      <x:c r="X385" s="203" t="n">
        <x:v>8594.8560038995</x:v>
      </x:c>
      <x:c r="Y385" s="203" t="n">
        <x:v>22221.2839600819</x:v>
      </x:c>
      <x:c r="Z385" s="193" t="b">
        <x:v>1</x:v>
      </x:c>
      <x:c r="AA385" s="193" t="b">
        <x:v>0</x:v>
      </x:c>
      <x:c r="AB385" s="193" t="b">
        <x:v>1</x:v>
      </x:c>
      <x:c r="AC385" s="193" t="b">
        <x:v>1</x:v>
      </x:c>
      <x:c r="AD385" s="193" t="b">
        <x:v>0</x:v>
      </x:c>
      <x:c r="AE385" s="193" t="b">
        <x:v>0</x:v>
      </x:c>
      <x:c r="AF385" s="193" t="b">
        <x:v>1</x:v>
      </x:c>
      <x:c r="AG385" s="193" t="b">
        <x:v>1</x:v>
      </x:c>
      <x:c r="AH385" s="193" t="b">
        <x:v>1</x:v>
      </x:c>
      <x:c r="AI385" s="193" t="b">
        <x:v>1</x:v>
      </x:c>
      <x:c r="AJ385" s="193" t="b">
        <x:v>1</x:v>
      </x:c>
    </x:row>
    <x:row r="386">
      <x:c r="A386" s="192" t="n">
        <x:v>1234084273027568600</x:v>
      </x:c>
      <x:c r="B386" s="192" t="str">
        <x:v>https://www.airbnb.com.br/rooms/1234084273027568746</x:v>
      </x:c>
      <x:c r="C386" s="192" t="str">
        <x:v>Stúdio Charmoso com Vista Mar! - MHFA1306</x:v>
      </x:c>
      <x:c r="D386" s="192" t="str">
        <x:v>Centro</x:v>
      </x:c>
      <x:c r="E386" s="192" t="n">
        <x:v>-27.09231</x:v>
      </x:c>
      <x:c r="F386" s="192" t="n">
        <x:v>-48.61455</x:v>
      </x:c>
      <x:c r="G386" s="192" t="str">
        <x:v>apartamento</x:v>
      </x:c>
      <x:c r="H386" s="192" t="n">
        <x:v>1</x:v>
      </x:c>
      <x:c r="I386" s="192" t="n">
        <x:v>1</x:v>
      </x:c>
      <x:c r="J386" s="192" t="n">
        <x:v>2</x:v>
      </x:c>
      <x:c r="K386" s="192" t="n">
        <x:v>3</x:v>
      </x:c>
      <x:c r="L386" s="192" t="n">
        <x:v>13</x:v>
      </x:c>
      <x:c r="M386" s="192" t="n">
        <x:v>4.7699999809</x:v>
      </x:c>
      <x:c r="N386" s="192" t="n">
        <x:v>180</x:v>
      </x:c>
      <x:c r="O386" s="192" t="n">
        <x:v>0</x:v>
      </x:c>
      <x:c r="P386" s="193" t="b">
        <x:v>1</x:v>
      </x:c>
      <x:c r="Q386" s="193" t="b">
        <x:v>1</x:v>
      </x:c>
      <x:c r="R386" s="193" t="b">
        <x:v>0</x:v>
      </x:c>
      <x:c r="S386" s="193" t="b">
        <x:v>0</x:v>
      </x:c>
      <x:c r="T386" s="192" t="n">
        <x:v>51</x:v>
      </x:c>
      <x:c r="U386" s="192" t="n">
        <x:v>39</x:v>
      </x:c>
      <x:c r="V386" s="200" t="n">
        <x:v>0.4333333333</x:v>
      </x:c>
      <x:c r="W386" s="203" t="n">
        <x:v>372</x:v>
      </x:c>
      <x:c r="X386" s="203" t="n">
        <x:v>15194.3961922896</x:v>
      </x:c>
      <x:c r="Y386" s="203" t="n">
        <x:v>39283.845155482</x:v>
      </x:c>
      <x:c r="Z386" s="193" t="b">
        <x:v>1</x:v>
      </x:c>
      <x:c r="AA386" s="193" t="b">
        <x:v>1</x:v>
      </x:c>
      <x:c r="AB386" s="193" t="b">
        <x:v>1</x:v>
      </x:c>
      <x:c r="AC386" s="193" t="b">
        <x:v>1</x:v>
      </x:c>
      <x:c r="AD386" s="193" t="b">
        <x:v>1</x:v>
      </x:c>
      <x:c r="AE386" s="193" t="b">
        <x:v>1</x:v>
      </x:c>
      <x:c r="AF386" s="193" t="b">
        <x:v>1</x:v>
      </x:c>
      <x:c r="AG386" s="193" t="b">
        <x:v>1</x:v>
      </x:c>
      <x:c r="AH386" s="193" t="b">
        <x:v>1</x:v>
      </x:c>
      <x:c r="AI386" s="193" t="b">
        <x:v>1</x:v>
      </x:c>
      <x:c r="AJ386" s="193" t="b">
        <x:v>0</x:v>
      </x:c>
    </x:row>
    <x:row r="387">
      <x:c r="A387" s="192" t="n">
        <x:v>15523493</x:v>
      </x:c>
      <x:c r="B387" s="192" t="str">
        <x:v>https://www.airbnb.com.br/rooms/15523493</x:v>
      </x:c>
      <x:c r="C387" s="192" t="str">
        <x:v>Apartamento Vista Mar - 1 minuto da praia</x:v>
      </x:c>
      <x:c r="D387" s="192" t="str">
        <x:v>Meia Praia</x:v>
      </x:c>
      <x:c r="E387" s="192" t="n">
        <x:v>-27.1299324036</x:v>
      </x:c>
      <x:c r="F387" s="192" t="n">
        <x:v>-48.5996131897</x:v>
      </x:c>
      <x:c r="G387" s="192" t="str">
        <x:v>apartamento</x:v>
      </x:c>
      <x:c r="H387" s="192" t="n">
        <x:v>3</x:v>
      </x:c>
      <x:c r="I387" s="192" t="n">
        <x:v>2</x:v>
      </x:c>
      <x:c r="J387" s="192" t="n">
        <x:v>6</x:v>
      </x:c>
      <x:c r="K387" s="192" t="n">
        <x:v>8</x:v>
      </x:c>
      <x:c r="L387" s="192" t="n">
        <x:v>96</x:v>
      </x:c>
      <x:c r="M387" s="192" t="n">
        <x:v>4.9600000381</x:v>
      </x:c>
      <x:c r="N387" s="192" t="n">
        <x:v>250</x:v>
      </x:c>
      <x:c r="O387" s="192" t="n">
        <x:v>30</x:v>
      </x:c>
      <x:c r="P387" s="193" t="b">
        <x:v>1</x:v>
      </x:c>
      <x:c r="Q387" s="193" t="b">
        <x:v>0</x:v>
      </x:c>
      <x:c r="R387" s="193" t="b">
        <x:v>1</x:v>
      </x:c>
      <x:c r="S387" s="193" t="b">
        <x:v>1</x:v>
      </x:c>
      <x:c r="T387" s="192" t="n">
        <x:v>49</x:v>
      </x:c>
      <x:c r="U387" s="192" t="n">
        <x:v>41</x:v>
      </x:c>
      <x:c r="V387" s="200" t="n">
        <x:v>0.4555555556</x:v>
      </x:c>
      <x:c r="W387" s="203" t="n">
        <x:v>450</x:v>
      </x:c>
      <x:c r="X387" s="203" t="n">
        <x:v>18060.0633975868</x:v>
      </x:c>
      <x:c r="Y387" s="203" t="n">
        <x:v>46692.7889091776</x:v>
      </x:c>
      <x:c r="Z387" s="193" t="b">
        <x:v>1</x:v>
      </x:c>
      <x:c r="AA387" s="193" t="b">
        <x:v>0</x:v>
      </x:c>
      <x:c r="AB387" s="193" t="b">
        <x:v>1</x:v>
      </x:c>
      <x:c r="AC387" s="193" t="b">
        <x:v>1</x:v>
      </x:c>
      <x:c r="AD387" s="193" t="b">
        <x:v>1</x:v>
      </x:c>
      <x:c r="AE387" s="193" t="b">
        <x:v>0</x:v>
      </x:c>
      <x:c r="AF387" s="193" t="b">
        <x:v>1</x:v>
      </x:c>
      <x:c r="AG387" s="193" t="b">
        <x:v>1</x:v>
      </x:c>
      <x:c r="AH387" s="193" t="b">
        <x:v>1</x:v>
      </x:c>
      <x:c r="AI387" s="193" t="b">
        <x:v>1</x:v>
      </x:c>
      <x:c r="AJ387" s="193" t="b">
        <x:v>1</x:v>
      </x:c>
    </x:row>
    <x:row r="388">
      <x:c r="A388" s="192" t="n">
        <x:v>54237040</x:v>
      </x:c>
      <x:c r="B388" s="192" t="str">
        <x:v>https://www.airbnb.com.br/rooms/54237040</x:v>
      </x:c>
      <x:c r="C388" s="192" t="str">
        <x:v>Apartamento vista mar 200 metros da praia</x:v>
      </x:c>
      <x:c r="D388" s="192" t="str">
        <x:v>Meia Praia</x:v>
      </x:c>
      <x:c r="E388" s="192" t="n">
        <x:v>-27.125023</x:v>
      </x:c>
      <x:c r="F388" s="192" t="n">
        <x:v>-48.605911</x:v>
      </x:c>
      <x:c r="G388" s="192" t="str">
        <x:v>apartamento</x:v>
      </x:c>
      <x:c r="H388" s="192" t="n">
        <x:v>3</x:v>
      </x:c>
      <x:c r="I388" s="192" t="n">
        <x:v>2</x:v>
      </x:c>
      <x:c r="J388" s="192" t="n">
        <x:v>4</x:v>
      </x:c>
      <x:c r="K388" s="192" t="n">
        <x:v>8</x:v>
      </x:c>
      <x:c r="L388" s="192" t="n">
        <x:v>9</x:v>
      </x:c>
      <x:c r="M388" s="192" t="n">
        <x:v>5</x:v>
      </x:c>
      <x:c r="N388" s="192" t="n">
        <x:v>350</x:v>
      </x:c>
      <x:c r="O388" s="192" t="n">
        <x:v>17</x:v>
      </x:c>
      <x:c r="P388" s="193" t="b">
        <x:v>0</x:v>
      </x:c>
      <x:c r="Q388" s="193" t="b">
        <x:v>0</x:v>
      </x:c>
      <x:c r="R388" s="193" t="b">
        <x:v>1</x:v>
      </x:c>
      <x:c r="S388" s="193" t="b">
        <x:v>0</x:v>
      </x:c>
      <x:c r="T388" s="192" t="n">
        <x:v>66</x:v>
      </x:c>
      <x:c r="U388" s="192" t="n">
        <x:v>24</x:v>
      </x:c>
      <x:c r="V388" s="200" t="n">
        <x:v>0.2666666667</x:v>
      </x:c>
      <x:c r="W388" s="203" t="n">
        <x:v>700</x:v>
      </x:c>
      <x:c r="X388" s="203" t="n">
        <x:v>18138.6666409106</x:v>
      </x:c>
      <x:c r="Y388" s="203" t="n">
        <x:v>46896.0110445209</x:v>
      </x:c>
      <x:c r="Z388" s="193" t="b">
        <x:v>1</x:v>
      </x:c>
      <x:c r="AA388" s="193" t="b">
        <x:v>0</x:v>
      </x:c>
      <x:c r="AB388" s="193" t="b">
        <x:v>1</x:v>
      </x:c>
      <x:c r="AC388" s="193" t="b">
        <x:v>1</x:v>
      </x:c>
      <x:c r="AD388" s="193" t="b">
        <x:v>1</x:v>
      </x:c>
      <x:c r="AE388" s="193" t="b">
        <x:v>1</x:v>
      </x:c>
      <x:c r="AF388" s="193" t="b">
        <x:v>1</x:v>
      </x:c>
      <x:c r="AG388" s="193" t="b">
        <x:v>1</x:v>
      </x:c>
      <x:c r="AH388" s="193" t="b">
        <x:v>1</x:v>
      </x:c>
      <x:c r="AI388" s="193" t="b">
        <x:v>1</x:v>
      </x:c>
      <x:c r="AJ388" s="193" t="b">
        <x:v>1</x:v>
      </x:c>
    </x:row>
    <x:row r="389">
      <x:c r="A389" s="192" t="n">
        <x:v>1034873975277447800</x:v>
      </x:c>
      <x:c r="B389" s="192" t="str">
        <x:v>https://www.airbnb.com.br/rooms/1034873975277447845</x:v>
      </x:c>
      <x:c r="C389" s="192" t="str">
        <x:v>Belo Apto a 5 min da Praia de Itapema IVT1301</x:v>
      </x:c>
      <x:c r="D389" s="192" t="str">
        <x:v>Meia Praia</x:v>
      </x:c>
      <x:c r="E389" s="192" t="n">
        <x:v>-27.1270008087</x:v>
      </x:c>
      <x:c r="F389" s="192" t="n">
        <x:v>-48.6049995422</x:v>
      </x:c>
      <x:c r="G389" s="192" t="str">
        <x:v>apartamento</x:v>
      </x:c>
      <x:c r="H389" s="192" t="n">
        <x:v>3</x:v>
      </x:c>
      <x:c r="I389" s="192" t="n">
        <x:v>4</x:v>
      </x:c>
      <x:c r="J389" s="192" t="n">
        <x:v>3</x:v>
      </x:c>
      <x:c r="K389" s="192" t="n">
        <x:v>6</x:v>
      </x:c>
      <x:c r="L389" s="192" t="n">
        <x:v>16</x:v>
      </x:c>
      <x:c r="M389" s="192" t="n">
        <x:v>4.8800001144</x:v>
      </x:c>
      <x:c r="N389" s="192" t="n">
        <x:v>456</x:v>
      </x:c>
      <x:c r="O389" s="192" t="n">
        <x:v>44</x:v>
      </x:c>
      <x:c r="P389" s="193" t="b">
        <x:v>1</x:v>
      </x:c>
      <x:c r="Q389" s="193" t="b">
        <x:v>1</x:v>
      </x:c>
      <x:c r="R389" s="193" t="b">
        <x:v>1</x:v>
      </x:c>
      <x:c r="S389" s="193" t="b">
        <x:v>0</x:v>
      </x:c>
      <x:c r="T389" s="192" t="n">
        <x:v>51</x:v>
      </x:c>
      <x:c r="U389" s="192" t="n">
        <x:v>39</x:v>
      </x:c>
      <x:c r="V389" s="200" t="n">
        <x:v>0.4333333333</x:v>
      </x:c>
      <x:c r="W389" s="203" t="n">
        <x:v>640.5</x:v>
      </x:c>
      <x:c r="X389" s="203" t="n">
        <x:v>25368.7352656874</x:v>
      </x:c>
      <x:c r="Y389" s="203" t="n">
        <x:v>65588.7509681627</x:v>
      </x:c>
      <x:c r="Z389" s="193" t="b">
        <x:v>0</x:v>
      </x:c>
      <x:c r="AA389" s="193" t="b">
        <x:v>0</x:v>
      </x:c>
      <x:c r="AB389" s="193" t="b">
        <x:v>1</x:v>
      </x:c>
      <x:c r="AC389" s="193" t="b">
        <x:v>1</x:v>
      </x:c>
      <x:c r="AD389" s="193" t="b">
        <x:v>1</x:v>
      </x:c>
      <x:c r="AE389" s="193" t="b">
        <x:v>0</x:v>
      </x:c>
      <x:c r="AF389" s="193" t="b">
        <x:v>1</x:v>
      </x:c>
      <x:c r="AG389" s="193" t="b">
        <x:v>1</x:v>
      </x:c>
      <x:c r="AH389" s="193" t="b">
        <x:v>1</x:v>
      </x:c>
      <x:c r="AI389" s="193" t="b">
        <x:v>1</x:v>
      </x:c>
      <x:c r="AJ389" s="193" t="b">
        <x:v>1</x:v>
      </x:c>
    </x:row>
    <x:row r="390">
      <x:c r="A390" s="192" t="n">
        <x:v>32606991</x:v>
      </x:c>
      <x:c r="B390" s="192" t="str">
        <x:v>https://www.airbnb.com.br/rooms/32606991</x:v>
      </x:c>
      <x:c r="C390" s="192" t="str">
        <x:v>Apt. Amplo a 200mt da praia. AR, Wi-fi, Netflix</x:v>
      </x:c>
      <x:c r="D390" s="192" t="str">
        <x:v>Meia Praia</x:v>
      </x:c>
      <x:c r="E390" s="192" t="n">
        <x:v>-27.13012</x:v>
      </x:c>
      <x:c r="F390" s="192" t="n">
        <x:v>-48.6046</x:v>
      </x:c>
      <x:c r="G390" s="192" t="str">
        <x:v>apartamento</x:v>
      </x:c>
      <x:c r="H390" s="192" t="n">
        <x:v>3</x:v>
      </x:c>
      <x:c r="I390" s="192" t="n">
        <x:v>3</x:v>
      </x:c>
      <x:c r="J390" s="192" t="n">
        <x:v>4</x:v>
      </x:c>
      <x:c r="K390" s="192" t="n">
        <x:v>8</x:v>
      </x:c>
      <x:c r="L390" s="192" t="n">
        <x:v>22</x:v>
      </x:c>
      <x:c r="M390" s="192" t="n">
        <x:v>4.7699999809</x:v>
      </x:c>
      <x:c r="N390" s="192" t="n">
        <x:v>190</x:v>
      </x:c>
      <x:c r="O390" s="192" t="n">
        <x:v>20</x:v>
      </x:c>
      <x:c r="P390" s="193" t="b">
        <x:v>0</x:v>
      </x:c>
      <x:c r="Q390" s="193" t="b">
        <x:v>0</x:v>
      </x:c>
      <x:c r="R390" s="193" t="b">
        <x:v>0</x:v>
      </x:c>
      <x:c r="S390" s="193" t="b">
        <x:v>0</x:v>
      </x:c>
      <x:c r="T390" s="192" t="n">
        <x:v>61</x:v>
      </x:c>
      <x:c r="U390" s="192" t="n">
        <x:v>29</x:v>
      </x:c>
      <x:c r="V390" s="200" t="n">
        <x:v>0.3222222222</x:v>
      </x:c>
      <x:c r="W390" s="203" t="n">
        <x:v>536.5</x:v>
      </x:c>
      <x:c r="X390" s="203" t="n">
        <x:v>16641.224091802</x:v>
      </x:c>
      <x:c r="Y390" s="203" t="n">
        <x:v>43024.4981206798</x:v>
      </x:c>
      <x:c r="Z390" s="193" t="b">
        <x:v>1</x:v>
      </x:c>
      <x:c r="AA390" s="193" t="b">
        <x:v>0</x:v>
      </x:c>
      <x:c r="AB390" s="193" t="b">
        <x:v>1</x:v>
      </x:c>
      <x:c r="AC390" s="193" t="b">
        <x:v>1</x:v>
      </x:c>
      <x:c r="AD390" s="193" t="b">
        <x:v>1</x:v>
      </x:c>
      <x:c r="AE390" s="193" t="b">
        <x:v>0</x:v>
      </x:c>
      <x:c r="AF390" s="193" t="b">
        <x:v>1</x:v>
      </x:c>
      <x:c r="AG390" s="193" t="b">
        <x:v>1</x:v>
      </x:c>
      <x:c r="AH390" s="193" t="b">
        <x:v>1</x:v>
      </x:c>
      <x:c r="AI390" s="193" t="b">
        <x:v>1</x:v>
      </x:c>
      <x:c r="AJ390" s="193" t="b">
        <x:v>1</x:v>
      </x:c>
    </x:row>
    <x:row r="391">
      <x:c r="A391" s="192" t="n">
        <x:v>45911573</x:v>
      </x:c>
      <x:c r="B391" s="192" t="str">
        <x:v>https://www.airbnb.com.br/rooms/45911573</x:v>
      </x:c>
      <x:c r="C391" s="192" t="str">
        <x:v>Apartamento em Meia Praia</x:v>
      </x:c>
      <x:c r="D391" s="192" t="str">
        <x:v>Meia Praia</x:v>
      </x:c>
      <x:c r="E391" s="192" t="n">
        <x:v>-27.12817</x:v>
      </x:c>
      <x:c r="F391" s="192" t="n">
        <x:v>-48.60404</x:v>
      </x:c>
      <x:c r="G391" s="192" t="str">
        <x:v>apartamento</x:v>
      </x:c>
      <x:c r="H391" s="192" t="n">
        <x:v>3</x:v>
      </x:c>
      <x:c r="I391" s="192" t="n">
        <x:v>3</x:v>
      </x:c>
      <x:c r="J391" s="192" t="n">
        <x:v>3</x:v>
      </x:c>
      <x:c r="K391" s="192" t="n">
        <x:v>8</x:v>
      </x:c>
      <x:c r="L391" s="192" t="n">
        <x:v>11</x:v>
      </x:c>
      <x:c r="M391" s="192" t="n">
        <x:v>4.8200001717</x:v>
      </x:c>
      <x:c r="N391" s="192" t="n">
        <x:v>350</x:v>
      </x:c>
      <x:c r="O391" s="192" t="n">
        <x:v>33</x:v>
      </x:c>
      <x:c r="P391" s="193" t="b">
        <x:v>0</x:v>
      </x:c>
      <x:c r="Q391" s="193" t="b">
        <x:v>0</x:v>
      </x:c>
      <x:c r="R391" s="193" t="b">
        <x:v>1</x:v>
      </x:c>
      <x:c r="S391" s="193" t="b">
        <x:v>0</x:v>
      </x:c>
      <x:c r="T391" s="192" t="n">
        <x:v>21</x:v>
      </x:c>
      <x:c r="U391" s="192" t="n">
        <x:v>69</x:v>
      </x:c>
      <x:c r="V391" s="200" t="n">
        <x:v>0.7666666667</x:v>
      </x:c>
      <x:c r="W391" s="203" t="n">
        <x:v>750</x:v>
      </x:c>
      <x:c r="X391" s="203" t="n">
        <x:v>50033.3303919384</x:v>
      </x:c>
      <x:c r="Y391" s="203" t="n">
        <x:v>129357.0062841574</x:v>
      </x:c>
      <x:c r="Z391" s="193" t="b">
        <x:v>0</x:v>
      </x:c>
      <x:c r="AA391" s="193" t="b">
        <x:v>0</x:v>
      </x:c>
      <x:c r="AB391" s="193" t="b">
        <x:v>1</x:v>
      </x:c>
      <x:c r="AC391" s="193" t="b">
        <x:v>1</x:v>
      </x:c>
      <x:c r="AD391" s="193" t="b">
        <x:v>1</x:v>
      </x:c>
      <x:c r="AE391" s="193" t="b">
        <x:v>1</x:v>
      </x:c>
      <x:c r="AF391" s="193" t="b">
        <x:v>1</x:v>
      </x:c>
      <x:c r="AG391" s="193" t="b">
        <x:v>1</x:v>
      </x:c>
      <x:c r="AH391" s="193" t="b">
        <x:v>1</x:v>
      </x:c>
      <x:c r="AI391" s="193" t="b">
        <x:v>1</x:v>
      </x:c>
      <x:c r="AJ391" s="193" t="b">
        <x:v>1</x:v>
      </x:c>
    </x:row>
    <x:row r="392">
      <x:c r="A392" s="192" t="n">
        <x:v>38695314</x:v>
      </x:c>
      <x:c r="B392" s="192" t="str">
        <x:v>https://www.airbnb.com.br/rooms/38695314</x:v>
      </x:c>
      <x:c r="C392" s="192" t="str">
        <x:v>Apartamento familiar alto padrão, luxo, 2 vg garag</x:v>
      </x:c>
      <x:c r="D392" s="192" t="str">
        <x:v>Meia Praia</x:v>
      </x:c>
      <x:c r="E392" s="192" t="n">
        <x:v>-27.14043</x:v>
      </x:c>
      <x:c r="F392" s="192" t="n">
        <x:v>-48.59737</x:v>
      </x:c>
      <x:c r="G392" s="192" t="str">
        <x:v>apartamento</x:v>
      </x:c>
      <x:c r="H392" s="192" t="n">
        <x:v>3</x:v>
      </x:c>
      <x:c r="I392" s="192" t="n">
        <x:v>3</x:v>
      </x:c>
      <x:c r="J392" s="192" t="n">
        <x:v>5</x:v>
      </x:c>
      <x:c r="K392" s="192" t="n">
        <x:v>9</x:v>
      </x:c>
      <x:c r="L392" s="192" t="n">
        <x:v>62</x:v>
      </x:c>
      <x:c r="M392" s="192" t="n">
        <x:v>4.8499999046</x:v>
      </x:c>
      <x:c r="N392" s="192" t="n">
        <x:v>200</x:v>
      </x:c>
      <x:c r="O392" s="192" t="n">
        <x:v>20</x:v>
      </x:c>
      <x:c r="P392" s="193" t="b">
        <x:v>0</x:v>
      </x:c>
      <x:c r="Q392" s="193" t="b">
        <x:v>0</x:v>
      </x:c>
      <x:c r="R392" s="193" t="b">
        <x:v>1</x:v>
      </x:c>
      <x:c r="S392" s="193" t="b">
        <x:v>1</x:v>
      </x:c>
      <x:c r="T392" s="192" t="n">
        <x:v>53</x:v>
      </x:c>
      <x:c r="U392" s="192" t="n">
        <x:v>37</x:v>
      </x:c>
      <x:c r="V392" s="200" t="n">
        <x:v>0.4111111111</x:v>
      </x:c>
      <x:c r="W392" s="203" t="n">
        <x:v>500</x:v>
      </x:c>
      <x:c r="X392" s="203" t="n">
        <x:v>18583.151476747</x:v>
      </x:c>
      <x:c r="Y392" s="203" t="n">
        <x:v>48045.189547173</x:v>
      </x:c>
      <x:c r="Z392" s="193" t="b">
        <x:v>1</x:v>
      </x:c>
      <x:c r="AA392" s="193" t="b">
        <x:v>0</x:v>
      </x:c>
      <x:c r="AB392" s="193" t="b">
        <x:v>1</x:v>
      </x:c>
      <x:c r="AC392" s="193" t="b">
        <x:v>1</x:v>
      </x:c>
      <x:c r="AD392" s="193" t="b">
        <x:v>1</x:v>
      </x:c>
      <x:c r="AE392" s="193" t="b">
        <x:v>1</x:v>
      </x:c>
      <x:c r="AF392" s="193" t="b">
        <x:v>1</x:v>
      </x:c>
      <x:c r="AG392" s="193" t="b">
        <x:v>1</x:v>
      </x:c>
      <x:c r="AH392" s="193" t="b">
        <x:v>1</x:v>
      </x:c>
      <x:c r="AI392" s="193" t="b">
        <x:v>1</x:v>
      </x:c>
      <x:c r="AJ392" s="193" t="b">
        <x:v>0</x:v>
      </x:c>
    </x:row>
    <x:row r="393">
      <x:c r="A393" s="192" t="n">
        <x:v>802357806571870600</x:v>
      </x:c>
      <x:c r="B393" s="192" t="str">
        <x:v>https://www.airbnb.com.br/rooms/802357806571870530</x:v>
      </x:c>
      <x:c r="C393" s="192" t="str">
        <x:v>Koeche Family</x:v>
      </x:c>
      <x:c r="D393" s="192" t="str">
        <x:v>Meia Praia</x:v>
      </x:c>
      <x:c r="E393" s="192" t="n">
        <x:v>-27.13975</x:v>
      </x:c>
      <x:c r="F393" s="192" t="n">
        <x:v>-48.5954</x:v>
      </x:c>
      <x:c r="G393" s="192" t="str">
        <x:v>apartamento</x:v>
      </x:c>
      <x:c r="H393" s="192" t="n">
        <x:v>3</x:v>
      </x:c>
      <x:c r="I393" s="192" t="n">
        <x:v>3</x:v>
      </x:c>
      <x:c r="J393" s="192" t="n">
        <x:v>3</x:v>
      </x:c>
      <x:c r="K393" s="192" t="n">
        <x:v>6</x:v>
      </x:c>
      <x:c r="L393" s="192" t="n">
        <x:v>23</x:v>
      </x:c>
      <x:c r="M393" s="192" t="n">
        <x:v>4.9099998474</x:v>
      </x:c>
      <x:c r="N393" s="192" t="n">
        <x:v>150</x:v>
      </x:c>
      <x:c r="O393" s="192" t="n">
        <x:v>100</x:v>
      </x:c>
      <x:c r="P393" s="193" t="b">
        <x:v>0</x:v>
      </x:c>
      <x:c r="Q393" s="193" t="b">
        <x:v>0</x:v>
      </x:c>
      <x:c r="R393" s="193" t="b">
        <x:v>0</x:v>
      </x:c>
      <x:c r="S393" s="193" t="b">
        <x:v>1</x:v>
      </x:c>
      <x:c r="T393" s="192" t="n">
        <x:v>55</x:v>
      </x:c>
      <x:c r="U393" s="192" t="n">
        <x:v>35</x:v>
      </x:c>
      <x:c r="V393" s="200" t="n">
        <x:v>0.3888888889</x:v>
      </x:c>
      <x:c r="W393" s="203" t="n">
        <x:v>680</x:v>
      </x:c>
      <x:c r="X393" s="203" t="n">
        <x:v>25372.1024146844</x:v>
      </x:c>
      <x:c r="Y393" s="203" t="n">
        <x:v>65597.4564512985</x:v>
      </x:c>
      <x:c r="Z393" s="193" t="b">
        <x:v>1</x:v>
      </x:c>
      <x:c r="AA393" s="193" t="b">
        <x:v>0</x:v>
      </x:c>
      <x:c r="AB393" s="193" t="b">
        <x:v>1</x:v>
      </x:c>
      <x:c r="AC393" s="193" t="b">
        <x:v>1</x:v>
      </x:c>
      <x:c r="AD393" s="193" t="b">
        <x:v>1</x:v>
      </x:c>
      <x:c r="AE393" s="193" t="b">
        <x:v>1</x:v>
      </x:c>
      <x:c r="AF393" s="193" t="b">
        <x:v>1</x:v>
      </x:c>
      <x:c r="AG393" s="193" t="b">
        <x:v>1</x:v>
      </x:c>
      <x:c r="AH393" s="193" t="b">
        <x:v>1</x:v>
      </x:c>
      <x:c r="AI393" s="193" t="b">
        <x:v>1</x:v>
      </x:c>
      <x:c r="AJ393" s="193" t="b">
        <x:v>0</x:v>
      </x:c>
    </x:row>
    <x:row r="394">
      <x:c r="A394" s="192" t="n">
        <x:v>936216057908307800</x:v>
      </x:c>
      <x:c r="B394" s="192" t="str">
        <x:v>https://www.airbnb.com.br/rooms/936216057908307884</x:v>
      </x:c>
      <x:c r="C394" s="192" t="str">
        <x:v>Sobrado aconchegante 2 suítes 2 garagens 3 banheir</x:v>
      </x:c>
      <x:c r="D394" s="192" t="str">
        <x:v>Morretes</x:v>
      </x:c>
      <x:c r="E394" s="192" t="n">
        <x:v>-27.1210002899</x:v>
      </x:c>
      <x:c r="F394" s="192" t="n">
        <x:v>-48.6170005798</x:v>
      </x:c>
      <x:c r="G394" s="192" t="str">
        <x:v>casa</x:v>
      </x:c>
      <x:c r="H394" s="192" t="n">
        <x:v>2</x:v>
      </x:c>
      <x:c r="I394" s="192" t="n">
        <x:v>2</x:v>
      </x:c>
      <x:c r="J394" s="192" t="n">
        <x:v>3</x:v>
      </x:c>
      <x:c r="K394" s="192" t="n">
        <x:v>8</x:v>
      </x:c>
      <x:c r="L394" s="192" t="n">
        <x:v>12</x:v>
      </x:c>
      <x:c r="M394" s="192" t="n">
        <x:v>4.9200000763</x:v>
      </x:c>
      <x:c r="N394" s="192" t="n">
        <x:v>195</x:v>
      </x:c>
      <x:c r="O394" s="192" t="n">
        <x:v>39</x:v>
      </x:c>
      <x:c r="P394" s="193" t="b">
        <x:v>0</x:v>
      </x:c>
      <x:c r="Q394" s="193" t="b">
        <x:v>0</x:v>
      </x:c>
      <x:c r="R394" s="193" t="b">
        <x:v>1</x:v>
      </x:c>
      <x:c r="S394" s="193" t="b">
        <x:v>1</x:v>
      </x:c>
      <x:c r="T394" s="192" t="n">
        <x:v>61</x:v>
      </x:c>
      <x:c r="U394" s="192" t="n">
        <x:v>29</x:v>
      </x:c>
      <x:c r="V394" s="200" t="n">
        <x:v>0.3222222222</x:v>
      </x:c>
      <x:c r="W394" s="203" t="n">
        <x:v>440</x:v>
      </x:c>
      <x:c r="X394" s="203" t="n">
        <x:v>12699.270294599</x:v>
      </x:c>
      <x:c r="Y394" s="203" t="n">
        <x:v>32832.9050741612</x:v>
      </x:c>
      <x:c r="Z394" s="193" t="b">
        <x:v>1</x:v>
      </x:c>
      <x:c r="AA394" s="193" t="b">
        <x:v>0</x:v>
      </x:c>
      <x:c r="AB394" s="193" t="b">
        <x:v>1</x:v>
      </x:c>
      <x:c r="AC394" s="193" t="b">
        <x:v>1</x:v>
      </x:c>
      <x:c r="AD394" s="193" t="b">
        <x:v>0</x:v>
      </x:c>
      <x:c r="AE394" s="193" t="b">
        <x:v>0</x:v>
      </x:c>
      <x:c r="AF394" s="193" t="b">
        <x:v>1</x:v>
      </x:c>
      <x:c r="AG394" s="193" t="b">
        <x:v>1</x:v>
      </x:c>
      <x:c r="AH394" s="193" t="b">
        <x:v>1</x:v>
      </x:c>
      <x:c r="AI394" s="193" t="b">
        <x:v>1</x:v>
      </x:c>
      <x:c r="AJ394" s="193" t="b">
        <x:v>0</x:v>
      </x:c>
    </x:row>
    <x:row r="395">
      <x:c r="A395" s="192" t="n">
        <x:v>29870406</x:v>
      </x:c>
      <x:c r="B395" s="192" t="str">
        <x:v>https://www.airbnb.com.br/rooms/29870406</x:v>
      </x:c>
      <x:c r="C395" s="192" t="str">
        <x:v>Cobertura com wifi próxima ao mar e shopping Russi</x:v>
      </x:c>
      <x:c r="D395" s="192" t="str">
        <x:v>Meia Praia</x:v>
      </x:c>
      <x:c r="E395" s="192" t="n">
        <x:v>-27.12975</x:v>
      </x:c>
      <x:c r="F395" s="192" t="n">
        <x:v>-48.60284</x:v>
      </x:c>
      <x:c r="G395" s="192" t="str">
        <x:v>apartamento</x:v>
      </x:c>
      <x:c r="H395" s="192" t="n">
        <x:v>3</x:v>
      </x:c>
      <x:c r="I395" s="192" t="n">
        <x:v>3</x:v>
      </x:c>
      <x:c r="J395" s="192" t="n">
        <x:v>5</x:v>
      </x:c>
      <x:c r="K395" s="192" t="n">
        <x:v>11</x:v>
      </x:c>
      <x:c r="L395" s="192" t="n">
        <x:v>25</x:v>
      </x:c>
      <x:c r="M395" s="192" t="n">
        <x:v>4.9600000381</x:v>
      </x:c>
      <x:c r="N395" s="192" t="n">
        <x:v>250</x:v>
      </x:c>
      <x:c r="O395" s="192" t="n">
        <x:v>19</x:v>
      </x:c>
      <x:c r="P395" s="193" t="b">
        <x:v>1</x:v>
      </x:c>
      <x:c r="Q395" s="193" t="b">
        <x:v>0</x:v>
      </x:c>
      <x:c r="R395" s="193" t="b">
        <x:v>1</x:v>
      </x:c>
      <x:c r="S395" s="193" t="b">
        <x:v>1</x:v>
      </x:c>
      <x:c r="T395" s="192" t="n">
        <x:v>65</x:v>
      </x:c>
      <x:c r="U395" s="192" t="n">
        <x:v>25</x:v>
      </x:c>
      <x:c r="V395" s="200" t="n">
        <x:v>0.2777777778</x:v>
      </x:c>
      <x:c r="W395" s="203" t="n">
        <x:v>967</x:v>
      </x:c>
      <x:c r="X395" s="203" t="n">
        <x:v>23741.4207236088</x:v>
      </x:c>
      <x:c r="Y395" s="203" t="n">
        <x:v>61381.4648291635</x:v>
      </x:c>
      <x:c r="Z395" s="193" t="b">
        <x:v>1</x:v>
      </x:c>
      <x:c r="AA395" s="193" t="b">
        <x:v>0</x:v>
      </x:c>
      <x:c r="AB395" s="193" t="b">
        <x:v>1</x:v>
      </x:c>
      <x:c r="AC395" s="193" t="b">
        <x:v>1</x:v>
      </x:c>
      <x:c r="AD395" s="193" t="b">
        <x:v>1</x:v>
      </x:c>
      <x:c r="AE395" s="193" t="b">
        <x:v>0</x:v>
      </x:c>
      <x:c r="AF395" s="193" t="b">
        <x:v>1</x:v>
      </x:c>
      <x:c r="AG395" s="193" t="b">
        <x:v>1</x:v>
      </x:c>
      <x:c r="AH395" s="193" t="b">
        <x:v>1</x:v>
      </x:c>
      <x:c r="AI395" s="193" t="b">
        <x:v>1</x:v>
      </x:c>
      <x:c r="AJ395" s="193" t="b">
        <x:v>0</x:v>
      </x:c>
    </x:row>
    <x:row r="396">
      <x:c r="A396" s="192" t="n">
        <x:v>53133732</x:v>
      </x:c>
      <x:c r="B396" s="192" t="str">
        <x:v>https://www.airbnb.com.br/rooms/53133732</x:v>
      </x:c>
      <x:c r="C396" s="192" t="str">
        <x:v>Prédio Frente Mar top até 6 hóspedes Rua 291</x:v>
      </x:c>
      <x:c r="D396" s="192" t="str">
        <x:v>Meia Praia</x:v>
      </x:c>
      <x:c r="E396" s="192" t="n">
        <x:v>-27.13867</x:v>
      </x:c>
      <x:c r="F396" s="192" t="n">
        <x:v>-48.59181</x:v>
      </x:c>
      <x:c r="G396" s="192" t="str">
        <x:v>apartamento</x:v>
      </x:c>
      <x:c r="H396" s="192" t="n">
        <x:v>2</x:v>
      </x:c>
      <x:c r="I396" s="192" t="n">
        <x:v>2</x:v>
      </x:c>
      <x:c r="J396" s="192" t="n">
        <x:v>3</x:v>
      </x:c>
      <x:c r="K396" s="192" t="n">
        <x:v>6</x:v>
      </x:c>
      <x:c r="L396" s="192" t="n">
        <x:v>10</x:v>
      </x:c>
      <x:c r="M396" s="192" t="n">
        <x:v>5</x:v>
      </x:c>
      <x:c r="N396" s="192" t="n">
        <x:v>350</x:v>
      </x:c>
      <x:c r="O396" s="192" t="n">
        <x:v>36</x:v>
      </x:c>
      <x:c r="P396" s="193" t="b">
        <x:v>0</x:v>
      </x:c>
      <x:c r="Q396" s="193" t="b">
        <x:v>1</x:v>
      </x:c>
      <x:c r="R396" s="193" t="b">
        <x:v>1</x:v>
      </x:c>
      <x:c r="S396" s="193" t="b">
        <x:v>0</x:v>
      </x:c>
      <x:c r="T396" s="192" t="n">
        <x:v>72</x:v>
      </x:c>
      <x:c r="U396" s="192" t="n">
        <x:v>18</x:v>
      </x:c>
      <x:c r="V396" s="200" t="n">
        <x:v>0.2</x:v>
      </x:c>
      <x:c r="W396" s="203" t="n">
        <x:v>673</x:v>
      </x:c>
      <x:c r="X396" s="203" t="n">
        <x:v>12077.2594339218</x:v>
      </x:c>
      <x:c r="Y396" s="203" t="n">
        <x:v>31224.7478281185</x:v>
      </x:c>
      <x:c r="Z396" s="193" t="b">
        <x:v>1</x:v>
      </x:c>
      <x:c r="AA396" s="193" t="b">
        <x:v>0</x:v>
      </x:c>
      <x:c r="AB396" s="193" t="b">
        <x:v>1</x:v>
      </x:c>
      <x:c r="AC396" s="193" t="b">
        <x:v>1</x:v>
      </x:c>
      <x:c r="AD396" s="193" t="b">
        <x:v>0</x:v>
      </x:c>
      <x:c r="AE396" s="193" t="b">
        <x:v>0</x:v>
      </x:c>
      <x:c r="AF396" s="193" t="b">
        <x:v>1</x:v>
      </x:c>
      <x:c r="AG396" s="193" t="b">
        <x:v>0</x:v>
      </x:c>
      <x:c r="AH396" s="193" t="b">
        <x:v>1</x:v>
      </x:c>
      <x:c r="AI396" s="193" t="b">
        <x:v>1</x:v>
      </x:c>
      <x:c r="AJ396" s="193" t="b">
        <x:v>0</x:v>
      </x:c>
    </x:row>
    <x:row r="397">
      <x:c r="A397" s="192" t="n">
        <x:v>746451645715267100</x:v>
      </x:c>
      <x:c r="B397" s="192" t="str">
        <x:v>https://www.airbnb.com.br/rooms/746451645715267085</x:v>
      </x:c>
      <x:c r="C397" s="192" t="str">
        <x:v>Apartamento novo e encantador com vista para o mar</x:v>
      </x:c>
      <x:c r="D397" s="192" t="str">
        <x:v>Meia Praia</x:v>
      </x:c>
      <x:c r="E397" s="192" t="n">
        <x:v>-27.1308307648</x:v>
      </x:c>
      <x:c r="F397" s="192" t="n">
        <x:v>-48.6016616821</x:v>
      </x:c>
      <x:c r="G397" s="192" t="str">
        <x:v>apartamento</x:v>
      </x:c>
      <x:c r="H397" s="192" t="n">
        <x:v>3</x:v>
      </x:c>
      <x:c r="I397" s="192" t="n">
        <x:v>3</x:v>
      </x:c>
      <x:c r="J397" s="192" t="n">
        <x:v>3</x:v>
      </x:c>
      <x:c r="K397" s="192" t="n">
        <x:v>9</x:v>
      </x:c>
      <x:c r="L397" s="192" t="n">
        <x:v>7</x:v>
      </x:c>
      <x:c r="M397" s="192" t="n">
        <x:v>5</x:v>
      </x:c>
      <x:c r="N397" s="192" t="n">
        <x:v>400</x:v>
      </x:c>
      <x:c r="O397" s="192" t="n">
        <x:v>20</x:v>
      </x:c>
      <x:c r="P397" s="193" t="b">
        <x:v>0</x:v>
      </x:c>
      <x:c r="Q397" s="193" t="b">
        <x:v>0</x:v>
      </x:c>
      <x:c r="R397" s="193" t="b">
        <x:v>1</x:v>
      </x:c>
      <x:c r="S397" s="193" t="b">
        <x:v>0</x:v>
      </x:c>
      <x:c r="T397" s="192" t="n">
        <x:v>89</x:v>
      </x:c>
      <x:c r="U397" s="192" t="n">
        <x:v>1</x:v>
      </x:c>
      <x:c r="V397" s="200" t="n">
        <x:v>0.0111111111</x:v>
      </x:c>
      <x:c r="W397" s="203" t="n">
        <x:v>900</x:v>
      </x:c>
      <x:c r="X397" s="203" t="n">
        <x:v>905.8587425245</x:v>
      </x:c>
      <x:c r="Y397" s="203" t="n">
        <x:v>2342.0222905687</x:v>
      </x:c>
      <x:c r="Z397" s="193" t="b">
        <x:v>1</x:v>
      </x:c>
      <x:c r="AA397" s="193" t="b">
        <x:v>0</x:v>
      </x:c>
      <x:c r="AB397" s="193" t="b">
        <x:v>1</x:v>
      </x:c>
      <x:c r="AC397" s="193" t="b">
        <x:v>1</x:v>
      </x:c>
      <x:c r="AD397" s="193" t="b">
        <x:v>1</x:v>
      </x:c>
      <x:c r="AE397" s="193" t="b">
        <x:v>0</x:v>
      </x:c>
      <x:c r="AF397" s="193" t="b">
        <x:v>1</x:v>
      </x:c>
      <x:c r="AG397" s="193" t="b">
        <x:v>1</x:v>
      </x:c>
      <x:c r="AH397" s="193" t="b">
        <x:v>1</x:v>
      </x:c>
      <x:c r="AI397" s="193" t="b">
        <x:v>1</x:v>
      </x:c>
      <x:c r="AJ397" s="193" t="b">
        <x:v>0</x:v>
      </x:c>
    </x:row>
    <x:row r="398">
      <x:c r="A398" s="192" t="n">
        <x:v>47783121</x:v>
      </x:c>
      <x:c r="B398" s="192" t="str">
        <x:v>https://www.airbnb.com.br/rooms/47783121</x:v>
      </x:c>
      <x:c r="C398" s="192" t="str">
        <x:v>Apenas 80m do mar! Imóvel perfeito para famílias.</x:v>
      </x:c>
      <x:c r="D398" s="192" t="str">
        <x:v>Centro</x:v>
      </x:c>
      <x:c r="E398" s="192" t="n">
        <x:v>-27.09734</x:v>
      </x:c>
      <x:c r="F398" s="192" t="n">
        <x:v>-48.61534</x:v>
      </x:c>
      <x:c r="G398" s="192" t="str">
        <x:v>apartamento</x:v>
      </x:c>
      <x:c r="H398" s="192" t="n">
        <x:v>2</x:v>
      </x:c>
      <x:c r="I398" s="192" t="n">
        <x:v>2</x:v>
      </x:c>
      <x:c r="J398" s="192" t="n">
        <x:v>4</x:v>
      </x:c>
      <x:c r="K398" s="192" t="n">
        <x:v>6</x:v>
      </x:c>
      <x:c r="L398" s="192" t="n">
        <x:v>9</x:v>
      </x:c>
      <x:c r="M398" s="192" t="n">
        <x:v>4.8899998665</x:v>
      </x:c>
      <x:c r="N398" s="192" t="n">
        <x:v>250</x:v>
      </x:c>
      <x:c r="O398" s="192" t="n">
        <x:v>17</x:v>
      </x:c>
      <x:c r="P398" s="193" t="b">
        <x:v>0</x:v>
      </x:c>
      <x:c r="Q398" s="193" t="b">
        <x:v>0</x:v>
      </x:c>
      <x:c r="R398" s="193" t="b">
        <x:v>1</x:v>
      </x:c>
      <x:c r="S398" s="193" t="b">
        <x:v>0</x:v>
      </x:c>
      <x:c r="T398" s="192" t="n">
        <x:v>45</x:v>
      </x:c>
      <x:c r="U398" s="192" t="n">
        <x:v>45</x:v>
      </x:c>
      <x:c r="V398" s="200" t="n">
        <x:v>0.5</x:v>
      </x:c>
      <x:c r="W398" s="203" t="n">
        <x:v>432</x:v>
      </x:c>
      <x:c r="X398" s="203" t="n">
        <x:v>19253.9543447577</x:v>
      </x:c>
      <x:c r="Y398" s="203" t="n">
        <x:v>49779.4944621757</x:v>
      </x:c>
      <x:c r="Z398" s="193" t="b">
        <x:v>0</x:v>
      </x:c>
      <x:c r="AA398" s="193" t="b">
        <x:v>0</x:v>
      </x:c>
      <x:c r="AB398" s="193" t="b">
        <x:v>1</x:v>
      </x:c>
      <x:c r="AC398" s="193" t="b">
        <x:v>1</x:v>
      </x:c>
      <x:c r="AD398" s="193" t="b">
        <x:v>1</x:v>
      </x:c>
      <x:c r="AE398" s="193" t="b">
        <x:v>0</x:v>
      </x:c>
      <x:c r="AF398" s="193" t="b">
        <x:v>1</x:v>
      </x:c>
      <x:c r="AG398" s="193" t="b">
        <x:v>1</x:v>
      </x:c>
      <x:c r="AH398" s="193" t="b">
        <x:v>1</x:v>
      </x:c>
      <x:c r="AI398" s="193" t="b">
        <x:v>1</x:v>
      </x:c>
      <x:c r="AJ398" s="193" t="b">
        <x:v>1</x:v>
      </x:c>
    </x:row>
    <x:row r="399">
      <x:c r="A399" s="192" t="n">
        <x:v>15754075</x:v>
      </x:c>
      <x:c r="B399" s="192" t="str">
        <x:v>https://www.airbnb.com.br/rooms/15754075</x:v>
      </x:c>
      <x:c r="C399" s="192" t="str">
        <x:v>Apartamento espaçoso, arejado e bem localizado</x:v>
      </x:c>
      <x:c r="D399" s="192" t="str">
        <x:v>Meia Praia</x:v>
      </x:c>
      <x:c r="E399" s="192" t="n">
        <x:v>-27.13747</x:v>
      </x:c>
      <x:c r="F399" s="192" t="n">
        <x:v>-48.59243</x:v>
      </x:c>
      <x:c r="G399" s="192" t="str">
        <x:v>apartamento</x:v>
      </x:c>
      <x:c r="H399" s="192" t="n">
        <x:v>3</x:v>
      </x:c>
      <x:c r="I399" s="192" t="n">
        <x:v>3</x:v>
      </x:c>
      <x:c r="J399" s="192" t="n">
        <x:v>5</x:v>
      </x:c>
      <x:c r="K399" s="192" t="n">
        <x:v>9</x:v>
      </x:c>
      <x:c r="L399" s="192" t="n">
        <x:v>36</x:v>
      </x:c>
      <x:c r="M399" s="192" t="n">
        <x:v>4.9200000763</x:v>
      </x:c>
      <x:c r="N399" s="192" t="n">
        <x:v>450</x:v>
      </x:c>
      <x:c r="O399" s="192" t="n">
        <x:v>37</x:v>
      </x:c>
      <x:c r="P399" s="193" t="b">
        <x:v>1</x:v>
      </x:c>
      <x:c r="Q399" s="193" t="b">
        <x:v>0</x:v>
      </x:c>
      <x:c r="R399" s="193" t="b">
        <x:v>1</x:v>
      </x:c>
      <x:c r="S399" s="193" t="b">
        <x:v>1</x:v>
      </x:c>
      <x:c r="T399" s="192" t="n">
        <x:v>37</x:v>
      </x:c>
      <x:c r="U399" s="192" t="n">
        <x:v>53</x:v>
      </x:c>
      <x:c r="V399" s="200" t="n">
        <x:v>0.5888888889</x:v>
      </x:c>
      <x:c r="W399" s="203" t="n">
        <x:v>620.3333</x:v>
      </x:c>
      <x:c r="X399" s="203" t="n">
        <x:v>33173.323573664</x:v>
      </x:c>
      <x:c r="Y399" s="203" t="n">
        <x:v>85766.8636560772</x:v>
      </x:c>
      <x:c r="Z399" s="193" t="b">
        <x:v>1</x:v>
      </x:c>
      <x:c r="AA399" s="193" t="b">
        <x:v>0</x:v>
      </x:c>
      <x:c r="AB399" s="193" t="b">
        <x:v>1</x:v>
      </x:c>
      <x:c r="AC399" s="193" t="b">
        <x:v>1</x:v>
      </x:c>
      <x:c r="AD399" s="193" t="b">
        <x:v>1</x:v>
      </x:c>
      <x:c r="AE399" s="193" t="b">
        <x:v>1</x:v>
      </x:c>
      <x:c r="AF399" s="193" t="b">
        <x:v>1</x:v>
      </x:c>
      <x:c r="AG399" s="193" t="b">
        <x:v>1</x:v>
      </x:c>
      <x:c r="AH399" s="193" t="b">
        <x:v>1</x:v>
      </x:c>
      <x:c r="AI399" s="193" t="b">
        <x:v>1</x:v>
      </x:c>
      <x:c r="AJ399" s="193" t="b">
        <x:v>1</x:v>
      </x:c>
    </x:row>
    <x:row r="400">
      <x:c r="A400" s="192" t="n">
        <x:v>41532894</x:v>
      </x:c>
      <x:c r="B400" s="192" t="str">
        <x:v>https://www.airbnb.com.br/rooms/41532894</x:v>
      </x:c>
      <x:c r="C400" s="192" t="str">
        <x:v>FRENTE MAR, lateral, 3 quartos, Meia Praia,Itapema</x:v>
      </x:c>
      <x:c r="D400" s="192" t="str">
        <x:v>Meia Praia</x:v>
      </x:c>
      <x:c r="E400" s="192" t="n">
        <x:v>-27.12496</x:v>
      </x:c>
      <x:c r="F400" s="192" t="n">
        <x:v>-48.60491</x:v>
      </x:c>
      <x:c r="G400" s="192" t="str">
        <x:v>apartamento</x:v>
      </x:c>
      <x:c r="H400" s="192" t="n">
        <x:v>3</x:v>
      </x:c>
      <x:c r="I400" s="192" t="n">
        <x:v>2</x:v>
      </x:c>
      <x:c r="J400" s="192" t="n">
        <x:v>5</x:v>
      </x:c>
      <x:c r="K400" s="192" t="n">
        <x:v>10</x:v>
      </x:c>
      <x:c r="L400" s="192" t="n">
        <x:v>119</x:v>
      </x:c>
      <x:c r="M400" s="192" t="n">
        <x:v>4.8200001717</x:v>
      </x:c>
      <x:c r="N400" s="192" t="n">
        <x:v>300</x:v>
      </x:c>
      <x:c r="O400" s="192" t="n">
        <x:v>35</x:v>
      </x:c>
      <x:c r="P400" s="193" t="b">
        <x:v>0</x:v>
      </x:c>
      <x:c r="Q400" s="193" t="b">
        <x:v>0</x:v>
      </x:c>
      <x:c r="R400" s="193" t="b">
        <x:v>1</x:v>
      </x:c>
      <x:c r="S400" s="193" t="b">
        <x:v>1</x:v>
      </x:c>
      <x:c r="T400" s="192" t="n">
        <x:v>61</x:v>
      </x:c>
      <x:c r="U400" s="192" t="n">
        <x:v>29</x:v>
      </x:c>
      <x:c r="V400" s="200" t="n">
        <x:v>0.3222222222</x:v>
      </x:c>
      <x:c r="W400" s="203" t="n">
        <x:v>791.5</x:v>
      </x:c>
      <x:c r="X400" s="203" t="n">
        <x:v>21905.3375416665</x:v>
      </x:c>
      <x:c r="Y400" s="203" t="n">
        <x:v>56634.4247691837</x:v>
      </x:c>
      <x:c r="Z400" s="193" t="b">
        <x:v>1</x:v>
      </x:c>
      <x:c r="AA400" s="193" t="b">
        <x:v>0</x:v>
      </x:c>
      <x:c r="AB400" s="193" t="b">
        <x:v>1</x:v>
      </x:c>
      <x:c r="AC400" s="193" t="b">
        <x:v>1</x:v>
      </x:c>
      <x:c r="AD400" s="193" t="b">
        <x:v>1</x:v>
      </x:c>
      <x:c r="AE400" s="193" t="b">
        <x:v>1</x:v>
      </x:c>
      <x:c r="AF400" s="193" t="b">
        <x:v>1</x:v>
      </x:c>
      <x:c r="AG400" s="193" t="b">
        <x:v>1</x:v>
      </x:c>
      <x:c r="AH400" s="193" t="b">
        <x:v>1</x:v>
      </x:c>
      <x:c r="AI400" s="193" t="b">
        <x:v>1</x:v>
      </x:c>
      <x:c r="AJ400" s="193" t="b">
        <x:v>1</x:v>
      </x:c>
    </x:row>
    <x:row r="401">
      <x:c r="A401" s="192" t="n">
        <x:v>1203140233522045000</x:v>
      </x:c>
      <x:c r="B401" s="192" t="str">
        <x:v>https://www.airbnb.com.br/rooms/1203140233522044896</x:v>
      </x:c>
      <x:c r="C401" s="192" t="str">
        <x:v>Flat 1104 em Itapema</x:v>
      </x:c>
      <x:c r="D401" s="192" t="str">
        <x:v>Centro</x:v>
      </x:c>
      <x:c r="E401" s="192" t="n">
        <x:v>-27.0927178</x:v>
      </x:c>
      <x:c r="F401" s="192" t="n">
        <x:v>-48.6134444153</x:v>
      </x:c>
      <x:c r="G401" s="192" t="str">
        <x:v>apartamento</x:v>
      </x:c>
      <x:c r="H401" s="192" t="n">
        <x:v>1</x:v>
      </x:c>
      <x:c r="I401" s="192" t="n">
        <x:v>1</x:v>
      </x:c>
      <x:c r="J401" s="192" t="n">
        <x:v>2</x:v>
      </x:c>
      <x:c r="K401" s="192" t="n">
        <x:v>4</x:v>
      </x:c>
      <x:c r="L401" s="192" t="n">
        <x:v>13</x:v>
      </x:c>
      <x:c r="M401" s="192" t="n">
        <x:v>5</x:v>
      </x:c>
      <x:c r="N401" s="192" t="n">
        <x:v>180</x:v>
      </x:c>
      <x:c r="O401" s="192" t="n">
        <x:v>0</x:v>
      </x:c>
      <x:c r="P401" s="193" t="b">
        <x:v>0</x:v>
      </x:c>
      <x:c r="Q401" s="193" t="b">
        <x:v>0</x:v>
      </x:c>
      <x:c r="R401" s="193" t="b">
        <x:v>1</x:v>
      </x:c>
      <x:c r="S401" s="193" t="b">
        <x:v>1</x:v>
      </x:c>
      <x:c r="T401" s="192" t="n">
        <x:v>73</x:v>
      </x:c>
      <x:c r="U401" s="192" t="n">
        <x:v>17</x:v>
      </x:c>
      <x:c r="V401" s="200" t="n">
        <x:v>0.1888888889</x:v>
      </x:c>
      <x:c r="W401" s="203" t="n">
        <x:v>431.4</x:v>
      </x:c>
      <x:c r="X401" s="203" t="n">
        <x:v>7274.5159725014</x:v>
      </x:c>
      <x:c r="Y401" s="203" t="n">
        <x:v>18807.654837238</x:v>
      </x:c>
      <x:c r="Z401" s="193" t="b">
        <x:v>1</x:v>
      </x:c>
      <x:c r="AA401" s="193" t="b">
        <x:v>1</x:v>
      </x:c>
      <x:c r="AB401" s="193" t="b">
        <x:v>1</x:v>
      </x:c>
      <x:c r="AC401" s="193" t="b">
        <x:v>1</x:v>
      </x:c>
      <x:c r="AD401" s="193" t="b">
        <x:v>1</x:v>
      </x:c>
      <x:c r="AE401" s="193" t="b">
        <x:v>0</x:v>
      </x:c>
      <x:c r="AF401" s="193" t="b">
        <x:v>1</x:v>
      </x:c>
      <x:c r="AG401" s="193" t="b">
        <x:v>1</x:v>
      </x:c>
      <x:c r="AH401" s="193" t="b">
        <x:v>1</x:v>
      </x:c>
      <x:c r="AI401" s="193" t="b">
        <x:v>1</x:v>
      </x:c>
      <x:c r="AJ401" s="193" t="b">
        <x:v>0</x:v>
      </x:c>
    </x:row>
    <x:row r="402">
      <x:c r="A402" s="192" t="n">
        <x:v>21662762</x:v>
      </x:c>
      <x:c r="B402" s="192" t="str">
        <x:v>https://www.airbnb.com.br/rooms/21662762</x:v>
      </x:c>
      <x:c r="C402" s="192" t="str">
        <x:v>Conforto próximo ao Mar. Wi-Fi e Split</x:v>
      </x:c>
      <x:c r="D402" s="192" t="str">
        <x:v>Meia Praia</x:v>
      </x:c>
      <x:c r="E402" s="192" t="n">
        <x:v>-27.126</x:v>
      </x:c>
      <x:c r="F402" s="192" t="n">
        <x:v>-48.60681</x:v>
      </x:c>
      <x:c r="G402" s="192" t="str">
        <x:v>apartamento</x:v>
      </x:c>
      <x:c r="H402" s="192" t="n">
        <x:v>3</x:v>
      </x:c>
      <x:c r="I402" s="192" t="n">
        <x:v>2</x:v>
      </x:c>
      <x:c r="J402" s="192" t="n">
        <x:v>5</x:v>
      </x:c>
      <x:c r="K402" s="192" t="n">
        <x:v>9</x:v>
      </x:c>
      <x:c r="L402" s="192" t="n">
        <x:v>157</x:v>
      </x:c>
      <x:c r="M402" s="192" t="n">
        <x:v>4.8499999046</x:v>
      </x:c>
      <x:c r="N402" s="192" t="n">
        <x:v>280</x:v>
      </x:c>
      <x:c r="O402" s="192" t="n">
        <x:v>42</x:v>
      </x:c>
      <x:c r="P402" s="193" t="b">
        <x:v>1</x:v>
      </x:c>
      <x:c r="Q402" s="193" t="b">
        <x:v>0</x:v>
      </x:c>
      <x:c r="R402" s="193" t="b">
        <x:v>1</x:v>
      </x:c>
      <x:c r="S402" s="193" t="b">
        <x:v>0</x:v>
      </x:c>
      <x:c r="T402" s="192" t="n">
        <x:v>31</x:v>
      </x:c>
      <x:c r="U402" s="192" t="n">
        <x:v>59</x:v>
      </x:c>
      <x:c r="V402" s="200" t="n">
        <x:v>0.6555555556</x:v>
      </x:c>
      <x:c r="W402" s="203" t="n">
        <x:v>300</x:v>
      </x:c>
      <x:c r="X402" s="203" t="n">
        <x:v>17844.8091761362</x:v>
      </x:c>
      <x:c r="Y402" s="203" t="n">
        <x:v>46136.2670574688</x:v>
      </x:c>
      <x:c r="Z402" s="193" t="b">
        <x:v>1</x:v>
      </x:c>
      <x:c r="AA402" s="193" t="b">
        <x:v>0</x:v>
      </x:c>
      <x:c r="AB402" s="193" t="b">
        <x:v>1</x:v>
      </x:c>
      <x:c r="AC402" s="193" t="b">
        <x:v>1</x:v>
      </x:c>
      <x:c r="AD402" s="193" t="b">
        <x:v>1</x:v>
      </x:c>
      <x:c r="AE402" s="193" t="b">
        <x:v>1</x:v>
      </x:c>
      <x:c r="AF402" s="193" t="b">
        <x:v>1</x:v>
      </x:c>
      <x:c r="AG402" s="193" t="b">
        <x:v>1</x:v>
      </x:c>
      <x:c r="AH402" s="193" t="b">
        <x:v>1</x:v>
      </x:c>
      <x:c r="AI402" s="193" t="b">
        <x:v>1</x:v>
      </x:c>
      <x:c r="AJ402" s="193" t="b">
        <x:v>1</x:v>
      </x:c>
    </x:row>
    <x:row r="403">
      <x:c r="A403" s="192" t="n">
        <x:v>54167570</x:v>
      </x:c>
      <x:c r="B403" s="192" t="str">
        <x:v>https://www.airbnb.com.br/rooms/54167570</x:v>
      </x:c>
      <x:c r="C403" s="192" t="str">
        <x:v>Cobertura duplex na quadra do mar</x:v>
      </x:c>
      <x:c r="D403" s="192" t="str">
        <x:v>Meia Praia</x:v>
      </x:c>
      <x:c r="E403" s="192" t="n">
        <x:v>-27.139</x:v>
      </x:c>
      <x:c r="F403" s="192" t="n">
        <x:v>-48.59015</x:v>
      </x:c>
      <x:c r="G403" s="192" t="str">
        <x:v>apartamento</x:v>
      </x:c>
      <x:c r="H403" s="192" t="n">
        <x:v>3</x:v>
      </x:c>
      <x:c r="I403" s="192" t="n">
        <x:v>3</x:v>
      </x:c>
      <x:c r="J403" s="192" t="n">
        <x:v>3</x:v>
      </x:c>
      <x:c r="K403" s="192" t="n">
        <x:v>15</x:v>
      </x:c>
      <x:c r="L403" s="192" t="n">
        <x:v>8</x:v>
      </x:c>
      <x:c r="M403" s="192" t="n">
        <x:v>5</x:v>
      </x:c>
      <x:c r="N403" s="192" t="n">
        <x:v>150</x:v>
      </x:c>
      <x:c r="O403" s="192" t="n">
        <x:v>30</x:v>
      </x:c>
      <x:c r="P403" s="193" t="b">
        <x:v>0</x:v>
      </x:c>
      <x:c r="Q403" s="193" t="b">
        <x:v>0</x:v>
      </x:c>
      <x:c r="R403" s="193" t="b">
        <x:v>1</x:v>
      </x:c>
      <x:c r="S403" s="193" t="b">
        <x:v>0</x:v>
      </x:c>
      <x:c r="T403" s="192" t="n">
        <x:v>78</x:v>
      </x:c>
      <x:c r="U403" s="192" t="n">
        <x:v>12</x:v>
      </x:c>
      <x:c r="V403" s="200" t="n">
        <x:v>0.1333333333</x:v>
      </x:c>
      <x:c r="W403" s="203" t="n">
        <x:v>1400</x:v>
      </x:c>
      <x:c r="X403" s="203" t="n">
        <x:v>19096.7301760557</x:v>
      </x:c>
      <x:c r="Y403" s="203" t="n">
        <x:v>49373.0044760107</x:v>
      </x:c>
      <x:c r="Z403" s="193" t="b">
        <x:v>1</x:v>
      </x:c>
      <x:c r="AA403" s="193" t="b">
        <x:v>0</x:v>
      </x:c>
      <x:c r="AB403" s="193" t="b">
        <x:v>1</x:v>
      </x:c>
      <x:c r="AC403" s="193" t="b">
        <x:v>1</x:v>
      </x:c>
      <x:c r="AD403" s="193" t="b">
        <x:v>1</x:v>
      </x:c>
      <x:c r="AE403" s="193" t="b">
        <x:v>1</x:v>
      </x:c>
      <x:c r="AF403" s="193" t="b">
        <x:v>1</x:v>
      </x:c>
      <x:c r="AG403" s="193" t="b">
        <x:v>1</x:v>
      </x:c>
      <x:c r="AH403" s="193" t="b">
        <x:v>1</x:v>
      </x:c>
      <x:c r="AI403" s="193" t="b">
        <x:v>1</x:v>
      </x:c>
      <x:c r="AJ403" s="193" t="b">
        <x:v>0</x:v>
      </x:c>
    </x:row>
    <x:row r="404">
      <x:c r="A404" s="192" t="n">
        <x:v>1048804459244346900</x:v>
      </x:c>
      <x:c r="B404" s="192" t="str">
        <x:v>https://www.airbnb.com.br/rooms/1048804459244346908</x:v>
      </x:c>
      <x:c r="C404" s="192" t="str">
        <x:v>Apartamento pé na areia em Itapema</x:v>
      </x:c>
      <x:c r="D404" s="192" t="str">
        <x:v>Morretes</x:v>
      </x:c>
      <x:c r="E404" s="192" t="n">
        <x:v>-27.1159992218</x:v>
      </x:c>
      <x:c r="F404" s="192" t="n">
        <x:v>-48.6090011597</x:v>
      </x:c>
      <x:c r="G404" s="192" t="str">
        <x:v>apartamento</x:v>
      </x:c>
      <x:c r="H404" s="192" t="n">
        <x:v>2</x:v>
      </x:c>
      <x:c r="I404" s="192" t="n">
        <x:v>2</x:v>
      </x:c>
      <x:c r="J404" s="192" t="n">
        <x:v>4</x:v>
      </x:c>
      <x:c r="K404" s="192" t="n">
        <x:v>6</x:v>
      </x:c>
      <x:c r="L404" s="192" t="n">
        <x:v>27</x:v>
      </x:c>
      <x:c r="M404" s="192" t="n">
        <x:v>4.6999998093</x:v>
      </x:c>
      <x:c r="N404" s="192" t="n">
        <x:v>100</x:v>
      </x:c>
      <x:c r="O404" s="192" t="n">
        <x:v>14</x:v>
      </x:c>
      <x:c r="P404" s="193" t="b">
        <x:v>0</x:v>
      </x:c>
      <x:c r="Q404" s="193" t="b">
        <x:v>0</x:v>
      </x:c>
      <x:c r="R404" s="193" t="b">
        <x:v>0</x:v>
      </x:c>
      <x:c r="S404" s="193" t="b">
        <x:v>0</x:v>
      </x:c>
      <x:c r="T404" s="192" t="n">
        <x:v>70</x:v>
      </x:c>
      <x:c r="U404" s="192" t="n">
        <x:v>20</x:v>
      </x:c>
      <x:c r="V404" s="200" t="n">
        <x:v>0.2222222222</x:v>
      </x:c>
      <x:c r="W404" s="203" t="n">
        <x:v>700</x:v>
      </x:c>
      <x:c r="X404" s="203" t="n">
        <x:v>13884.097826689</x:v>
      </x:c>
      <x:c r="Y404" s="203" t="n">
        <x:v>35896.1779227522</x:v>
      </x:c>
      <x:c r="Z404" s="193" t="b">
        <x:v>1</x:v>
      </x:c>
      <x:c r="AA404" s="193" t="b">
        <x:v>0</x:v>
      </x:c>
      <x:c r="AB404" s="193" t="b">
        <x:v>1</x:v>
      </x:c>
      <x:c r="AC404" s="193" t="b">
        <x:v>1</x:v>
      </x:c>
      <x:c r="AD404" s="193" t="b">
        <x:v>0</x:v>
      </x:c>
      <x:c r="AE404" s="193" t="b">
        <x:v>1</x:v>
      </x:c>
      <x:c r="AF404" s="193" t="b">
        <x:v>1</x:v>
      </x:c>
      <x:c r="AG404" s="193" t="b">
        <x:v>1</x:v>
      </x:c>
      <x:c r="AH404" s="193" t="b">
        <x:v>1</x:v>
      </x:c>
      <x:c r="AI404" s="193" t="b">
        <x:v>1</x:v>
      </x:c>
      <x:c r="AJ404" s="193" t="b">
        <x:v>0</x:v>
      </x:c>
    </x:row>
    <x:row r="405">
      <x:c r="A405" s="192" t="n">
        <x:v>730503580289648400</x:v>
      </x:c>
      <x:c r="B405" s="192" t="str">
        <x:v>https://www.airbnb.com.br/rooms/730503580289648392</x:v>
      </x:c>
      <x:c r="C405" s="192" t="str">
        <x:v>Apartamento completo a 50 metros da praia</x:v>
      </x:c>
      <x:c r="D405" s="192" t="str">
        <x:v>Centro</x:v>
      </x:c>
      <x:c r="E405" s="192" t="n">
        <x:v>-27.1040166852</x:v>
      </x:c>
      <x:c r="F405" s="192" t="n">
        <x:v>-48.6141370973</x:v>
      </x:c>
      <x:c r="G405" s="192" t="str">
        <x:v>apartamento</x:v>
      </x:c>
      <x:c r="H405" s="192" t="n">
        <x:v>2</x:v>
      </x:c>
      <x:c r="I405" s="192" t="n">
        <x:v>2</x:v>
      </x:c>
      <x:c r="J405" s="192" t="n">
        <x:v>4</x:v>
      </x:c>
      <x:c r="K405" s="192" t="n">
        <x:v>6</x:v>
      </x:c>
      <x:c r="L405" s="192" t="n">
        <x:v>8</x:v>
      </x:c>
      <x:c r="M405" s="192" t="n">
        <x:v>4.8800001144</x:v>
      </x:c>
      <x:c r="N405" s="192" t="n">
        <x:v>250</x:v>
      </x:c>
      <x:c r="O405" s="192" t="n">
        <x:v>21</x:v>
      </x:c>
      <x:c r="P405" s="193" t="b">
        <x:v>1</x:v>
      </x:c>
      <x:c r="Q405" s="193" t="b">
        <x:v>0</x:v>
      </x:c>
      <x:c r="R405" s="193" t="b">
        <x:v>0</x:v>
      </x:c>
      <x:c r="S405" s="193" t="b">
        <x:v>0</x:v>
      </x:c>
      <x:c r="T405" s="192" t="n">
        <x:v>10</x:v>
      </x:c>
      <x:c r="U405" s="192" t="n">
        <x:v>80</x:v>
      </x:c>
      <x:c r="V405" s="200" t="n">
        <x:v>0.8888888889</x:v>
      </x:c>
      <x:c r="W405" s="203" t="n">
        <x:v>775</x:v>
      </x:c>
      <x:c r="X405" s="203" t="n">
        <x:v>60613.5057883614</x:v>
      </x:c>
      <x:c r="Y405" s="203" t="n">
        <x:v>156711.1680903261</x:v>
      </x:c>
      <x:c r="Z405" s="193" t="b">
        <x:v>0</x:v>
      </x:c>
      <x:c r="AA405" s="193" t="b">
        <x:v>0</x:v>
      </x:c>
      <x:c r="AB405" s="193" t="b">
        <x:v>1</x:v>
      </x:c>
      <x:c r="AC405" s="193" t="b">
        <x:v>1</x:v>
      </x:c>
      <x:c r="AD405" s="193" t="b">
        <x:v>0</x:v>
      </x:c>
      <x:c r="AE405" s="193" t="b">
        <x:v>1</x:v>
      </x:c>
      <x:c r="AF405" s="193" t="b">
        <x:v>1</x:v>
      </x:c>
      <x:c r="AG405" s="193" t="b">
        <x:v>1</x:v>
      </x:c>
      <x:c r="AH405" s="193" t="b">
        <x:v>1</x:v>
      </x:c>
      <x:c r="AI405" s="193" t="b">
        <x:v>1</x:v>
      </x:c>
      <x:c r="AJ405" s="193" t="b">
        <x:v>0</x:v>
      </x:c>
    </x:row>
    <x:row r="406">
      <x:c r="A406" s="192" t="n">
        <x:v>53936201</x:v>
      </x:c>
      <x:c r="B406" s="192" t="str">
        <x:v>https://www.airbnb.com.br/rooms/53936201</x:v>
      </x:c>
      <x:c r="C406" s="192" t="str">
        <x:v>Apto em condomínio Pé na Areia em Itapema N1672</x:v>
      </x:c>
      <x:c r="D406" s="192" t="str">
        <x:v>Meia Praia</x:v>
      </x:c>
      <x:c r="E406" s="192" t="n">
        <x:v>-27.1370506287</x:v>
      </x:c>
      <x:c r="F406" s="192" t="n">
        <x:v>-48.5928611755</x:v>
      </x:c>
      <x:c r="G406" s="192" t="str">
        <x:v>apartamento</x:v>
      </x:c>
      <x:c r="H406" s="192" t="n">
        <x:v>3</x:v>
      </x:c>
      <x:c r="I406" s="192" t="n">
        <x:v>2</x:v>
      </x:c>
      <x:c r="J406" s="192" t="n">
        <x:v>3</x:v>
      </x:c>
      <x:c r="K406" s="192" t="n">
        <x:v>6</x:v>
      </x:c>
      <x:c r="L406" s="192" t="n">
        <x:v>34</x:v>
      </x:c>
      <x:c r="M406" s="192" t="n">
        <x:v>4.7600002289</x:v>
      </x:c>
      <x:c r="N406" s="192" t="n">
        <x:v>417</x:v>
      </x:c>
      <x:c r="O406" s="192" t="n">
        <x:v>57</x:v>
      </x:c>
      <x:c r="P406" s="193" t="b">
        <x:v>1</x:v>
      </x:c>
      <x:c r="Q406" s="193" t="b">
        <x:v>1</x:v>
      </x:c>
      <x:c r="R406" s="193" t="b">
        <x:v>0</x:v>
      </x:c>
      <x:c r="S406" s="193" t="b">
        <x:v>0</x:v>
      </x:c>
      <x:c r="T406" s="192" t="n">
        <x:v>43</x:v>
      </x:c>
      <x:c r="U406" s="192" t="n">
        <x:v>47</x:v>
      </x:c>
      <x:c r="V406" s="200" t="n">
        <x:v>0.5222222222</x:v>
      </x:c>
      <x:c r="W406" s="203" t="n">
        <x:v>822</x:v>
      </x:c>
      <x:c r="X406" s="203" t="n">
        <x:v>39812.7341112636</x:v>
      </x:c>
      <x:c r="Y406" s="203" t="n">
        <x:v>102932.5063168295</x:v>
      </x:c>
      <x:c r="Z406" s="193" t="b">
        <x:v>1</x:v>
      </x:c>
      <x:c r="AA406" s="193" t="b">
        <x:v>0</x:v>
      </x:c>
      <x:c r="AB406" s="193" t="b">
        <x:v>1</x:v>
      </x:c>
      <x:c r="AC406" s="193" t="b">
        <x:v>1</x:v>
      </x:c>
      <x:c r="AD406" s="193" t="b">
        <x:v>1</x:v>
      </x:c>
      <x:c r="AE406" s="193" t="b">
        <x:v>0</x:v>
      </x:c>
      <x:c r="AF406" s="193" t="b">
        <x:v>1</x:v>
      </x:c>
      <x:c r="AG406" s="193" t="b">
        <x:v>1</x:v>
      </x:c>
      <x:c r="AH406" s="193" t="b">
        <x:v>1</x:v>
      </x:c>
      <x:c r="AI406" s="193" t="b">
        <x:v>1</x:v>
      </x:c>
      <x:c r="AJ406" s="193" t="b">
        <x:v>1</x:v>
      </x:c>
    </x:row>
    <x:row r="407">
      <x:c r="A407" s="192" t="n">
        <x:v>983188724209547100</x:v>
      </x:c>
      <x:c r="B407" s="192" t="str">
        <x:v>https://www.airbnb.com.br/rooms/983188724209547131</x:v>
      </x:c>
      <x:c r="C407" s="192" t="str">
        <x:v>Luxuoso AP em Meia Praia!</x:v>
      </x:c>
      <x:c r="D407" s="192" t="str">
        <x:v>Meia Praia</x:v>
      </x:c>
      <x:c r="E407" s="192" t="n">
        <x:v>-27.13841</x:v>
      </x:c>
      <x:c r="F407" s="192" t="n">
        <x:v>-48.59729</x:v>
      </x:c>
      <x:c r="G407" s="192" t="str">
        <x:v>apartamento</x:v>
      </x:c>
      <x:c r="H407" s="192" t="n">
        <x:v>3</x:v>
      </x:c>
      <x:c r="I407" s="192" t="n">
        <x:v>0</x:v>
      </x:c>
      <x:c r="J407" s="192" t="n">
        <x:v>3</x:v>
      </x:c>
      <x:c r="K407" s="192" t="n">
        <x:v>8</x:v>
      </x:c>
      <x:c r="L407" s="192" t="n">
        <x:v>13</x:v>
      </x:c>
      <x:c r="M407" s="192" t="n">
        <x:v>4.8499999046</x:v>
      </x:c>
      <x:c r="N407" s="192" t="n">
        <x:v>300</x:v>
      </x:c>
      <x:c r="O407" s="192" t="n">
        <x:v>14</x:v>
      </x:c>
      <x:c r="P407" s="193" t="b">
        <x:v>1</x:v>
      </x:c>
      <x:c r="Q407" s="193" t="b">
        <x:v>0</x:v>
      </x:c>
      <x:c r="R407" s="193" t="b">
        <x:v>1</x:v>
      </x:c>
      <x:c r="S407" s="193" t="b">
        <x:v>1</x:v>
      </x:c>
      <x:c r="T407" s="192" t="n">
        <x:v>73</x:v>
      </x:c>
      <x:c r="U407" s="192" t="n">
        <x:v>17</x:v>
      </x:c>
      <x:c r="V407" s="200" t="n">
        <x:v>0.1888888889</x:v>
      </x:c>
      <x:c r="W407" s="203" t="n">
        <x:v>1000</x:v>
      </x:c>
      <x:c r="X407" s="203" t="n">
        <x:v>16653.6197614853</x:v>
      </x:c>
      <x:c r="Y407" s="203" t="n">
        <x:v>43056.5460916735</x:v>
      </x:c>
      <x:c r="Z407" s="193" t="b">
        <x:v>1</x:v>
      </x:c>
      <x:c r="AA407" s="193" t="b">
        <x:v>0</x:v>
      </x:c>
      <x:c r="AB407" s="193" t="b">
        <x:v>1</x:v>
      </x:c>
      <x:c r="AC407" s="193" t="b">
        <x:v>1</x:v>
      </x:c>
      <x:c r="AD407" s="193" t="b">
        <x:v>1</x:v>
      </x:c>
      <x:c r="AE407" s="193" t="b">
        <x:v>1</x:v>
      </x:c>
      <x:c r="AF407" s="193" t="b">
        <x:v>1</x:v>
      </x:c>
      <x:c r="AG407" s="193" t="b">
        <x:v>1</x:v>
      </x:c>
      <x:c r="AH407" s="193" t="b">
        <x:v>1</x:v>
      </x:c>
      <x:c r="AI407" s="193" t="b">
        <x:v>1</x:v>
      </x:c>
      <x:c r="AJ407" s="193" t="b">
        <x:v>0</x:v>
      </x:c>
    </x:row>
    <x:row r="408">
      <x:c r="A408" s="192" t="n">
        <x:v>30617740</x:v>
      </x:c>
      <x:c r="B408" s="192" t="str">
        <x:v>https://www.airbnb.com.br/rooms/30617740</x:v>
      </x:c>
      <x:c r="C408" s="192" t="str">
        <x:v>Grande e Aconchegante Apartamento em Meia Praia</x:v>
      </x:c>
      <x:c r="D408" s="192" t="str">
        <x:v>Meia Praia</x:v>
      </x:c>
      <x:c r="E408" s="192" t="n">
        <x:v>-27.12086</x:v>
      </x:c>
      <x:c r="F408" s="192" t="n">
        <x:v>-48.60717</x:v>
      </x:c>
      <x:c r="G408" s="192" t="str">
        <x:v>apartamento</x:v>
      </x:c>
      <x:c r="H408" s="192" t="n">
        <x:v>3</x:v>
      </x:c>
      <x:c r="I408" s="192" t="n">
        <x:v>2</x:v>
      </x:c>
      <x:c r="J408" s="192" t="n">
        <x:v>5</x:v>
      </x:c>
      <x:c r="K408" s="192" t="n">
        <x:v>8</x:v>
      </x:c>
      <x:c r="L408" s="192" t="n">
        <x:v>22</x:v>
      </x:c>
      <x:c r="M408" s="192" t="n">
        <x:v>4.9099998474</x:v>
      </x:c>
      <x:c r="N408" s="192" t="n">
        <x:v>350</x:v>
      </x:c>
      <x:c r="O408" s="192" t="n">
        <x:v>34</x:v>
      </x:c>
      <x:c r="P408" s="193" t="b">
        <x:v>0</x:v>
      </x:c>
      <x:c r="Q408" s="193" t="b">
        <x:v>0</x:v>
      </x:c>
      <x:c r="R408" s="193" t="b">
        <x:v>1</x:v>
      </x:c>
      <x:c r="S408" s="193" t="b">
        <x:v>0</x:v>
      </x:c>
      <x:c r="T408" s="192" t="n">
        <x:v>71</x:v>
      </x:c>
      <x:c r="U408" s="192" t="n">
        <x:v>19</x:v>
      </x:c>
      <x:c r="V408" s="200" t="n">
        <x:v>0.2111111111</x:v>
      </x:c>
      <x:c r="W408" s="203" t="n">
        <x:v>500</x:v>
      </x:c>
      <x:c r="X408" s="203" t="n">
        <x:v>9476.1367187426</x:v>
      </x:c>
      <x:c r="Y408" s="203" t="n">
        <x:v>24499.761808249</x:v>
      </x:c>
      <x:c r="Z408" s="193" t="b">
        <x:v>1</x:v>
      </x:c>
      <x:c r="AA408" s="193" t="b">
        <x:v>0</x:v>
      </x:c>
      <x:c r="AB408" s="193" t="b">
        <x:v>1</x:v>
      </x:c>
      <x:c r="AC408" s="193" t="b">
        <x:v>1</x:v>
      </x:c>
      <x:c r="AD408" s="193" t="b">
        <x:v>1</x:v>
      </x:c>
      <x:c r="AE408" s="193" t="b">
        <x:v>0</x:v>
      </x:c>
      <x:c r="AF408" s="193" t="b">
        <x:v>0</x:v>
      </x:c>
      <x:c r="AG408" s="193" t="b">
        <x:v>1</x:v>
      </x:c>
      <x:c r="AH408" s="193" t="b">
        <x:v>1</x:v>
      </x:c>
      <x:c r="AI408" s="193" t="b">
        <x:v>1</x:v>
      </x:c>
      <x:c r="AJ408" s="193" t="b">
        <x:v>1</x:v>
      </x:c>
    </x:row>
    <x:row r="409">
      <x:c r="A409" s="192" t="n">
        <x:v>46220279</x:v>
      </x:c>
      <x:c r="B409" s="192" t="str">
        <x:v>https://www.airbnb.com.br/rooms/46220279</x:v>
      </x:c>
      <x:c r="C409" s="192" t="str">
        <x:v>Itapema-Meia Praia 80 mts Mar 3 Suítes Decorado.</x:v>
      </x:c>
      <x:c r="D409" s="192" t="str">
        <x:v>Meia Praia</x:v>
      </x:c>
      <x:c r="E409" s="192" t="n">
        <x:v>-27.1229991913</x:v>
      </x:c>
      <x:c r="F409" s="192" t="n">
        <x:v>-48.6059989929</x:v>
      </x:c>
      <x:c r="G409" s="192" t="str">
        <x:v>apartamento</x:v>
      </x:c>
      <x:c r="H409" s="192" t="n">
        <x:v>3</x:v>
      </x:c>
      <x:c r="I409" s="192" t="n">
        <x:v>2</x:v>
      </x:c>
      <x:c r="J409" s="192" t="n">
        <x:v>5</x:v>
      </x:c>
      <x:c r="K409" s="192" t="n">
        <x:v>8</x:v>
      </x:c>
      <x:c r="L409" s="192" t="n">
        <x:v>24</x:v>
      </x:c>
      <x:c r="M409" s="192" t="n">
        <x:v>4.8800001144</x:v>
      </x:c>
      <x:c r="N409" s="192" t="n">
        <x:v>350</x:v>
      </x:c>
      <x:c r="O409" s="192" t="n">
        <x:v>26</x:v>
      </x:c>
      <x:c r="P409" s="193" t="b">
        <x:v>0</x:v>
      </x:c>
      <x:c r="Q409" s="193" t="b">
        <x:v>0</x:v>
      </x:c>
      <x:c r="R409" s="193" t="b">
        <x:v>1</x:v>
      </x:c>
      <x:c r="S409" s="193" t="b">
        <x:v>1</x:v>
      </x:c>
      <x:c r="T409" s="192" t="n">
        <x:v>62</x:v>
      </x:c>
      <x:c r="U409" s="192" t="n">
        <x:v>28</x:v>
      </x:c>
      <x:c r="V409" s="200" t="n">
        <x:v>0.3111111111</x:v>
      </x:c>
      <x:c r="W409" s="203" t="n">
        <x:v>690</x:v>
      </x:c>
      <x:c r="X409" s="203" t="n">
        <x:v>20479.9033595704</x:v>
      </x:c>
      <x:c r="Y409" s="203" t="n">
        <x:v>52949.0834775559</x:v>
      </x:c>
      <x:c r="Z409" s="193" t="b">
        <x:v>1</x:v>
      </x:c>
      <x:c r="AA409" s="193" t="b">
        <x:v>0</x:v>
      </x:c>
      <x:c r="AB409" s="193" t="b">
        <x:v>1</x:v>
      </x:c>
      <x:c r="AC409" s="193" t="b">
        <x:v>1</x:v>
      </x:c>
      <x:c r="AD409" s="193" t="b">
        <x:v>1</x:v>
      </x:c>
      <x:c r="AE409" s="193" t="b">
        <x:v>1</x:v>
      </x:c>
      <x:c r="AF409" s="193" t="b">
        <x:v>1</x:v>
      </x:c>
      <x:c r="AG409" s="193" t="b">
        <x:v>1</x:v>
      </x:c>
      <x:c r="AH409" s="193" t="b">
        <x:v>1</x:v>
      </x:c>
      <x:c r="AI409" s="193" t="b">
        <x:v>1</x:v>
      </x:c>
      <x:c r="AJ409" s="193" t="b">
        <x:v>1</x:v>
      </x:c>
    </x:row>
    <x:row r="410">
      <x:c r="A410" s="192" t="n">
        <x:v>47326216</x:v>
      </x:c>
      <x:c r="B410" s="192" t="str">
        <x:v>https://www.airbnb.com.br/rooms/47326216</x:v>
      </x:c>
      <x:c r="C410" s="192" t="str">
        <x:v>Apto pé na areia, Meia Praia, 3 dorm, 2 garagens</x:v>
      </x:c>
      <x:c r="D410" s="192" t="str">
        <x:v>Meia Praia</x:v>
      </x:c>
      <x:c r="E410" s="192" t="n">
        <x:v>-27.12118</x:v>
      </x:c>
      <x:c r="F410" s="192" t="n">
        <x:v>-48.60636</x:v>
      </x:c>
      <x:c r="G410" s="192" t="str">
        <x:v>apartamento</x:v>
      </x:c>
      <x:c r="H410" s="192" t="n">
        <x:v>3</x:v>
      </x:c>
      <x:c r="I410" s="192" t="n">
        <x:v>2</x:v>
      </x:c>
      <x:c r="J410" s="192" t="n">
        <x:v>3</x:v>
      </x:c>
      <x:c r="K410" s="192" t="n">
        <x:v>8</x:v>
      </x:c>
      <x:c r="L410" s="192" t="n">
        <x:v>8</x:v>
      </x:c>
      <x:c r="M410" s="192" t="n">
        <x:v>5</x:v>
      </x:c>
      <x:c r="N410" s="192" t="n">
        <x:v>280</x:v>
      </x:c>
      <x:c r="O410" s="192" t="n">
        <x:v>29</x:v>
      </x:c>
      <x:c r="P410" s="193" t="b">
        <x:v>0</x:v>
      </x:c>
      <x:c r="Q410" s="193" t="b">
        <x:v>0</x:v>
      </x:c>
      <x:c r="R410" s="193" t="b">
        <x:v>1</x:v>
      </x:c>
      <x:c r="S410" s="193" t="b">
        <x:v>1</x:v>
      </x:c>
      <x:c r="T410" s="192" t="n">
        <x:v>77</x:v>
      </x:c>
      <x:c r="U410" s="192" t="n">
        <x:v>13</x:v>
      </x:c>
      <x:c r="V410" s="200" t="n">
        <x:v>0.1444444444</x:v>
      </x:c>
      <x:c r="W410" s="203" t="n">
        <x:v>1100</x:v>
      </x:c>
      <x:c r="X410" s="203" t="n">
        <x:v>14296.8910890359</x:v>
      </x:c>
      <x:c r="Y410" s="203" t="n">
        <x:v>36963.4205031116</x:v>
      </x:c>
      <x:c r="Z410" s="193" t="b">
        <x:v>1</x:v>
      </x:c>
      <x:c r="AA410" s="193" t="b">
        <x:v>0</x:v>
      </x:c>
      <x:c r="AB410" s="193" t="b">
        <x:v>1</x:v>
      </x:c>
      <x:c r="AC410" s="193" t="b">
        <x:v>1</x:v>
      </x:c>
      <x:c r="AD410" s="193" t="b">
        <x:v>1</x:v>
      </x:c>
      <x:c r="AE410" s="193" t="b">
        <x:v>1</x:v>
      </x:c>
      <x:c r="AF410" s="193" t="b">
        <x:v>1</x:v>
      </x:c>
      <x:c r="AG410" s="193" t="b">
        <x:v>1</x:v>
      </x:c>
      <x:c r="AH410" s="193" t="b">
        <x:v>1</x:v>
      </x:c>
      <x:c r="AI410" s="193" t="b">
        <x:v>1</x:v>
      </x:c>
      <x:c r="AJ410" s="193" t="b">
        <x:v>1</x:v>
      </x:c>
    </x:row>
    <x:row r="411">
      <x:c r="A411" s="192" t="n">
        <x:v>47543180</x:v>
      </x:c>
      <x:c r="B411" s="192" t="str">
        <x:v>https://www.airbnb.com.br/rooms/47543180</x:v>
      </x:c>
      <x:c r="C411" s="192" t="str">
        <x:v>Casa próxima a comércios e a 500 mts da praia!</x:v>
      </x:c>
      <x:c r="D411" s="192" t="str">
        <x:v>Centro</x:v>
      </x:c>
      <x:c r="E411" s="192" t="n">
        <x:v>-27.09516</x:v>
      </x:c>
      <x:c r="F411" s="192" t="n">
        <x:v>-48.61596</x:v>
      </x:c>
      <x:c r="G411" s="192" t="str">
        <x:v>casa</x:v>
      </x:c>
      <x:c r="H411" s="192" t="n">
        <x:v>2</x:v>
      </x:c>
      <x:c r="I411" s="192" t="n">
        <x:v>1</x:v>
      </x:c>
      <x:c r="J411" s="192" t="n">
        <x:v>2</x:v>
      </x:c>
      <x:c r="K411" s="192" t="n">
        <x:v>5</x:v>
      </x:c>
      <x:c r="L411" s="192" t="n">
        <x:v>42</x:v>
      </x:c>
      <x:c r="M411" s="192" t="n">
        <x:v>4.8099999428</x:v>
      </x:c>
      <x:c r="N411" s="192" t="n">
        <x:v>150</x:v>
      </x:c>
      <x:c r="O411" s="192" t="n">
        <x:v>18</x:v>
      </x:c>
      <x:c r="P411" s="193" t="b">
        <x:v>0</x:v>
      </x:c>
      <x:c r="Q411" s="193" t="b">
        <x:v>0</x:v>
      </x:c>
      <x:c r="R411" s="193" t="b">
        <x:v>0</x:v>
      </x:c>
      <x:c r="S411" s="193" t="b">
        <x:v>1</x:v>
      </x:c>
      <x:c r="T411" s="192" t="n">
        <x:v>38</x:v>
      </x:c>
      <x:c r="U411" s="192" t="n">
        <x:v>52</x:v>
      </x:c>
      <x:c r="V411" s="200" t="n">
        <x:v>0.5777777778</x:v>
      </x:c>
      <x:c r="W411" s="203" t="n">
        <x:v>250</x:v>
      </x:c>
      <x:c r="X411" s="203" t="n">
        <x:v>13338.0908770664</x:v>
      </x:c>
      <x:c r="Y411" s="203" t="n">
        <x:v>34484.522455082</x:v>
      </x:c>
      <x:c r="Z411" s="193" t="b">
        <x:v>0</x:v>
      </x:c>
      <x:c r="AA411" s="193" t="b">
        <x:v>0</x:v>
      </x:c>
      <x:c r="AB411" s="193" t="b">
        <x:v>1</x:v>
      </x:c>
      <x:c r="AC411" s="193" t="b">
        <x:v>1</x:v>
      </x:c>
      <x:c r="AD411" s="193" t="b">
        <x:v>0</x:v>
      </x:c>
      <x:c r="AE411" s="193" t="b">
        <x:v>0</x:v>
      </x:c>
      <x:c r="AF411" s="193" t="b">
        <x:v>1</x:v>
      </x:c>
      <x:c r="AG411" s="193" t="b">
        <x:v>0</x:v>
      </x:c>
      <x:c r="AH411" s="193" t="b">
        <x:v>1</x:v>
      </x:c>
      <x:c r="AI411" s="193" t="b">
        <x:v>1</x:v>
      </x:c>
      <x:c r="AJ411" s="193" t="b">
        <x:v>1</x:v>
      </x:c>
    </x:row>
    <x:row r="412">
      <x:c r="A412" s="192" t="n">
        <x:v>1272537775161574400</x:v>
      </x:c>
      <x:c r="B412" s="192" t="str">
        <x:v>https://www.airbnb.com.br/rooms/1272537775161574422</x:v>
      </x:c>
      <x:c r="C412" s="192" t="str">
        <x:v>Apartamento 110m da Meia Preia - Itapema EPV204</x:v>
      </x:c>
      <x:c r="D412" s="192" t="str">
        <x:v>Meia Praia</x:v>
      </x:c>
      <x:c r="E412" s="192" t="n">
        <x:v>-27.1436971</x:v>
      </x:c>
      <x:c r="F412" s="192" t="n">
        <x:v>-48.5878681</x:v>
      </x:c>
      <x:c r="G412" s="192" t="str">
        <x:v>apartamento</x:v>
      </x:c>
      <x:c r="H412" s="192" t="n">
        <x:v>2</x:v>
      </x:c>
      <x:c r="I412" s="192" t="n">
        <x:v>2</x:v>
      </x:c>
      <x:c r="J412" s="192" t="n">
        <x:v>2</x:v>
      </x:c>
      <x:c r="K412" s="192" t="n">
        <x:v>4</x:v>
      </x:c>
      <x:c r="L412" s="192" t="n">
        <x:v>7</x:v>
      </x:c>
      <x:c r="M412" s="192" t="n">
        <x:v>4.7100000381</x:v>
      </x:c>
      <x:c r="N412" s="192" t="n">
        <x:v>369</x:v>
      </x:c>
      <x:c r="O412" s="192" t="n">
        <x:v>0</x:v>
      </x:c>
      <x:c r="P412" s="193" t="b">
        <x:v>1</x:v>
      </x:c>
      <x:c r="Q412" s="193" t="b">
        <x:v>1</x:v>
      </x:c>
      <x:c r="R412" s="193" t="b">
        <x:v>0</x:v>
      </x:c>
      <x:c r="S412" s="193" t="b">
        <x:v>0</x:v>
      </x:c>
      <x:c r="T412" s="192" t="n">
        <x:v>54</x:v>
      </x:c>
      <x:c r="U412" s="192" t="n">
        <x:v>36</x:v>
      </x:c>
      <x:c r="V412" s="200" t="n">
        <x:v>0.4</x:v>
      </x:c>
      <x:c r="W412" s="203" t="n">
        <x:v>446</x:v>
      </x:c>
      <x:c r="X412" s="203" t="n">
        <x:v>15806.6223052857</x:v>
      </x:c>
      <x:c r="Y412" s="203" t="n">
        <x:v>40866.7047517906</x:v>
      </x:c>
      <x:c r="Z412" s="193" t="b">
        <x:v>1</x:v>
      </x:c>
      <x:c r="AA412" s="193" t="b">
        <x:v>0</x:v>
      </x:c>
      <x:c r="AB412" s="193" t="b">
        <x:v>1</x:v>
      </x:c>
      <x:c r="AC412" s="193" t="b">
        <x:v>1</x:v>
      </x:c>
      <x:c r="AD412" s="193" t="b">
        <x:v>1</x:v>
      </x:c>
      <x:c r="AE412" s="193" t="b">
        <x:v>0</x:v>
      </x:c>
      <x:c r="AF412" s="193" t="b">
        <x:v>1</x:v>
      </x:c>
      <x:c r="AG412" s="193" t="b">
        <x:v>1</x:v>
      </x:c>
      <x:c r="AH412" s="193" t="b">
        <x:v>1</x:v>
      </x:c>
      <x:c r="AI412" s="193" t="b">
        <x:v>1</x:v>
      </x:c>
      <x:c r="AJ412" s="193" t="b">
        <x:v>1</x:v>
      </x:c>
    </x:row>
    <x:row r="413">
      <x:c r="A413" s="192" t="n">
        <x:v>31169655</x:v>
      </x:c>
      <x:c r="B413" s="192" t="str">
        <x:v>https://www.airbnb.com.br/rooms/31169655</x:v>
      </x:c>
      <x:c r="C413" s="192" t="str">
        <x:v>Apto 902 meia praia, localização e limpeza TOP</x:v>
      </x:c>
      <x:c r="D413" s="192" t="str">
        <x:v>Meia Praia</x:v>
      </x:c>
      <x:c r="E413" s="192" t="n">
        <x:v>-27.13388</x:v>
      </x:c>
      <x:c r="F413" s="192" t="n">
        <x:v>-48.59679</x:v>
      </x:c>
      <x:c r="G413" s="192" t="str">
        <x:v>apartamento</x:v>
      </x:c>
      <x:c r="H413" s="192" t="n">
        <x:v>2</x:v>
      </x:c>
      <x:c r="I413" s="192" t="n">
        <x:v>2</x:v>
      </x:c>
      <x:c r="J413" s="192" t="n">
        <x:v>2</x:v>
      </x:c>
      <x:c r="K413" s="192" t="n">
        <x:v>6</x:v>
      </x:c>
      <x:c r="L413" s="192" t="n">
        <x:v>27</x:v>
      </x:c>
      <x:c r="M413" s="192" t="n">
        <x:v>5</x:v>
      </x:c>
      <x:c r="N413" s="192" t="n">
        <x:v>210</x:v>
      </x:c>
      <x:c r="O413" s="192" t="n">
        <x:v>23</x:v>
      </x:c>
      <x:c r="P413" s="193" t="b">
        <x:v>0</x:v>
      </x:c>
      <x:c r="Q413" s="193" t="b">
        <x:v>0</x:v>
      </x:c>
      <x:c r="R413" s="193" t="b">
        <x:v>1</x:v>
      </x:c>
      <x:c r="S413" s="193" t="b">
        <x:v>0</x:v>
      </x:c>
      <x:c r="T413" s="192" t="n">
        <x:v>65</x:v>
      </x:c>
      <x:c r="U413" s="192" t="n">
        <x:v>25</x:v>
      </x:c>
      <x:c r="V413" s="200" t="n">
        <x:v>0.2777777778</x:v>
      </x:c>
      <x:c r="W413" s="203" t="n">
        <x:v>375</x:v>
      </x:c>
      <x:c r="X413" s="203" t="n">
        <x:v>9340.4203592437</x:v>
      </x:c>
      <x:c r="Y413" s="203" t="n">
        <x:v>24148.8784704613</x:v>
      </x:c>
      <x:c r="Z413" s="193" t="b">
        <x:v>1</x:v>
      </x:c>
      <x:c r="AA413" s="193" t="b">
        <x:v>0</x:v>
      </x:c>
      <x:c r="AB413" s="193" t="b">
        <x:v>1</x:v>
      </x:c>
      <x:c r="AC413" s="193" t="b">
        <x:v>1</x:v>
      </x:c>
      <x:c r="AD413" s="193" t="b">
        <x:v>1</x:v>
      </x:c>
      <x:c r="AE413" s="193" t="b">
        <x:v>1</x:v>
      </x:c>
      <x:c r="AF413" s="193" t="b">
        <x:v>1</x:v>
      </x:c>
      <x:c r="AG413" s="193" t="b">
        <x:v>1</x:v>
      </x:c>
      <x:c r="AH413" s="193" t="b">
        <x:v>1</x:v>
      </x:c>
      <x:c r="AI413" s="193" t="b">
        <x:v>1</x:v>
      </x:c>
      <x:c r="AJ413" s="193" t="b">
        <x:v>1</x:v>
      </x:c>
    </x:row>
    <x:row r="414">
      <x:c r="A414" s="192" t="n">
        <x:v>35934720</x:v>
      </x:c>
      <x:c r="B414" s="192" t="str">
        <x:v>https://www.airbnb.com.br/rooms/35934720</x:v>
      </x:c>
      <x:c r="C414" s="192" t="str">
        <x:v>Ótimo apartamento de 2 quartos no Canto da Praia</x:v>
      </x:c>
      <x:c r="D414" s="192" t="str">
        <x:v>Canto da Praia</x:v>
      </x:c>
      <x:c r="E414" s="192" t="n">
        <x:v>-27.08966</x:v>
      </x:c>
      <x:c r="F414" s="192" t="n">
        <x:v>-48.60553</x:v>
      </x:c>
      <x:c r="G414" s="192" t="str">
        <x:v>apartamento</x:v>
      </x:c>
      <x:c r="H414" s="192" t="n">
        <x:v>2</x:v>
      </x:c>
      <x:c r="I414" s="192" t="n">
        <x:v>1</x:v>
      </x:c>
      <x:c r="J414" s="192" t="n">
        <x:v>2</x:v>
      </x:c>
      <x:c r="K414" s="192" t="n">
        <x:v>4</x:v>
      </x:c>
      <x:c r="L414" s="192" t="n">
        <x:v>14</x:v>
      </x:c>
      <x:c r="M414" s="192" t="n">
        <x:v>4.9299998283</x:v>
      </x:c>
      <x:c r="N414" s="192" t="n">
        <x:v>250</x:v>
      </x:c>
      <x:c r="O414" s="192" t="n">
        <x:v>2</x:v>
      </x:c>
      <x:c r="P414" s="193" t="b">
        <x:v>0</x:v>
      </x:c>
      <x:c r="Q414" s="193" t="b">
        <x:v>0</x:v>
      </x:c>
      <x:c r="R414" s="193" t="b">
        <x:v>1</x:v>
      </x:c>
      <x:c r="S414" s="193" t="b">
        <x:v>0</x:v>
      </x:c>
      <x:c r="T414" s="192" t="n">
        <x:v>10</x:v>
      </x:c>
      <x:c r="U414" s="192" t="n">
        <x:v>80</x:v>
      </x:c>
      <x:c r="V414" s="200" t="n">
        <x:v>0.8888888889</x:v>
      </x:c>
      <x:c r="W414" s="203" t="n">
        <x:v>500</x:v>
      </x:c>
      <x:c r="X414" s="203" t="n">
        <x:v>39061.9457308613</x:v>
      </x:c>
      <x:c r="Y414" s="203" t="n">
        <x:v>100991.4055249977</x:v>
      </x:c>
      <x:c r="Z414" s="193" t="b">
        <x:v>0</x:v>
      </x:c>
      <x:c r="AA414" s="193" t="b">
        <x:v>0</x:v>
      </x:c>
      <x:c r="AB414" s="193" t="b">
        <x:v>1</x:v>
      </x:c>
      <x:c r="AC414" s="193" t="b">
        <x:v>1</x:v>
      </x:c>
      <x:c r="AD414" s="193" t="b">
        <x:v>0</x:v>
      </x:c>
      <x:c r="AE414" s="193" t="b">
        <x:v>1</x:v>
      </x:c>
      <x:c r="AF414" s="193" t="b">
        <x:v>1</x:v>
      </x:c>
      <x:c r="AG414" s="193" t="b">
        <x:v>1</x:v>
      </x:c>
      <x:c r="AH414" s="193" t="b">
        <x:v>1</x:v>
      </x:c>
      <x:c r="AI414" s="193" t="b">
        <x:v>1</x:v>
      </x:c>
      <x:c r="AJ414" s="193" t="b">
        <x:v>1</x:v>
      </x:c>
    </x:row>
    <x:row r="415">
      <x:c r="A415" s="192" t="n">
        <x:v>22810332</x:v>
      </x:c>
      <x:c r="B415" s="192" t="str">
        <x:v>https://www.airbnb.com.br/rooms/22810332</x:v>
      </x:c>
      <x:c r="C415" s="192" t="str">
        <x:v>Loft 1 quarto beira mar</x:v>
      </x:c>
      <x:c r="D415" s="192" t="str">
        <x:v>Meia Praia</x:v>
      </x:c>
      <x:c r="E415" s="192" t="n">
        <x:v>-27.12723</x:v>
      </x:c>
      <x:c r="F415" s="192" t="n">
        <x:v>-48.602</x:v>
      </x:c>
      <x:c r="G415" s="192" t="str">
        <x:v>apartamento</x:v>
      </x:c>
      <x:c r="H415" s="192" t="n">
        <x:v>1</x:v>
      </x:c>
      <x:c r="I415" s="192" t="n">
        <x:v>1</x:v>
      </x:c>
      <x:c r="J415" s="192" t="n">
        <x:v>1</x:v>
      </x:c>
      <x:c r="K415" s="192" t="n">
        <x:v>2</x:v>
      </x:c>
      <x:c r="L415" s="192" t="n">
        <x:v>31</x:v>
      </x:c>
      <x:c r="M415" s="192" t="n">
        <x:v>4.7699999809</x:v>
      </x:c>
      <x:c r="N415" s="192" t="n">
        <x:v>0</x:v>
      </x:c>
      <x:c r="O415" s="192" t="n">
        <x:v>14</x:v>
      </x:c>
      <x:c r="P415" s="193" t="b">
        <x:v>0</x:v>
      </x:c>
      <x:c r="Q415" s="193" t="b">
        <x:v>0</x:v>
      </x:c>
      <x:c r="R415" s="193" t="b">
        <x:v>1</x:v>
      </x:c>
      <x:c r="S415" s="193" t="b">
        <x:v>0</x:v>
      </x:c>
      <x:c r="T415" s="192" t="n">
        <x:v>65</x:v>
      </x:c>
      <x:c r="U415" s="192" t="n">
        <x:v>25</x:v>
      </x:c>
      <x:c r="V415" s="200" t="n">
        <x:v>0.2777777778</x:v>
      </x:c>
      <x:c r="W415" s="203" t="n">
        <x:v>480</x:v>
      </x:c>
      <x:c r="X415" s="203" t="n">
        <x:v>11921.2563362244</x:v>
      </x:c>
      <x:c r="Y415" s="203" t="n">
        <x:v>30821.4148192802</x:v>
      </x:c>
      <x:c r="Z415" s="193" t="b">
        <x:v>1</x:v>
      </x:c>
      <x:c r="AA415" s="193" t="b">
        <x:v>0</x:v>
      </x:c>
      <x:c r="AB415" s="193" t="b">
        <x:v>1</x:v>
      </x:c>
      <x:c r="AC415" s="193" t="b">
        <x:v>1</x:v>
      </x:c>
      <x:c r="AD415" s="193" t="b">
        <x:v>1</x:v>
      </x:c>
      <x:c r="AE415" s="193" t="b">
        <x:v>1</x:v>
      </x:c>
      <x:c r="AF415" s="193" t="b">
        <x:v>0</x:v>
      </x:c>
      <x:c r="AG415" s="193" t="b">
        <x:v>1</x:v>
      </x:c>
      <x:c r="AH415" s="193" t="b">
        <x:v>1</x:v>
      </x:c>
      <x:c r="AI415" s="193" t="b">
        <x:v>1</x:v>
      </x:c>
      <x:c r="AJ415" s="193" t="b">
        <x:v>1</x:v>
      </x:c>
    </x:row>
    <x:row r="416">
      <x:c r="A416" s="192" t="n">
        <x:v>48941838</x:v>
      </x:c>
      <x:c r="B416" s="192" t="str">
        <x:v>https://www.airbnb.com.br/rooms/48941838</x:v>
      </x:c>
      <x:c r="C416" s="192" t="str">
        <x:v>Quadra Mar Itapema</x:v>
      </x:c>
      <x:c r="D416" s="192" t="str">
        <x:v>Centro</x:v>
      </x:c>
      <x:c r="E416" s="192" t="n">
        <x:v>-27.09509</x:v>
      </x:c>
      <x:c r="F416" s="192" t="n">
        <x:v>-48.6124</x:v>
      </x:c>
      <x:c r="G416" s="192" t="str">
        <x:v>apartamento</x:v>
      </x:c>
      <x:c r="H416" s="192" t="n">
        <x:v>2</x:v>
      </x:c>
      <x:c r="I416" s="192" t="n">
        <x:v>2</x:v>
      </x:c>
      <x:c r="J416" s="192" t="n">
        <x:v>3</x:v>
      </x:c>
      <x:c r="K416" s="192" t="n">
        <x:v>6</x:v>
      </x:c>
      <x:c r="L416" s="192" t="n">
        <x:v>25</x:v>
      </x:c>
      <x:c r="M416" s="192" t="n">
        <x:v>4.4800000191</x:v>
      </x:c>
      <x:c r="N416" s="192" t="n">
        <x:v>180</x:v>
      </x:c>
      <x:c r="O416" s="192" t="n">
        <x:v>24</x:v>
      </x:c>
      <x:c r="P416" s="193" t="b">
        <x:v>0</x:v>
      </x:c>
      <x:c r="Q416" s="193" t="b">
        <x:v>0</x:v>
      </x:c>
      <x:c r="R416" s="193" t="b">
        <x:v>0</x:v>
      </x:c>
      <x:c r="S416" s="193" t="b">
        <x:v>0</x:v>
      </x:c>
      <x:c r="T416" s="192" t="n">
        <x:v>41</x:v>
      </x:c>
      <x:c r="U416" s="192" t="n">
        <x:v>49</x:v>
      </x:c>
      <x:c r="V416" s="200" t="n">
        <x:v>0.5444444444</x:v>
      </x:c>
      <x:c r="W416" s="203" t="n">
        <x:v>370</x:v>
      </x:c>
      <x:c r="X416" s="203" t="n">
        <x:v>18700.0885189091</x:v>
      </x:c>
      <x:c r="Y416" s="203" t="n">
        <x:v>48347.5205249296</x:v>
      </x:c>
      <x:c r="Z416" s="193" t="b">
        <x:v>1</x:v>
      </x:c>
      <x:c r="AA416" s="193" t="b">
        <x:v>0</x:v>
      </x:c>
      <x:c r="AB416" s="193" t="b">
        <x:v>1</x:v>
      </x:c>
      <x:c r="AC416" s="193" t="b">
        <x:v>1</x:v>
      </x:c>
      <x:c r="AD416" s="193" t="b">
        <x:v>1</x:v>
      </x:c>
      <x:c r="AE416" s="193" t="b">
        <x:v>1</x:v>
      </x:c>
      <x:c r="AF416" s="193" t="b">
        <x:v>1</x:v>
      </x:c>
      <x:c r="AG416" s="193" t="b">
        <x:v>1</x:v>
      </x:c>
      <x:c r="AH416" s="193" t="b">
        <x:v>1</x:v>
      </x:c>
      <x:c r="AI416" s="193" t="b">
        <x:v>1</x:v>
      </x:c>
      <x:c r="AJ416" s="193" t="b">
        <x:v>1</x:v>
      </x:c>
    </x:row>
    <x:row r="417">
      <x:c r="A417" s="192" t="n">
        <x:v>45923984</x:v>
      </x:c>
      <x:c r="B417" s="192" t="str">
        <x:v>https://www.airbnb.com.br/rooms/45923984</x:v>
      </x:c>
      <x:c r="C417" s="192" t="str">
        <x:v>Apartamento completo no centro de Itapema</x:v>
      </x:c>
      <x:c r="D417" s="192" t="str">
        <x:v>Canto da Praia</x:v>
      </x:c>
      <x:c r="E417" s="192" t="n">
        <x:v>-27.0879993439</x:v>
      </x:c>
      <x:c r="F417" s="192" t="n">
        <x:v>-48.6040000916</x:v>
      </x:c>
      <x:c r="G417" s="192" t="str">
        <x:v>apartamento</x:v>
      </x:c>
      <x:c r="H417" s="192" t="n">
        <x:v>3</x:v>
      </x:c>
      <x:c r="I417" s="192" t="n">
        <x:v>3</x:v>
      </x:c>
      <x:c r="J417" s="192" t="n">
        <x:v>3</x:v>
      </x:c>
      <x:c r="K417" s="192" t="n">
        <x:v>8</x:v>
      </x:c>
      <x:c r="L417" s="192" t="n">
        <x:v>35</x:v>
      </x:c>
      <x:c r="M417" s="192" t="n">
        <x:v>4.9400000572</x:v>
      </x:c>
      <x:c r="N417" s="192" t="n">
        <x:v>150</x:v>
      </x:c>
      <x:c r="O417" s="192" t="n">
        <x:v>60</x:v>
      </x:c>
      <x:c r="P417" s="193" t="b">
        <x:v>0</x:v>
      </x:c>
      <x:c r="Q417" s="193" t="b">
        <x:v>0</x:v>
      </x:c>
      <x:c r="R417" s="193" t="b">
        <x:v>1</x:v>
      </x:c>
      <x:c r="S417" s="193" t="b">
        <x:v>0</x:v>
      </x:c>
      <x:c r="T417" s="192" t="n">
        <x:v>28</x:v>
      </x:c>
      <x:c r="U417" s="192" t="n">
        <x:v>62</x:v>
      </x:c>
      <x:c r="V417" s="200" t="n">
        <x:v>0.6888888889</x:v>
      </x:c>
      <x:c r="W417" s="203" t="n">
        <x:v>307.625</x:v>
      </x:c>
      <x:c r="X417" s="203" t="n">
        <x:v>19507.896821842</x:v>
      </x:c>
      <x:c r="Y417" s="203" t="n">
        <x:v>50436.041574804</x:v>
      </x:c>
      <x:c r="Z417" s="193" t="b">
        <x:v>1</x:v>
      </x:c>
      <x:c r="AA417" s="193" t="b">
        <x:v>0</x:v>
      </x:c>
      <x:c r="AB417" s="193" t="b">
        <x:v>1</x:v>
      </x:c>
      <x:c r="AC417" s="193" t="b">
        <x:v>1</x:v>
      </x:c>
      <x:c r="AD417" s="193" t="b">
        <x:v>1</x:v>
      </x:c>
      <x:c r="AE417" s="193" t="b">
        <x:v>0</x:v>
      </x:c>
      <x:c r="AF417" s="193" t="b">
        <x:v>1</x:v>
      </x:c>
      <x:c r="AG417" s="193" t="b">
        <x:v>1</x:v>
      </x:c>
      <x:c r="AH417" s="193" t="b">
        <x:v>1</x:v>
      </x:c>
      <x:c r="AI417" s="193" t="b">
        <x:v>1</x:v>
      </x:c>
      <x:c r="AJ417" s="193" t="b">
        <x:v>1</x:v>
      </x:c>
    </x:row>
    <x:row r="418">
      <x:c r="A418" s="192" t="n">
        <x:v>46598066</x:v>
      </x:c>
      <x:c r="B418" s="192" t="str">
        <x:v>https://www.airbnb.com.br/rooms/46598066</x:v>
      </x:c>
      <x:c r="C418" s="192" t="str">
        <x:v>Apto. Frente Mar Itapema, Praia Central!</x:v>
      </x:c>
      <x:c r="D418" s="192" t="str">
        <x:v>Centro</x:v>
      </x:c>
      <x:c r="E418" s="192" t="n">
        <x:v>-27.09461</x:v>
      </x:c>
      <x:c r="F418" s="192" t="n">
        <x:v>-48.61287</x:v>
      </x:c>
      <x:c r="G418" s="192" t="str">
        <x:v>apartamento</x:v>
      </x:c>
      <x:c r="H418" s="192" t="n">
        <x:v>2</x:v>
      </x:c>
      <x:c r="I418" s="192" t="n">
        <x:v>2</x:v>
      </x:c>
      <x:c r="J418" s="192" t="n">
        <x:v>2</x:v>
      </x:c>
      <x:c r="K418" s="192" t="n">
        <x:v>6</x:v>
      </x:c>
      <x:c r="L418" s="192" t="n">
        <x:v>18</x:v>
      </x:c>
      <x:c r="M418" s="192" t="n">
        <x:v>5</x:v>
      </x:c>
      <x:c r="N418" s="192" t="n">
        <x:v>250</x:v>
      </x:c>
      <x:c r="O418" s="192" t="n">
        <x:v>129</x:v>
      </x:c>
      <x:c r="P418" s="193" t="b">
        <x:v>0</x:v>
      </x:c>
      <x:c r="Q418" s="193" t="b">
        <x:v>0</x:v>
      </x:c>
      <x:c r="R418" s="193" t="b">
        <x:v>1</x:v>
      </x:c>
      <x:c r="S418" s="193" t="b">
        <x:v>1</x:v>
      </x:c>
      <x:c r="T418" s="192" t="n">
        <x:v>74</x:v>
      </x:c>
      <x:c r="U418" s="192" t="n">
        <x:v>16</x:v>
      </x:c>
      <x:c r="V418" s="200" t="n">
        <x:v>0.1777777778</x:v>
      </x:c>
      <x:c r="W418" s="203" t="n">
        <x:v>1000</x:v>
      </x:c>
      <x:c r="X418" s="203" t="n">
        <x:v>16050.3381759312</x:v>
      </x:c>
      <x:c r="Y418" s="203" t="n">
        <x:v>41496.8118256888</x:v>
      </x:c>
      <x:c r="Z418" s="193" t="b">
        <x:v>1</x:v>
      </x:c>
      <x:c r="AA418" s="193" t="b">
        <x:v>1</x:v>
      </x:c>
      <x:c r="AB418" s="193" t="b">
        <x:v>1</x:v>
      </x:c>
      <x:c r="AC418" s="193" t="b">
        <x:v>1</x:v>
      </x:c>
      <x:c r="AD418" s="193" t="b">
        <x:v>1</x:v>
      </x:c>
      <x:c r="AE418" s="193" t="b">
        <x:v>1</x:v>
      </x:c>
      <x:c r="AF418" s="193" t="b">
        <x:v>1</x:v>
      </x:c>
      <x:c r="AG418" s="193" t="b">
        <x:v>1</x:v>
      </x:c>
      <x:c r="AH418" s="193" t="b">
        <x:v>1</x:v>
      </x:c>
      <x:c r="AI418" s="193" t="b">
        <x:v>1</x:v>
      </x:c>
      <x:c r="AJ418" s="193" t="b">
        <x:v>1</x:v>
      </x:c>
    </x:row>
    <x:row r="419">
      <x:c r="A419" s="192" t="n">
        <x:v>41260111</x:v>
      </x:c>
      <x:c r="B419" s="192" t="str">
        <x:v>https://www.airbnb.com.br/rooms/41260111</x:v>
      </x:c>
      <x:c r="C419" s="192" t="str">
        <x:v>501 Bom demais  30 mt do mar</x:v>
      </x:c>
      <x:c r="D419" s="192" t="str">
        <x:v>Meia Praia</x:v>
      </x:c>
      <x:c r="E419" s="192" t="n">
        <x:v>-27.1359996796</x:v>
      </x:c>
      <x:c r="F419" s="192" t="n">
        <x:v>-48.5950012207</x:v>
      </x:c>
      <x:c r="G419" s="192" t="str">
        <x:v>apartamento</x:v>
      </x:c>
      <x:c r="H419" s="192" t="n">
        <x:v>4</x:v>
      </x:c>
      <x:c r="I419" s="192" t="n">
        <x:v>3</x:v>
      </x:c>
      <x:c r="J419" s="192" t="n">
        <x:v>6</x:v>
      </x:c>
      <x:c r="K419" s="192" t="n">
        <x:v>11</x:v>
      </x:c>
      <x:c r="L419" s="192" t="n">
        <x:v>6</x:v>
      </x:c>
      <x:c r="M419" s="192" t="n">
        <x:v>5</x:v>
      </x:c>
      <x:c r="N419" s="192" t="n">
        <x:v>400</x:v>
      </x:c>
      <x:c r="O419" s="192" t="n">
        <x:v>47</x:v>
      </x:c>
      <x:c r="P419" s="193" t="b">
        <x:v>0</x:v>
      </x:c>
      <x:c r="Q419" s="193" t="b">
        <x:v>0</x:v>
      </x:c>
      <x:c r="R419" s="193" t="b">
        <x:v>0</x:v>
      </x:c>
      <x:c r="S419" s="193" t="b">
        <x:v>0</x:v>
      </x:c>
      <x:c r="T419" s="192" t="n">
        <x:v>77</x:v>
      </x:c>
      <x:c r="U419" s="192" t="n">
        <x:v>13</x:v>
      </x:c>
      <x:c r="V419" s="200" t="n">
        <x:v>0.1444444444</x:v>
      </x:c>
      <x:c r="W419" s="203" t="n">
        <x:v>1817</x:v>
      </x:c>
      <x:c r="X419" s="203" t="n">
        <x:v>23563.7474381389</x:v>
      </x:c>
      <x:c r="Y419" s="203" t="n">
        <x:v>60922.1053556884</x:v>
      </x:c>
      <x:c r="Z419" s="193" t="b">
        <x:v>1</x:v>
      </x:c>
      <x:c r="AA419" s="193" t="b">
        <x:v>0</x:v>
      </x:c>
      <x:c r="AB419" s="193" t="b">
        <x:v>1</x:v>
      </x:c>
      <x:c r="AC419" s="193" t="b">
        <x:v>1</x:v>
      </x:c>
      <x:c r="AD419" s="193" t="b">
        <x:v>1</x:v>
      </x:c>
      <x:c r="AE419" s="193" t="b">
        <x:v>1</x:v>
      </x:c>
      <x:c r="AF419" s="193" t="b">
        <x:v>1</x:v>
      </x:c>
      <x:c r="AG419" s="193" t="b">
        <x:v>1</x:v>
      </x:c>
      <x:c r="AH419" s="193" t="b">
        <x:v>1</x:v>
      </x:c>
      <x:c r="AI419" s="193" t="b">
        <x:v>1</x:v>
      </x:c>
      <x:c r="AJ419" s="193" t="b">
        <x:v>1</x:v>
      </x:c>
    </x:row>
    <x:row r="420">
      <x:c r="A420" s="192" t="n">
        <x:v>48243472</x:v>
      </x:c>
      <x:c r="B420" s="192" t="str">
        <x:v>https://www.airbnb.com.br/rooms/48243472</x:v>
      </x:c>
      <x:c r="C420" s="192" t="str">
        <x:v>Frente Mar, vista deslumbrante em Itapema!.</x:v>
      </x:c>
      <x:c r="D420" s="192" t="str">
        <x:v>Centro</x:v>
      </x:c>
      <x:c r="E420" s="192" t="n">
        <x:v>-27.0949993134</x:v>
      </x:c>
      <x:c r="F420" s="192" t="n">
        <x:v>-48.6139984131</x:v>
      </x:c>
      <x:c r="G420" s="192" t="str">
        <x:v>apartamento</x:v>
      </x:c>
      <x:c r="H420" s="192" t="n">
        <x:v>3</x:v>
      </x:c>
      <x:c r="I420" s="192" t="n">
        <x:v>3</x:v>
      </x:c>
      <x:c r="J420" s="192" t="n">
        <x:v>5</x:v>
      </x:c>
      <x:c r="K420" s="192" t="n">
        <x:v>8</x:v>
      </x:c>
      <x:c r="L420" s="192" t="n">
        <x:v>49</x:v>
      </x:c>
      <x:c r="M420" s="192" t="n">
        <x:v>5</x:v>
      </x:c>
      <x:c r="N420" s="192" t="n">
        <x:v>550</x:v>
      </x:c>
      <x:c r="O420" s="192" t="n">
        <x:v>64</x:v>
      </x:c>
      <x:c r="P420" s="193" t="b">
        <x:v>1</x:v>
      </x:c>
      <x:c r="Q420" s="193" t="b">
        <x:v>0</x:v>
      </x:c>
      <x:c r="R420" s="193" t="b">
        <x:v>1</x:v>
      </x:c>
      <x:c r="S420" s="193" t="b">
        <x:v>1</x:v>
      </x:c>
      <x:c r="T420" s="192" t="n">
        <x:v>48</x:v>
      </x:c>
      <x:c r="U420" s="192" t="n">
        <x:v>42</x:v>
      </x:c>
      <x:c r="V420" s="200" t="n">
        <x:v>0.4666666667</x:v>
      </x:c>
      <x:c r="W420" s="203" t="n">
        <x:v>1182</x:v>
      </x:c>
      <x:c r="X420" s="203" t="n">
        <x:v>47888.7015209015</x:v>
      </x:c>
      <x:c r="Y420" s="203" t="n">
        <x:v>123812.247057164</x:v>
      </x:c>
      <x:c r="Z420" s="193" t="b">
        <x:v>1</x:v>
      </x:c>
      <x:c r="AA420" s="193" t="b">
        <x:v>1</x:v>
      </x:c>
      <x:c r="AB420" s="193" t="b">
        <x:v>1</x:v>
      </x:c>
      <x:c r="AC420" s="193" t="b">
        <x:v>1</x:v>
      </x:c>
      <x:c r="AD420" s="193" t="b">
        <x:v>1</x:v>
      </x:c>
      <x:c r="AE420" s="193" t="b">
        <x:v>1</x:v>
      </x:c>
      <x:c r="AF420" s="193" t="b">
        <x:v>1</x:v>
      </x:c>
      <x:c r="AG420" s="193" t="b">
        <x:v>1</x:v>
      </x:c>
      <x:c r="AH420" s="193" t="b">
        <x:v>1</x:v>
      </x:c>
      <x:c r="AI420" s="193" t="b">
        <x:v>1</x:v>
      </x:c>
      <x:c r="AJ420" s="193" t="b">
        <x:v>1</x:v>
      </x:c>
    </x:row>
    <x:row r="421">
      <x:c r="A421" s="192" t="n">
        <x:v>40039627</x:v>
      </x:c>
      <x:c r="B421" s="192" t="str">
        <x:v>https://www.airbnb.com.br/rooms/40039627</x:v>
      </x:c>
      <x:c r="C421" s="192" t="str">
        <x:v>Nilmare Apart Hotel - Suite Privativa c/ Cozinha 4</x:v>
      </x:c>
      <x:c r="D421" s="192" t="str">
        <x:v>Centro</x:v>
      </x:c>
      <x:c r="E421" s="192" t="n">
        <x:v>-27.0902</x:v>
      </x:c>
      <x:c r="F421" s="192" t="n">
        <x:v>-48.61245</x:v>
      </x:c>
      <x:c r="G421" s="192" t="str">
        <x:v>apartamento</x:v>
      </x:c>
      <x:c r="H421" s="192" t="n">
        <x:v>1</x:v>
      </x:c>
      <x:c r="I421" s="192" t="n">
        <x:v>1</x:v>
      </x:c>
      <x:c r="J421" s="192" t="n">
        <x:v>2</x:v>
      </x:c>
      <x:c r="K421" s="192" t="n">
        <x:v>3</x:v>
      </x:c>
      <x:c r="L421" s="192" t="n">
        <x:v>504</x:v>
      </x:c>
      <x:c r="M421" s="192" t="n">
        <x:v>4.8400001526</x:v>
      </x:c>
      <x:c r="N421" s="192" t="n">
        <x:v>35</x:v>
      </x:c>
      <x:c r="O421" s="192" t="n">
        <x:v>8</x:v>
      </x:c>
      <x:c r="P421" s="193" t="b">
        <x:v>1</x:v>
      </x:c>
      <x:c r="Q421" s="193" t="b">
        <x:v>1</x:v>
      </x:c>
      <x:c r="R421" s="193" t="b">
        <x:v>0</x:v>
      </x:c>
      <x:c r="S421" s="193" t="b">
        <x:v>1</x:v>
      </x:c>
      <x:c r="T421" s="192" t="n">
        <x:v>67</x:v>
      </x:c>
      <x:c r="U421" s="192" t="n">
        <x:v>23</x:v>
      </x:c>
      <x:c r="V421" s="200" t="n">
        <x:v>0.2555555556</x:v>
      </x:c>
      <x:c r="W421" s="203" t="n">
        <x:v>292</x:v>
      </x:c>
      <x:c r="X421" s="203" t="n">
        <x:v>6714.0598659286</x:v>
      </x:c>
      <x:c r="Y421" s="203" t="n">
        <x:v>17358.6422783695</x:v>
      </x:c>
      <x:c r="Z421" s="193" t="b">
        <x:v>1</x:v>
      </x:c>
      <x:c r="AA421" s="193" t="b">
        <x:v>1</x:v>
      </x:c>
      <x:c r="AB421" s="193" t="b">
        <x:v>1</x:v>
      </x:c>
      <x:c r="AC421" s="193" t="b">
        <x:v>1</x:v>
      </x:c>
      <x:c r="AD421" s="193" t="b">
        <x:v>1</x:v>
      </x:c>
      <x:c r="AE421" s="193" t="b">
        <x:v>0</x:v>
      </x:c>
      <x:c r="AF421" s="193" t="b">
        <x:v>0</x:v>
      </x:c>
      <x:c r="AG421" s="193" t="b">
        <x:v>1</x:v>
      </x:c>
      <x:c r="AH421" s="193" t="b">
        <x:v>1</x:v>
      </x:c>
      <x:c r="AI421" s="193" t="b">
        <x:v>1</x:v>
      </x:c>
      <x:c r="AJ421" s="193" t="b">
        <x:v>0</x:v>
      </x:c>
    </x:row>
    <x:row r="422">
      <x:c r="A422" s="192" t="n">
        <x:v>1053522951026570500</x:v>
      </x:c>
      <x:c r="B422" s="192" t="str">
        <x:v>https://www.airbnb.com.br/rooms/1053522951026570547</x:v>
      </x:c>
      <x:c r="C422" s="192" t="str">
        <x:v>Cobertura Rooftop c/ Jacuzzi privativa vista mar</x:v>
      </x:c>
      <x:c r="D422" s="192" t="str">
        <x:v>Canto da Praia</x:v>
      </x:c>
      <x:c r="E422" s="192" t="n">
        <x:v>-27.08859</x:v>
      </x:c>
      <x:c r="F422" s="192" t="n">
        <x:v>-48.60563</x:v>
      </x:c>
      <x:c r="G422" s="192" t="str">
        <x:v>apartamento</x:v>
      </x:c>
      <x:c r="H422" s="192" t="n">
        <x:v>2</x:v>
      </x:c>
      <x:c r="I422" s="192" t="n">
        <x:v>2</x:v>
      </x:c>
      <x:c r="J422" s="192" t="n">
        <x:v>3</x:v>
      </x:c>
      <x:c r="K422" s="192" t="n">
        <x:v>6</x:v>
      </x:c>
      <x:c r="L422" s="192" t="n">
        <x:v>12</x:v>
      </x:c>
      <x:c r="M422" s="192" t="n">
        <x:v>4.8299999237</x:v>
      </x:c>
      <x:c r="N422" s="192" t="n">
        <x:v>250</x:v>
      </x:c>
      <x:c r="O422" s="192" t="n">
        <x:v>31</x:v>
      </x:c>
      <x:c r="P422" s="193" t="b">
        <x:v>0</x:v>
      </x:c>
      <x:c r="Q422" s="193" t="b">
        <x:v>0</x:v>
      </x:c>
      <x:c r="R422" s="193" t="b">
        <x:v>0</x:v>
      </x:c>
      <x:c r="S422" s="193" t="b">
        <x:v>0</x:v>
      </x:c>
      <x:c r="T422" s="192" t="n">
        <x:v>65</x:v>
      </x:c>
      <x:c r="U422" s="192" t="n">
        <x:v>25</x:v>
      </x:c>
      <x:c r="V422" s="200" t="n">
        <x:v>0.2777777778</x:v>
      </x:c>
      <x:c r="W422" s="203" t="n">
        <x:v>583</x:v>
      </x:c>
      <x:c r="X422" s="203" t="n">
        <x:v>15800.5275134389</x:v>
      </x:c>
      <x:c r="Y422" s="203" t="n">
        <x:v>40850.9471753701</x:v>
      </x:c>
      <x:c r="Z422" s="193" t="b">
        <x:v>1</x:v>
      </x:c>
      <x:c r="AA422" s="193" t="b">
        <x:v>0</x:v>
      </x:c>
      <x:c r="AB422" s="193" t="b">
        <x:v>1</x:v>
      </x:c>
      <x:c r="AC422" s="193" t="b">
        <x:v>1</x:v>
      </x:c>
      <x:c r="AD422" s="193" t="b">
        <x:v>0</x:v>
      </x:c>
      <x:c r="AE422" s="193" t="b">
        <x:v>1</x:v>
      </x:c>
      <x:c r="AF422" s="193" t="b">
        <x:v>1</x:v>
      </x:c>
      <x:c r="AG422" s="193" t="b">
        <x:v>0</x:v>
      </x:c>
      <x:c r="AH422" s="193" t="b">
        <x:v>1</x:v>
      </x:c>
      <x:c r="AI422" s="193" t="b">
        <x:v>1</x:v>
      </x:c>
      <x:c r="AJ422" s="193" t="b">
        <x:v>0</x:v>
      </x:c>
    </x:row>
    <x:row r="423">
      <x:c r="A423" s="192" t="n">
        <x:v>1046547202929220500</x:v>
      </x:c>
      <x:c r="B423" s="192" t="str">
        <x:v>https://www.airbnb.com.br/rooms/1046547202929220520</x:v>
      </x:c>
      <x:c r="C423" s="192" t="str">
        <x:v>Loft em Itapema 50 metros do Mar</x:v>
      </x:c>
      <x:c r="D423" s="192" t="str">
        <x:v>Meia Praia</x:v>
      </x:c>
      <x:c r="E423" s="192" t="n">
        <x:v>-27.1219997406</x:v>
      </x:c>
      <x:c r="F423" s="192" t="n">
        <x:v>-48.6059989929</x:v>
      </x:c>
      <x:c r="G423" s="192" t="str">
        <x:v>apartamento</x:v>
      </x:c>
      <x:c r="H423" s="192" t="n">
        <x:v>1</x:v>
      </x:c>
      <x:c r="I423" s="192" t="n">
        <x:v>1</x:v>
      </x:c>
      <x:c r="J423" s="192" t="n">
        <x:v>1</x:v>
      </x:c>
      <x:c r="K423" s="192" t="n">
        <x:v>2</x:v>
      </x:c>
      <x:c r="L423" s="192" t="n">
        <x:v>15</x:v>
      </x:c>
      <x:c r="M423" s="192" t="n">
        <x:v>4.8699998856</x:v>
      </x:c>
      <x:c r="N423" s="192" t="n">
        <x:v>0</x:v>
      </x:c>
      <x:c r="O423" s="192" t="n">
        <x:v>24</x:v>
      </x:c>
      <x:c r="P423" s="193" t="b">
        <x:v>0</x:v>
      </x:c>
      <x:c r="Q423" s="193" t="b">
        <x:v>0</x:v>
      </x:c>
      <x:c r="R423" s="193" t="b">
        <x:v>1</x:v>
      </x:c>
      <x:c r="S423" s="193" t="b">
        <x:v>1</x:v>
      </x:c>
      <x:c r="T423" s="192" t="n">
        <x:v>56</x:v>
      </x:c>
      <x:c r="U423" s="192" t="n">
        <x:v>34</x:v>
      </x:c>
      <x:c r="V423" s="200" t="n">
        <x:v>0.3777777778</x:v>
      </x:c>
      <x:c r="W423" s="203" t="n">
        <x:v>376.5</x:v>
      </x:c>
      <x:c r="X423" s="203" t="n">
        <x:v>13216.0841936284</x:v>
      </x:c>
      <x:c r="Y423" s="203" t="n">
        <x:v>34169.0843422768</x:v>
      </x:c>
      <x:c r="Z423" s="193" t="b">
        <x:v>1</x:v>
      </x:c>
      <x:c r="AA423" s="193" t="b">
        <x:v>0</x:v>
      </x:c>
      <x:c r="AB423" s="193" t="b">
        <x:v>1</x:v>
      </x:c>
      <x:c r="AC423" s="193" t="b">
        <x:v>0</x:v>
      </x:c>
      <x:c r="AD423" s="193" t="b">
        <x:v>1</x:v>
      </x:c>
      <x:c r="AE423" s="193" t="b">
        <x:v>1</x:v>
      </x:c>
      <x:c r="AF423" s="193" t="b">
        <x:v>1</x:v>
      </x:c>
      <x:c r="AG423" s="193" t="b">
        <x:v>1</x:v>
      </x:c>
      <x:c r="AH423" s="193" t="b">
        <x:v>1</x:v>
      </x:c>
      <x:c r="AI423" s="193" t="b">
        <x:v>1</x:v>
      </x:c>
      <x:c r="AJ423" s="193" t="b">
        <x:v>1</x:v>
      </x:c>
    </x:row>
    <x:row r="424">
      <x:c r="A424" s="192" t="n">
        <x:v>49968308</x:v>
      </x:c>
      <x:c r="B424" s="192" t="str">
        <x:v>https://www.airbnb.com.br/rooms/49968308</x:v>
      </x:c>
      <x:c r="C424" s="192" t="str">
        <x:v>Beira Mar</x:v>
      </x:c>
      <x:c r="D424" s="192" t="str">
        <x:v>Meia Praia</x:v>
      </x:c>
      <x:c r="E424" s="192" t="n">
        <x:v>-27.13561</x:v>
      </x:c>
      <x:c r="F424" s="192" t="n">
        <x:v>-48.59567</x:v>
      </x:c>
      <x:c r="G424" s="192" t="str">
        <x:v>apartamento</x:v>
      </x:c>
      <x:c r="H424" s="192" t="n">
        <x:v>3</x:v>
      </x:c>
      <x:c r="I424" s="192" t="n">
        <x:v>2</x:v>
      </x:c>
      <x:c r="J424" s="192" t="n">
        <x:v>4</x:v>
      </x:c>
      <x:c r="K424" s="192" t="n">
        <x:v>6</x:v>
      </x:c>
      <x:c r="L424" s="192" t="n">
        <x:v>26</x:v>
      </x:c>
      <x:c r="M424" s="192" t="n">
        <x:v>5</x:v>
      </x:c>
      <x:c r="N424" s="192" t="n">
        <x:v>250</x:v>
      </x:c>
      <x:c r="O424" s="192" t="n">
        <x:v>16</x:v>
      </x:c>
      <x:c r="P424" s="193" t="b">
        <x:v>0</x:v>
      </x:c>
      <x:c r="Q424" s="193" t="b">
        <x:v>0</x:v>
      </x:c>
      <x:c r="R424" s="193" t="b">
        <x:v>1</x:v>
      </x:c>
      <x:c r="S424" s="193" t="b">
        <x:v>0</x:v>
      </x:c>
      <x:c r="T424" s="192" t="n">
        <x:v>7</x:v>
      </x:c>
      <x:c r="U424" s="192" t="n">
        <x:v>83</x:v>
      </x:c>
      <x:c r="V424" s="200" t="n">
        <x:v>0.9222222222</x:v>
      </x:c>
      <x:c r="W424" s="203" t="n">
        <x:v>800</x:v>
      </x:c>
      <x:c r="X424" s="203" t="n">
        <x:v>66595.9516749585</x:v>
      </x:c>
      <x:c r="Y424" s="203" t="n">
        <x:v>172178.2833929657</x:v>
      </x:c>
      <x:c r="Z424" s="193" t="b">
        <x:v>0</x:v>
      </x:c>
      <x:c r="AA424" s="193" t="b">
        <x:v>0</x:v>
      </x:c>
      <x:c r="AB424" s="193" t="b">
        <x:v>1</x:v>
      </x:c>
      <x:c r="AC424" s="193" t="b">
        <x:v>1</x:v>
      </x:c>
      <x:c r="AD424" s="193" t="b">
        <x:v>1</x:v>
      </x:c>
      <x:c r="AE424" s="193" t="b">
        <x:v>1</x:v>
      </x:c>
      <x:c r="AF424" s="193" t="b">
        <x:v>1</x:v>
      </x:c>
      <x:c r="AG424" s="193" t="b">
        <x:v>1</x:v>
      </x:c>
      <x:c r="AH424" s="193" t="b">
        <x:v>1</x:v>
      </x:c>
      <x:c r="AI424" s="193" t="b">
        <x:v>1</x:v>
      </x:c>
      <x:c r="AJ424" s="193" t="b">
        <x:v>1</x:v>
      </x:c>
    </x:row>
    <x:row r="425">
      <x:c r="A425" s="192" t="n">
        <x:v>53915734</x:v>
      </x:c>
      <x:c r="B425" s="192" t="str">
        <x:v>https://www.airbnb.com.br/rooms/53915734</x:v>
      </x:c>
      <x:c r="C425" s="192" t="str">
        <x:v>Itapema 500mts. da Praia Confortàvel-S.C. Brasil</x:v>
      </x:c>
      <x:c r="D425" s="192" t="str">
        <x:v>Morretes</x:v>
      </x:c>
      <x:c r="E425" s="192" t="n">
        <x:v>-27.11812</x:v>
      </x:c>
      <x:c r="F425" s="192" t="n">
        <x:v>-48.61205</x:v>
      </x:c>
      <x:c r="G425" s="192" t="str">
        <x:v>apartamento</x:v>
      </x:c>
      <x:c r="H425" s="192" t="n">
        <x:v>2</x:v>
      </x:c>
      <x:c r="I425" s="192" t="n">
        <x:v>3</x:v>
      </x:c>
      <x:c r="J425" s="192" t="n">
        <x:v>3</x:v>
      </x:c>
      <x:c r="K425" s="192" t="n">
        <x:v>4</x:v>
      </x:c>
      <x:c r="L425" s="192" t="n">
        <x:v>95</x:v>
      </x:c>
      <x:c r="M425" s="192" t="n">
        <x:v>4.75</x:v>
      </x:c>
      <x:c r="N425" s="192" t="n">
        <x:v>300</x:v>
      </x:c>
      <x:c r="O425" s="192" t="n">
        <x:v>79</x:v>
      </x:c>
      <x:c r="P425" s="193" t="b">
        <x:v>0</x:v>
      </x:c>
      <x:c r="Q425" s="193" t="b">
        <x:v>1</x:v>
      </x:c>
      <x:c r="R425" s="193" t="b">
        <x:v>0</x:v>
      </x:c>
      <x:c r="S425" s="193" t="b">
        <x:v>1</x:v>
      </x:c>
      <x:c r="T425" s="192" t="n">
        <x:v>45</x:v>
      </x:c>
      <x:c r="U425" s="192" t="n">
        <x:v>45</x:v>
      </x:c>
      <x:c r="V425" s="200" t="n">
        <x:v>0.5</x:v>
      </x:c>
      <x:c r="W425" s="203" t="n">
        <x:v>420</x:v>
      </x:c>
      <x:c r="X425" s="203" t="n">
        <x:v>18369.7955032518</x:v>
      </x:c>
      <x:c r="Y425" s="203" t="n">
        <x:v>47493.5754573655</x:v>
      </x:c>
      <x:c r="Z425" s="193" t="b">
        <x:v>1</x:v>
      </x:c>
      <x:c r="AA425" s="193" t="b">
        <x:v>0</x:v>
      </x:c>
      <x:c r="AB425" s="193" t="b">
        <x:v>1</x:v>
      </x:c>
      <x:c r="AC425" s="193" t="b">
        <x:v>1</x:v>
      </x:c>
      <x:c r="AD425" s="193" t="b">
        <x:v>1</x:v>
      </x:c>
      <x:c r="AE425" s="193" t="b">
        <x:v>1</x:v>
      </x:c>
      <x:c r="AF425" s="193" t="b">
        <x:v>1</x:v>
      </x:c>
      <x:c r="AG425" s="193" t="b">
        <x:v>1</x:v>
      </x:c>
      <x:c r="AH425" s="193" t="b">
        <x:v>1</x:v>
      </x:c>
      <x:c r="AI425" s="193" t="b">
        <x:v>1</x:v>
      </x:c>
      <x:c r="AJ425" s="193" t="b">
        <x:v>1</x:v>
      </x:c>
    </x:row>
    <x:row r="426">
      <x:c r="A426" s="192" t="n">
        <x:v>52474050</x:v>
      </x:c>
      <x:c r="B426" s="192" t="str">
        <x:v>https://www.airbnb.com.br/rooms/52474050</x:v>
      </x:c>
      <x:c r="C426" s="192" t="str">
        <x:v>Apartamento no coração da Meia Praia</x:v>
      </x:c>
      <x:c r="D426" s="192" t="str">
        <x:v>Meia Praia</x:v>
      </x:c>
      <x:c r="E426" s="192" t="n">
        <x:v>-27.12652</x:v>
      </x:c>
      <x:c r="F426" s="192" t="n">
        <x:v>-48.60601</x:v>
      </x:c>
      <x:c r="G426" s="192" t="str">
        <x:v>apartamento</x:v>
      </x:c>
      <x:c r="H426" s="192" t="n">
        <x:v>2</x:v>
      </x:c>
      <x:c r="I426" s="192" t="n">
        <x:v>2</x:v>
      </x:c>
      <x:c r="J426" s="192" t="n">
        <x:v>4</x:v>
      </x:c>
      <x:c r="K426" s="192" t="n">
        <x:v>7</x:v>
      </x:c>
      <x:c r="L426" s="192" t="n">
        <x:v>41</x:v>
      </x:c>
      <x:c r="M426" s="192" t="n">
        <x:v>4.9299998283</x:v>
      </x:c>
      <x:c r="N426" s="192" t="n">
        <x:v>250</x:v>
      </x:c>
      <x:c r="O426" s="192" t="n">
        <x:v>17</x:v>
      </x:c>
      <x:c r="P426" s="193" t="b">
        <x:v>0</x:v>
      </x:c>
      <x:c r="Q426" s="193" t="b">
        <x:v>0</x:v>
      </x:c>
      <x:c r="R426" s="193" t="b">
        <x:v>1</x:v>
      </x:c>
      <x:c r="S426" s="193" t="b">
        <x:v>0</x:v>
      </x:c>
      <x:c r="T426" s="192" t="n">
        <x:v>22</x:v>
      </x:c>
      <x:c r="U426" s="192" t="n">
        <x:v>68</x:v>
      </x:c>
      <x:c r="V426" s="200" t="n">
        <x:v>0.7555555556</x:v>
      </x:c>
      <x:c r="W426" s="203" t="n">
        <x:v>780</x:v>
      </x:c>
      <x:c r="X426" s="203" t="n">
        <x:v>53648.8333395496</x:v>
      </x:c>
      <x:c r="Y426" s="203" t="n">
        <x:v>138704.5878632938</x:v>
      </x:c>
      <x:c r="Z426" s="193" t="b">
        <x:v>0</x:v>
      </x:c>
      <x:c r="AA426" s="193" t="b">
        <x:v>0</x:v>
      </x:c>
      <x:c r="AB426" s="193" t="b">
        <x:v>1</x:v>
      </x:c>
      <x:c r="AC426" s="193" t="b">
        <x:v>1</x:v>
      </x:c>
      <x:c r="AD426" s="193" t="b">
        <x:v>0</x:v>
      </x:c>
      <x:c r="AE426" s="193" t="b">
        <x:v>1</x:v>
      </x:c>
      <x:c r="AF426" s="193" t="b">
        <x:v>1</x:v>
      </x:c>
      <x:c r="AG426" s="193" t="b">
        <x:v>1</x:v>
      </x:c>
      <x:c r="AH426" s="193" t="b">
        <x:v>1</x:v>
      </x:c>
      <x:c r="AI426" s="193" t="b">
        <x:v>1</x:v>
      </x:c>
      <x:c r="AJ426" s="193" t="b">
        <x:v>1</x:v>
      </x:c>
    </x:row>
    <x:row r="427">
      <x:c r="A427" s="192" t="n">
        <x:v>9658725</x:v>
      </x:c>
      <x:c r="B427" s="192" t="str">
        <x:v>https://www.airbnb.com.br/rooms/9658725</x:v>
      </x:c>
      <x:c r="C427" s="192" t="str">
        <x:v>Lindo Apartamento Quadra Mar!</x:v>
      </x:c>
      <x:c r="D427" s="192" t="str">
        <x:v>Meia Praia</x:v>
      </x:c>
      <x:c r="E427" s="192" t="n">
        <x:v>-27.13083</x:v>
      </x:c>
      <x:c r="F427" s="192" t="n">
        <x:v>-48.59539</x:v>
      </x:c>
      <x:c r="G427" s="192" t="str">
        <x:v>apartamento</x:v>
      </x:c>
      <x:c r="H427" s="192" t="n">
        <x:v>2</x:v>
      </x:c>
      <x:c r="I427" s="192" t="n">
        <x:v>2</x:v>
      </x:c>
      <x:c r="J427" s="192" t="n">
        <x:v>3</x:v>
      </x:c>
      <x:c r="K427" s="192" t="n">
        <x:v>6</x:v>
      </x:c>
      <x:c r="L427" s="192" t="n">
        <x:v>165</x:v>
      </x:c>
      <x:c r="M427" s="192" t="n">
        <x:v>4.6399998665</x:v>
      </x:c>
      <x:c r="N427" s="192" t="n">
        <x:v>250</x:v>
      </x:c>
      <x:c r="O427" s="192" t="n">
        <x:v>14</x:v>
      </x:c>
      <x:c r="P427" s="193" t="b">
        <x:v>1</x:v>
      </x:c>
      <x:c r="Q427" s="193" t="b">
        <x:v>0</x:v>
      </x:c>
      <x:c r="R427" s="193" t="b">
        <x:v>0</x:v>
      </x:c>
      <x:c r="S427" s="193" t="b">
        <x:v>0</x:v>
      </x:c>
      <x:c r="T427" s="192" t="n">
        <x:v>10</x:v>
      </x:c>
      <x:c r="U427" s="192" t="n">
        <x:v>80</x:v>
      </x:c>
      <x:c r="V427" s="200" t="n">
        <x:v>0.8888888889</x:v>
      </x:c>
      <x:c r="W427" s="203" t="n">
        <x:v>300</x:v>
      </x:c>
      <x:c r="X427" s="203" t="n">
        <x:v>24154.4330685214</x:v>
      </x:c>
      <x:c r="Y427" s="203" t="n">
        <x:v>62449.2738292398</x:v>
      </x:c>
      <x:c r="Z427" s="193" t="b">
        <x:v>0</x:v>
      </x:c>
      <x:c r="AA427" s="193" t="b">
        <x:v>0</x:v>
      </x:c>
      <x:c r="AB427" s="193" t="b">
        <x:v>1</x:v>
      </x:c>
      <x:c r="AC427" s="193" t="b">
        <x:v>1</x:v>
      </x:c>
      <x:c r="AD427" s="193" t="b">
        <x:v>1</x:v>
      </x:c>
      <x:c r="AE427" s="193" t="b">
        <x:v>1</x:v>
      </x:c>
      <x:c r="AF427" s="193" t="b">
        <x:v>0</x:v>
      </x:c>
      <x:c r="AG427" s="193" t="b">
        <x:v>1</x:v>
      </x:c>
      <x:c r="AH427" s="193" t="b">
        <x:v>1</x:v>
      </x:c>
      <x:c r="AI427" s="193" t="b">
        <x:v>1</x:v>
      </x:c>
      <x:c r="AJ427" s="193" t="b">
        <x:v>0</x:v>
      </x:c>
    </x:row>
    <x:row r="428">
      <x:c r="A428" s="192" t="n">
        <x:v>629724091250673800</x:v>
      </x:c>
      <x:c r="B428" s="192" t="str">
        <x:v>https://www.airbnb.com.br/rooms/629724091250673746</x:v>
      </x:c>
      <x:c r="C428" s="192" t="str">
        <x:v>Apto pé na areia vista mar em Meia Praia EVB308</x:v>
      </x:c>
      <x:c r="D428" s="192" t="str">
        <x:v>Meia Praia</x:v>
      </x:c>
      <x:c r="E428" s="192" t="n">
        <x:v>-27.138999939</x:v>
      </x:c>
      <x:c r="F428" s="192" t="n">
        <x:v>-48.5909996033</x:v>
      </x:c>
      <x:c r="G428" s="192" t="str">
        <x:v>apartamento</x:v>
      </x:c>
      <x:c r="H428" s="192" t="n">
        <x:v>2</x:v>
      </x:c>
      <x:c r="I428" s="192" t="n">
        <x:v>2</x:v>
      </x:c>
      <x:c r="J428" s="192" t="n">
        <x:v>3</x:v>
      </x:c>
      <x:c r="K428" s="192" t="n">
        <x:v>6</x:v>
      </x:c>
      <x:c r="L428" s="192" t="n">
        <x:v>46</x:v>
      </x:c>
      <x:c r="M428" s="192" t="n">
        <x:v>4.7199997902</x:v>
      </x:c>
      <x:c r="N428" s="192" t="n">
        <x:v>400</x:v>
      </x:c>
      <x:c r="O428" s="192" t="n">
        <x:v>18</x:v>
      </x:c>
      <x:c r="P428" s="193" t="b">
        <x:v>1</x:v>
      </x:c>
      <x:c r="Q428" s="193" t="b">
        <x:v>1</x:v>
      </x:c>
      <x:c r="R428" s="193" t="b">
        <x:v>0</x:v>
      </x:c>
      <x:c r="S428" s="193" t="b">
        <x:v>0</x:v>
      </x:c>
      <x:c r="T428" s="192" t="n">
        <x:v>52</x:v>
      </x:c>
      <x:c r="U428" s="192" t="n">
        <x:v>38</x:v>
      </x:c>
      <x:c r="V428" s="200" t="n">
        <x:v>0.4222222222</x:v>
      </x:c>
      <x:c r="W428" s="203" t="n">
        <x:v>650.5</x:v>
      </x:c>
      <x:c r="X428" s="203" t="n">
        <x:v>25427.6727603188</x:v>
      </x:c>
      <x:c r="Y428" s="203" t="n">
        <x:v>65741.1289490742</x:v>
      </x:c>
      <x:c r="Z428" s="193" t="b">
        <x:v>1</x:v>
      </x:c>
      <x:c r="AA428" s="193" t="b">
        <x:v>0</x:v>
      </x:c>
      <x:c r="AB428" s="193" t="b">
        <x:v>1</x:v>
      </x:c>
      <x:c r="AC428" s="193" t="b">
        <x:v>1</x:v>
      </x:c>
      <x:c r="AD428" s="193" t="b">
        <x:v>1</x:v>
      </x:c>
      <x:c r="AE428" s="193" t="b">
        <x:v>1</x:v>
      </x:c>
      <x:c r="AF428" s="193" t="b">
        <x:v>1</x:v>
      </x:c>
      <x:c r="AG428" s="193" t="b">
        <x:v>1</x:v>
      </x:c>
      <x:c r="AH428" s="193" t="b">
        <x:v>1</x:v>
      </x:c>
      <x:c r="AI428" s="193" t="b">
        <x:v>1</x:v>
      </x:c>
      <x:c r="AJ428" s="193" t="b">
        <x:v>1</x:v>
      </x:c>
    </x:row>
    <x:row r="429">
      <x:c r="A429" s="192" t="n">
        <x:v>42003334</x:v>
      </x:c>
      <x:c r="B429" s="192" t="str">
        <x:v>https://www.airbnb.com.br/rooms/42003334</x:v>
      </x:c>
      <x:c r="C429" s="192" t="str">
        <x:v>O sonho de sua Família se realizando! Meia PraiaSC</x:v>
      </x:c>
      <x:c r="D429" s="192" t="str">
        <x:v>Meia Praia</x:v>
      </x:c>
      <x:c r="E429" s="192" t="n">
        <x:v>-27.1319999695</x:v>
      </x:c>
      <x:c r="F429" s="192" t="n">
        <x:v>-48.5999984741</x:v>
      </x:c>
      <x:c r="G429" s="192" t="str">
        <x:v>apartamento</x:v>
      </x:c>
      <x:c r="H429" s="192" t="n">
        <x:v>3</x:v>
      </x:c>
      <x:c r="I429" s="192" t="n">
        <x:v>2</x:v>
      </x:c>
      <x:c r="J429" s="192" t="n">
        <x:v>6</x:v>
      </x:c>
      <x:c r="K429" s="192" t="n">
        <x:v>8</x:v>
      </x:c>
      <x:c r="L429" s="192" t="n">
        <x:v>30</x:v>
      </x:c>
      <x:c r="M429" s="192" t="n">
        <x:v>4.9299998283</x:v>
      </x:c>
      <x:c r="N429" s="192" t="n">
        <x:v>300</x:v>
      </x:c>
      <x:c r="O429" s="192" t="n">
        <x:v>42</x:v>
      </x:c>
      <x:c r="P429" s="193" t="b">
        <x:v>0</x:v>
      </x:c>
      <x:c r="Q429" s="193" t="b">
        <x:v>0</x:v>
      </x:c>
      <x:c r="R429" s="193" t="b">
        <x:v>1</x:v>
      </x:c>
      <x:c r="S429" s="193" t="b">
        <x:v>1</x:v>
      </x:c>
      <x:c r="T429" s="192" t="n">
        <x:v>61</x:v>
      </x:c>
      <x:c r="U429" s="192" t="n">
        <x:v>29</x:v>
      </x:c>
      <x:c r="V429" s="200" t="n">
        <x:v>0.3222222222</x:v>
      </x:c>
      <x:c r="W429" s="203" t="n">
        <x:v>500</x:v>
      </x:c>
      <x:c r="X429" s="203" t="n">
        <x:v>14327.7630125362</x:v>
      </x:c>
      <x:c r="Y429" s="203" t="n">
        <x:v>37043.2372886614</x:v>
      </x:c>
      <x:c r="Z429" s="193" t="b">
        <x:v>1</x:v>
      </x:c>
      <x:c r="AA429" s="193" t="b">
        <x:v>0</x:v>
      </x:c>
      <x:c r="AB429" s="193" t="b">
        <x:v>1</x:v>
      </x:c>
      <x:c r="AC429" s="193" t="b">
        <x:v>1</x:v>
      </x:c>
      <x:c r="AD429" s="193" t="b">
        <x:v>1</x:v>
      </x:c>
      <x:c r="AE429" s="193" t="b">
        <x:v>1</x:v>
      </x:c>
      <x:c r="AF429" s="193" t="b">
        <x:v>1</x:v>
      </x:c>
      <x:c r="AG429" s="193" t="b">
        <x:v>1</x:v>
      </x:c>
      <x:c r="AH429" s="193" t="b">
        <x:v>1</x:v>
      </x:c>
      <x:c r="AI429" s="193" t="b">
        <x:v>1</x:v>
      </x:c>
      <x:c r="AJ429" s="193" t="b">
        <x:v>1</x:v>
      </x:c>
    </x:row>
    <x:row r="430">
      <x:c r="A430" s="192" t="n">
        <x:v>30085847</x:v>
      </x:c>
      <x:c r="B430" s="192" t="str">
        <x:v>https://www.airbnb.com.br/rooms/30085847</x:v>
      </x:c>
      <x:c r="C430" s="192" t="str">
        <x:v>Ótimo apto 2 suítes, 50 m do mar, WiFi, 2ar split</x:v>
      </x:c>
      <x:c r="D430" s="192" t="str">
        <x:v>Meia Praia</x:v>
      </x:c>
      <x:c r="E430" s="192" t="n">
        <x:v>-27.14368</x:v>
      </x:c>
      <x:c r="F430" s="192" t="n">
        <x:v>-48.58887</x:v>
      </x:c>
      <x:c r="G430" s="192" t="str">
        <x:v>apartamento</x:v>
      </x:c>
      <x:c r="H430" s="192" t="n">
        <x:v>2</x:v>
      </x:c>
      <x:c r="I430" s="192" t="n">
        <x:v>2</x:v>
      </x:c>
      <x:c r="J430" s="192" t="n">
        <x:v>3</x:v>
      </x:c>
      <x:c r="K430" s="192" t="n">
        <x:v>5</x:v>
      </x:c>
      <x:c r="L430" s="192" t="n">
        <x:v>34</x:v>
      </x:c>
      <x:c r="M430" s="192" t="n">
        <x:v>4.8800001144</x:v>
      </x:c>
      <x:c r="N430" s="192" t="n">
        <x:v>290</x:v>
      </x:c>
      <x:c r="O430" s="192" t="n">
        <x:v>52</x:v>
      </x:c>
      <x:c r="P430" s="193" t="b">
        <x:v>0</x:v>
      </x:c>
      <x:c r="Q430" s="193" t="b">
        <x:v>0</x:v>
      </x:c>
      <x:c r="R430" s="193" t="b">
        <x:v>1</x:v>
      </x:c>
      <x:c r="S430" s="193" t="b">
        <x:v>0</x:v>
      </x:c>
      <x:c r="T430" s="192" t="n">
        <x:v>65</x:v>
      </x:c>
      <x:c r="U430" s="192" t="n">
        <x:v>25</x:v>
      </x:c>
      <x:c r="V430" s="200" t="n">
        <x:v>0.2777777778</x:v>
      </x:c>
      <x:c r="W430" s="203" t="n">
        <x:v>590</x:v>
      </x:c>
      <x:c r="X430" s="203" t="n">
        <x:v>14735.2676054864</x:v>
      </x:c>
      <x:c r="Y430" s="203" t="n">
        <x:v>38096.806455018</x:v>
      </x:c>
      <x:c r="Z430" s="193" t="b">
        <x:v>1</x:v>
      </x:c>
      <x:c r="AA430" s="193" t="b">
        <x:v>0</x:v>
      </x:c>
      <x:c r="AB430" s="193" t="b">
        <x:v>1</x:v>
      </x:c>
      <x:c r="AC430" s="193" t="b">
        <x:v>1</x:v>
      </x:c>
      <x:c r="AD430" s="193" t="b">
        <x:v>1</x:v>
      </x:c>
      <x:c r="AE430" s="193" t="b">
        <x:v>1</x:v>
      </x:c>
      <x:c r="AF430" s="193" t="b">
        <x:v>1</x:v>
      </x:c>
      <x:c r="AG430" s="193" t="b">
        <x:v>1</x:v>
      </x:c>
      <x:c r="AH430" s="193" t="b">
        <x:v>1</x:v>
      </x:c>
      <x:c r="AI430" s="193" t="b">
        <x:v>1</x:v>
      </x:c>
      <x:c r="AJ430" s="193" t="b">
        <x:v>0</x:v>
      </x:c>
    </x:row>
    <x:row r="431">
      <x:c r="A431" s="192" t="n">
        <x:v>573122310094338750</x:v>
      </x:c>
      <x:c r="B431" s="192" t="str">
        <x:v>https://www.airbnb.com.br/rooms/573122310094338767</x:v>
      </x:c>
      <x:c r="C431" s="192" t="str">
        <x:v>Amplo apto c/ vista p/ mar e duas vagas de garagem</x:v>
      </x:c>
      <x:c r="D431" s="192" t="str">
        <x:v>Meia Praia</x:v>
      </x:c>
      <x:c r="E431" s="192" t="n">
        <x:v>-27.1259543281</x:v>
      </x:c>
      <x:c r="F431" s="192" t="n">
        <x:v>-48.603679575</x:v>
      </x:c>
      <x:c r="G431" s="192" t="str">
        <x:v>apartamento</x:v>
      </x:c>
      <x:c r="H431" s="192" t="n">
        <x:v>3</x:v>
      </x:c>
      <x:c r="I431" s="192" t="n">
        <x:v>2</x:v>
      </x:c>
      <x:c r="J431" s="192" t="n">
        <x:v>3</x:v>
      </x:c>
      <x:c r="K431" s="192" t="n">
        <x:v>6</x:v>
      </x:c>
      <x:c r="L431" s="192" t="n">
        <x:v>15</x:v>
      </x:c>
      <x:c r="M431" s="192" t="n">
        <x:v>4.9299998283</x:v>
      </x:c>
      <x:c r="N431" s="192" t="n">
        <x:v>300</x:v>
      </x:c>
      <x:c r="O431" s="192" t="n">
        <x:v>22</x:v>
      </x:c>
      <x:c r="P431" s="193" t="b">
        <x:v>0</x:v>
      </x:c>
      <x:c r="Q431" s="193" t="b">
        <x:v>0</x:v>
      </x:c>
      <x:c r="R431" s="193" t="b">
        <x:v>1</x:v>
      </x:c>
      <x:c r="S431" s="193" t="b">
        <x:v>0</x:v>
      </x:c>
      <x:c r="T431" s="192" t="n">
        <x:v>44</x:v>
      </x:c>
      <x:c r="U431" s="192" t="n">
        <x:v>46</x:v>
      </x:c>
      <x:c r="V431" s="200" t="n">
        <x:v>0.5111111111</x:v>
      </x:c>
      <x:c r="W431" s="203" t="n">
        <x:v>700</x:v>
      </x:c>
      <x:c r="X431" s="203" t="n">
        <x:v>33569.0250727549</x:v>
      </x:c>
      <x:c r="Y431" s="203" t="n">
        <x:v>86789.9169068518</x:v>
      </x:c>
      <x:c r="Z431" s="193" t="b">
        <x:v>0</x:v>
      </x:c>
      <x:c r="AA431" s="193" t="b">
        <x:v>0</x:v>
      </x:c>
      <x:c r="AB431" s="193" t="b">
        <x:v>1</x:v>
      </x:c>
      <x:c r="AC431" s="193" t="b">
        <x:v>1</x:v>
      </x:c>
      <x:c r="AD431" s="193" t="b">
        <x:v>1</x:v>
      </x:c>
      <x:c r="AE431" s="193" t="b">
        <x:v>1</x:v>
      </x:c>
      <x:c r="AF431" s="193" t="b">
        <x:v>1</x:v>
      </x:c>
      <x:c r="AG431" s="193" t="b">
        <x:v>1</x:v>
      </x:c>
      <x:c r="AH431" s="193" t="b">
        <x:v>1</x:v>
      </x:c>
      <x:c r="AI431" s="193" t="b">
        <x:v>1</x:v>
      </x:c>
      <x:c r="AJ431" s="193" t="b">
        <x:v>1</x:v>
      </x:c>
    </x:row>
    <x:row r="432">
      <x:c r="A432" s="192" t="n">
        <x:v>1005958896607152900</x:v>
      </x:c>
      <x:c r="B432" s="192" t="str">
        <x:v>https://www.airbnb.com.br/rooms/1005958896607152946</x:v>
      </x:c>
      <x:c r="C432" s="192" t="str">
        <x:v>Ar Cond. - Apartamento Itapema - 5 min Meia Praia</x:v>
      </x:c>
      <x:c r="D432" s="192" t="str">
        <x:v>Casa Branca</x:v>
      </x:c>
      <x:c r="E432" s="192" t="n">
        <x:v>-27.091999054</x:v>
      </x:c>
      <x:c r="F432" s="192" t="n">
        <x:v>-48.6189994812</x:v>
      </x:c>
      <x:c r="G432" s="192" t="str">
        <x:v>apartamento</x:v>
      </x:c>
      <x:c r="H432" s="192" t="n">
        <x:v>2</x:v>
      </x:c>
      <x:c r="I432" s="192" t="n">
        <x:v>1</x:v>
      </x:c>
      <x:c r="J432" s="192" t="n">
        <x:v>3</x:v>
      </x:c>
      <x:c r="K432" s="192" t="n">
        <x:v>5</x:v>
      </x:c>
      <x:c r="L432" s="192" t="n">
        <x:v>37</x:v>
      </x:c>
      <x:c r="M432" s="192" t="n">
        <x:v>4.8099999428</x:v>
      </x:c>
      <x:c r="N432" s="192" t="n">
        <x:v>130</x:v>
      </x:c>
      <x:c r="O432" s="192" t="n">
        <x:v>17</x:v>
      </x:c>
      <x:c r="P432" s="193" t="b">
        <x:v>0</x:v>
      </x:c>
      <x:c r="Q432" s="193" t="b">
        <x:v>0</x:v>
      </x:c>
      <x:c r="R432" s="193" t="b">
        <x:v>1</x:v>
      </x:c>
      <x:c r="S432" s="193" t="b">
        <x:v>1</x:v>
      </x:c>
      <x:c r="T432" s="192" t="n">
        <x:v>53</x:v>
      </x:c>
      <x:c r="U432" s="192" t="n">
        <x:v>37</x:v>
      </x:c>
      <x:c r="V432" s="200" t="n">
        <x:v>0.4111111111</x:v>
      </x:c>
      <x:c r="W432" s="203" t="n">
        <x:v>240</x:v>
      </x:c>
      <x:c r="X432" s="203" t="n">
        <x:v>8963.1409189435</x:v>
      </x:c>
      <x:c r="Y432" s="203" t="n">
        <x:v>23173.4539175185</x:v>
      </x:c>
      <x:c r="Z432" s="193" t="b">
        <x:v>1</x:v>
      </x:c>
      <x:c r="AA432" s="193" t="b">
        <x:v>0</x:v>
      </x:c>
      <x:c r="AB432" s="193" t="b">
        <x:v>1</x:v>
      </x:c>
      <x:c r="AC432" s="193" t="b">
        <x:v>1</x:v>
      </x:c>
      <x:c r="AD432" s="193" t="b">
        <x:v>1</x:v>
      </x:c>
      <x:c r="AE432" s="193" t="b">
        <x:v>0</x:v>
      </x:c>
      <x:c r="AF432" s="193" t="b">
        <x:v>0</x:v>
      </x:c>
      <x:c r="AG432" s="193" t="b">
        <x:v>0</x:v>
      </x:c>
      <x:c r="AH432" s="193" t="b">
        <x:v>1</x:v>
      </x:c>
      <x:c r="AI432" s="193" t="b">
        <x:v>1</x:v>
      </x:c>
      <x:c r="AJ432" s="193" t="b">
        <x:v>1</x:v>
      </x:c>
    </x:row>
    <x:row r="433">
      <x:c r="A433" s="192" t="n">
        <x:v>30332330</x:v>
      </x:c>
      <x:c r="B433" s="192" t="str">
        <x:v>https://www.airbnb.com.br/rooms/30332330</x:v>
      </x:c>
      <x:c r="C433" s="192" t="str">
        <x:v>Ap. próx mar, 2 dorm, garagem, Wi-Fi, climatizado</x:v>
      </x:c>
      <x:c r="D433" s="192" t="str">
        <x:v>Centro</x:v>
      </x:c>
      <x:c r="E433" s="192" t="n">
        <x:v>-27.09807</x:v>
      </x:c>
      <x:c r="F433" s="192" t="n">
        <x:v>-48.61547</x:v>
      </x:c>
      <x:c r="G433" s="192" t="str">
        <x:v>apartamento</x:v>
      </x:c>
      <x:c r="H433" s="192" t="n">
        <x:v>2</x:v>
      </x:c>
      <x:c r="I433" s="192" t="n">
        <x:v>1</x:v>
      </x:c>
      <x:c r="J433" s="192" t="n">
        <x:v>4</x:v>
      </x:c>
      <x:c r="K433" s="192" t="n">
        <x:v>6</x:v>
      </x:c>
      <x:c r="L433" s="192" t="n">
        <x:v>57</x:v>
      </x:c>
      <x:c r="M433" s="192" t="n">
        <x:v>4.6700000763</x:v>
      </x:c>
      <x:c r="N433" s="192" t="n">
        <x:v>150</x:v>
      </x:c>
      <x:c r="O433" s="192" t="n">
        <x:v>48</x:v>
      </x:c>
      <x:c r="P433" s="193" t="b">
        <x:v>0</x:v>
      </x:c>
      <x:c r="Q433" s="193" t="b">
        <x:v>0</x:v>
      </x:c>
      <x:c r="R433" s="193" t="b">
        <x:v>0</x:v>
      </x:c>
      <x:c r="S433" s="193" t="b">
        <x:v>0</x:v>
      </x:c>
      <x:c r="T433" s="192" t="n">
        <x:v>46</x:v>
      </x:c>
      <x:c r="U433" s="192" t="n">
        <x:v>44</x:v>
      </x:c>
      <x:c r="V433" s="200" t="n">
        <x:v>0.4888888889</x:v>
      </x:c>
      <x:c r="W433" s="203" t="n">
        <x:v>330</x:v>
      </x:c>
      <x:c r="X433" s="203" t="n">
        <x:v>15116.427202053</x:v>
      </x:c>
      <x:c r="Y433" s="203" t="n">
        <x:v>39082.2628286412</x:v>
      </x:c>
      <x:c r="Z433" s="193" t="b">
        <x:v>1</x:v>
      </x:c>
      <x:c r="AA433" s="193" t="b">
        <x:v>0</x:v>
      </x:c>
      <x:c r="AB433" s="193" t="b">
        <x:v>1</x:v>
      </x:c>
      <x:c r="AC433" s="193" t="b">
        <x:v>1</x:v>
      </x:c>
      <x:c r="AD433" s="193" t="b">
        <x:v>1</x:v>
      </x:c>
      <x:c r="AE433" s="193" t="b">
        <x:v>1</x:v>
      </x:c>
      <x:c r="AF433" s="193" t="b">
        <x:v>1</x:v>
      </x:c>
      <x:c r="AG433" s="193" t="b">
        <x:v>1</x:v>
      </x:c>
      <x:c r="AH433" s="193" t="b">
        <x:v>1</x:v>
      </x:c>
      <x:c r="AI433" s="193" t="b">
        <x:v>1</x:v>
      </x:c>
      <x:c r="AJ433" s="193" t="b">
        <x:v>1</x:v>
      </x:c>
    </x:row>
    <x:row r="434">
      <x:c r="A434" s="192" t="n">
        <x:v>1124052077567202200</x:v>
      </x:c>
      <x:c r="B434" s="192" t="str">
        <x:v>https://www.airbnb.com.br/rooms/1124052077567202180</x:v>
      </x:c>
      <x:c r="C434" s="192" t="str">
        <x:v>Casa frente mar Itapema/sc</x:v>
      </x:c>
      <x:c r="D434" s="192" t="str">
        <x:v>Morretes</x:v>
      </x:c>
      <x:c r="E434" s="192" t="n">
        <x:v>-27.1159992218</x:v>
      </x:c>
      <x:c r="F434" s="192" t="n">
        <x:v>-48.608001709</x:v>
      </x:c>
      <x:c r="G434" s="192" t="str">
        <x:v>casa</x:v>
      </x:c>
      <x:c r="H434" s="192" t="n">
        <x:v>4</x:v>
      </x:c>
      <x:c r="I434" s="192" t="n">
        <x:v>5</x:v>
      </x:c>
      <x:c r="J434" s="192" t="n">
        <x:v>10</x:v>
      </x:c>
      <x:c r="K434" s="192" t="n">
        <x:v>16</x:v>
      </x:c>
      <x:c r="L434" s="192" t="n">
        <x:v>3</x:v>
      </x:c>
      <x:c r="M434" s="192" t="n">
        <x:v>5</x:v>
      </x:c>
      <x:c r="N434" s="192" t="n">
        <x:v>400</x:v>
      </x:c>
      <x:c r="O434" s="192" t="n">
        <x:v>64</x:v>
      </x:c>
      <x:c r="P434" s="193" t="b">
        <x:v>0</x:v>
      </x:c>
      <x:c r="Q434" s="193" t="b">
        <x:v>0</x:v>
      </x:c>
      <x:c r="R434" s="193" t="b">
        <x:v>0</x:v>
      </x:c>
      <x:c r="S434" s="193" t="b">
        <x:v>0</x:v>
      </x:c>
      <x:c r="T434" s="192" t="n">
        <x:v>8</x:v>
      </x:c>
      <x:c r="U434" s="192" t="n">
        <x:v>82</x:v>
      </x:c>
      <x:c r="V434" s="200" t="n">
        <x:v>0.9111111111</x:v>
      </x:c>
      <x:c r="W434" s="203" t="n">
        <x:v>1200</x:v>
      </x:c>
      <x:c r="X434" s="203" t="n">
        <x:v>98979.893424804</x:v>
      </x:c>
      <x:c r="Y434" s="203" t="n">
        <x:v>255904.2661253787</x:v>
      </x:c>
      <x:c r="Z434" s="193" t="b">
        <x:v>0</x:v>
      </x:c>
      <x:c r="AA434" s="193" t="b">
        <x:v>0</x:v>
      </x:c>
      <x:c r="AB434" s="193" t="b">
        <x:v>1</x:v>
      </x:c>
      <x:c r="AC434" s="193" t="b">
        <x:v>1</x:v>
      </x:c>
      <x:c r="AD434" s="193" t="b">
        <x:v>0</x:v>
      </x:c>
      <x:c r="AE434" s="193" t="b">
        <x:v>1</x:v>
      </x:c>
      <x:c r="AF434" s="193" t="b">
        <x:v>1</x:v>
      </x:c>
      <x:c r="AG434" s="193" t="b">
        <x:v>1</x:v>
      </x:c>
      <x:c r="AH434" s="193" t="b">
        <x:v>1</x:v>
      </x:c>
      <x:c r="AI434" s="193" t="b">
        <x:v>1</x:v>
      </x:c>
      <x:c r="AJ434" s="193" t="b">
        <x:v>1</x:v>
      </x:c>
    </x:row>
    <x:row r="435">
      <x:c r="A435" s="192" t="n">
        <x:v>46530405</x:v>
      </x:c>
      <x:c r="B435" s="192" t="str">
        <x:v>https://www.airbnb.com.br/rooms/46530405</x:v>
      </x:c>
      <x:c r="C435" s="192" t="str">
        <x:v>Pé na Areia / Churrasqueira Varanda / 3 Quartos SC</x:v>
      </x:c>
      <x:c r="D435" s="192" t="str">
        <x:v>Morretes</x:v>
      </x:c>
      <x:c r="E435" s="192" t="n">
        <x:v>-27.1140003204</x:v>
      </x:c>
      <x:c r="F435" s="192" t="n">
        <x:v>-48.6100006104</x:v>
      </x:c>
      <x:c r="G435" s="192" t="str">
        <x:v>apartamento</x:v>
      </x:c>
      <x:c r="H435" s="192" t="n">
        <x:v>3</x:v>
      </x:c>
      <x:c r="I435" s="192" t="n">
        <x:v>2</x:v>
      </x:c>
      <x:c r="J435" s="192" t="n">
        <x:v>3</x:v>
      </x:c>
      <x:c r="K435" s="192" t="n">
        <x:v>8</x:v>
      </x:c>
      <x:c r="L435" s="192" t="n">
        <x:v>41</x:v>
      </x:c>
      <x:c r="M435" s="192" t="n">
        <x:v>4.8499999046</x:v>
      </x:c>
      <x:c r="N435" s="192" t="n">
        <x:v>520</x:v>
      </x:c>
      <x:c r="O435" s="192" t="n">
        <x:v>33</x:v>
      </x:c>
      <x:c r="P435" s="193" t="b">
        <x:v>0</x:v>
      </x:c>
      <x:c r="Q435" s="193" t="b">
        <x:v>0</x:v>
      </x:c>
      <x:c r="R435" s="193" t="b">
        <x:v>0</x:v>
      </x:c>
      <x:c r="S435" s="193" t="b">
        <x:v>0</x:v>
      </x:c>
      <x:c r="T435" s="192" t="n">
        <x:v>83</x:v>
      </x:c>
      <x:c r="U435" s="192" t="n">
        <x:v>7</x:v>
      </x:c>
      <x:c r="V435" s="200" t="n">
        <x:v>0.0777777778</x:v>
      </x:c>
      <x:c r="W435" s="203" t="n">
        <x:v>1022</x:v>
      </x:c>
      <x:c r="X435" s="203" t="n">
        <x:v>7069.2329532219</x:v>
      </x:c>
      <x:c r="Y435" s="203" t="n">
        <x:v>18276.9126978092</x:v>
      </x:c>
      <x:c r="Z435" s="193" t="b">
        <x:v>1</x:v>
      </x:c>
      <x:c r="AA435" s="193" t="b">
        <x:v>0</x:v>
      </x:c>
      <x:c r="AB435" s="193" t="b">
        <x:v>1</x:v>
      </x:c>
      <x:c r="AC435" s="193" t="b">
        <x:v>1</x:v>
      </x:c>
      <x:c r="AD435" s="193" t="b">
        <x:v>1</x:v>
      </x:c>
      <x:c r="AE435" s="193" t="b">
        <x:v>1</x:v>
      </x:c>
      <x:c r="AF435" s="193" t="b">
        <x:v>1</x:v>
      </x:c>
      <x:c r="AG435" s="193" t="b">
        <x:v>1</x:v>
      </x:c>
      <x:c r="AH435" s="193" t="b">
        <x:v>1</x:v>
      </x:c>
      <x:c r="AI435" s="193" t="b">
        <x:v>1</x:v>
      </x:c>
      <x:c r="AJ435" s="193" t="b">
        <x:v>1</x:v>
      </x:c>
    </x:row>
    <x:row r="436">
      <x:c r="A436" s="192" t="n">
        <x:v>51405106</x:v>
      </x:c>
      <x:c r="B436" s="192" t="str">
        <x:v>https://www.airbnb.com.br/rooms/51405106</x:v>
      </x:c>
      <x:c r="C436" s="192" t="str">
        <x:v>Lindo apartamento quadra mar, mobiliado e decorado</x:v>
      </x:c>
      <x:c r="D436" s="192" t="str">
        <x:v>Meia Praia</x:v>
      </x:c>
      <x:c r="E436" s="192" t="n">
        <x:v>-27.141209</x:v>
      </x:c>
      <x:c r="F436" s="192" t="n">
        <x:v>-48.592384</x:v>
      </x:c>
      <x:c r="G436" s="192" t="str">
        <x:v>apartamento</x:v>
      </x:c>
      <x:c r="H436" s="192" t="n">
        <x:v>3</x:v>
      </x:c>
      <x:c r="I436" s="192" t="n">
        <x:v>3</x:v>
      </x:c>
      <x:c r="J436" s="192" t="n">
        <x:v>5</x:v>
      </x:c>
      <x:c r="K436" s="192" t="n">
        <x:v>8</x:v>
      </x:c>
      <x:c r="L436" s="192" t="n">
        <x:v>32</x:v>
      </x:c>
      <x:c r="M436" s="192" t="n">
        <x:v>4.8800001144</x:v>
      </x:c>
      <x:c r="N436" s="192" t="n">
        <x:v>280</x:v>
      </x:c>
      <x:c r="O436" s="192" t="n">
        <x:v>57</x:v>
      </x:c>
      <x:c r="P436" s="193" t="b">
        <x:v>0</x:v>
      </x:c>
      <x:c r="Q436" s="193" t="b">
        <x:v>0</x:v>
      </x:c>
      <x:c r="R436" s="193" t="b">
        <x:v>0</x:v>
      </x:c>
      <x:c r="S436" s="193" t="b">
        <x:v>1</x:v>
      </x:c>
      <x:c r="T436" s="192" t="n">
        <x:v>74</x:v>
      </x:c>
      <x:c r="U436" s="192" t="n">
        <x:v>16</x:v>
      </x:c>
      <x:c r="V436" s="200" t="n">
        <x:v>0.1777777778</x:v>
      </x:c>
      <x:c r="W436" s="203" t="n">
        <x:v>800</x:v>
      </x:c>
      <x:c r="X436" s="203" t="n">
        <x:v>12738.4819449683</x:v>
      </x:c>
      <x:c r="Y436" s="203" t="n">
        <x:v>32934.2835285534</x:v>
      </x:c>
      <x:c r="Z436" s="193" t="b">
        <x:v>1</x:v>
      </x:c>
      <x:c r="AA436" s="193" t="b">
        <x:v>1</x:v>
      </x:c>
      <x:c r="AB436" s="193" t="b">
        <x:v>1</x:v>
      </x:c>
      <x:c r="AC436" s="193" t="b">
        <x:v>1</x:v>
      </x:c>
      <x:c r="AD436" s="193" t="b">
        <x:v>1</x:v>
      </x:c>
      <x:c r="AE436" s="193" t="b">
        <x:v>1</x:v>
      </x:c>
      <x:c r="AF436" s="193" t="b">
        <x:v>1</x:v>
      </x:c>
      <x:c r="AG436" s="193" t="b">
        <x:v>1</x:v>
      </x:c>
      <x:c r="AH436" s="193" t="b">
        <x:v>1</x:v>
      </x:c>
      <x:c r="AI436" s="193" t="b">
        <x:v>1</x:v>
      </x:c>
      <x:c r="AJ436" s="193" t="b">
        <x:v>1</x:v>
      </x:c>
    </x:row>
    <x:row r="437">
      <x:c r="A437" s="192" t="n">
        <x:v>53893648</x:v>
      </x:c>
      <x:c r="B437" s="192" t="str">
        <x:v>https://www.airbnb.com.br/rooms/53893648</x:v>
      </x:c>
      <x:c r="C437" s="192" t="str">
        <x:v>Meia Praia- Quadra Mar</x:v>
      </x:c>
      <x:c r="D437" s="192" t="str">
        <x:v>Meia Praia</x:v>
      </x:c>
      <x:c r="E437" s="192" t="n">
        <x:v>-27.13708</x:v>
      </x:c>
      <x:c r="F437" s="192" t="n">
        <x:v>-48.59322</x:v>
      </x:c>
      <x:c r="G437" s="192" t="str">
        <x:v>apartamento</x:v>
      </x:c>
      <x:c r="H437" s="192" t="n">
        <x:v>2</x:v>
      </x:c>
      <x:c r="I437" s="192" t="n">
        <x:v>2</x:v>
      </x:c>
      <x:c r="J437" s="192" t="n">
        <x:v>4</x:v>
      </x:c>
      <x:c r="K437" s="192" t="n">
        <x:v>6</x:v>
      </x:c>
      <x:c r="L437" s="192" t="n">
        <x:v>18</x:v>
      </x:c>
      <x:c r="M437" s="192" t="n">
        <x:v>5</x:v>
      </x:c>
      <x:c r="N437" s="192" t="n">
        <x:v>250</x:v>
      </x:c>
      <x:c r="O437" s="192" t="n">
        <x:v>5</x:v>
      </x:c>
      <x:c r="P437" s="193" t="b">
        <x:v>0</x:v>
      </x:c>
      <x:c r="Q437" s="193" t="b">
        <x:v>0</x:v>
      </x:c>
      <x:c r="R437" s="193" t="b">
        <x:v>1</x:v>
      </x:c>
      <x:c r="S437" s="193" t="b">
        <x:v>1</x:v>
      </x:c>
      <x:c r="T437" s="192" t="n">
        <x:v>52</x:v>
      </x:c>
      <x:c r="U437" s="192" t="n">
        <x:v>38</x:v>
      </x:c>
      <x:c r="V437" s="200" t="n">
        <x:v>0.4222222222</x:v>
      </x:c>
      <x:c r="W437" s="203" t="n">
        <x:v>550</x:v>
      </x:c>
      <x:c r="X437" s="203" t="n">
        <x:v>21081.0554366282</x:v>
      </x:c>
      <x:c r="Y437" s="203" t="n">
        <x:v>54503.3120767824</x:v>
      </x:c>
      <x:c r="Z437" s="193" t="b">
        <x:v>0</x:v>
      </x:c>
      <x:c r="AA437" s="193" t="b">
        <x:v>0</x:v>
      </x:c>
      <x:c r="AB437" s="193" t="b">
        <x:v>1</x:v>
      </x:c>
      <x:c r="AC437" s="193" t="b">
        <x:v>1</x:v>
      </x:c>
      <x:c r="AD437" s="193" t="b">
        <x:v>0</x:v>
      </x:c>
      <x:c r="AE437" s="193" t="b">
        <x:v>0</x:v>
      </x:c>
      <x:c r="AF437" s="193" t="b">
        <x:v>1</x:v>
      </x:c>
      <x:c r="AG437" s="193" t="b">
        <x:v>1</x:v>
      </x:c>
      <x:c r="AH437" s="193" t="b">
        <x:v>1</x:v>
      </x:c>
      <x:c r="AI437" s="193" t="b">
        <x:v>1</x:v>
      </x:c>
      <x:c r="AJ437" s="193" t="b">
        <x:v>0</x:v>
      </x:c>
    </x:row>
    <x:row r="438">
      <x:c r="A438" s="192" t="n">
        <x:v>53458717</x:v>
      </x:c>
      <x:c r="B438" s="192" t="str">
        <x:v>https://www.airbnb.com.br/rooms/53458717</x:v>
      </x:c>
      <x:c r="C438" s="192" t="str">
        <x:v>Apto arejado com 03 quartos(1 suite) e duas vagas</x:v>
      </x:c>
      <x:c r="D438" s="192" t="str">
        <x:v>Meia Praia</x:v>
      </x:c>
      <x:c r="E438" s="192" t="n">
        <x:v>-27.13854</x:v>
      </x:c>
      <x:c r="F438" s="192" t="n">
        <x:v>-48.59464</x:v>
      </x:c>
      <x:c r="G438" s="192" t="str">
        <x:v>apartamento</x:v>
      </x:c>
      <x:c r="H438" s="192" t="n">
        <x:v>3</x:v>
      </x:c>
      <x:c r="I438" s="192" t="n">
        <x:v>2</x:v>
      </x:c>
      <x:c r="J438" s="192" t="n">
        <x:v>4</x:v>
      </x:c>
      <x:c r="K438" s="192" t="n">
        <x:v>6</x:v>
      </x:c>
      <x:c r="L438" s="192" t="n">
        <x:v>11</x:v>
      </x:c>
      <x:c r="M438" s="192" t="n">
        <x:v>5</x:v>
      </x:c>
      <x:c r="N438" s="192" t="n">
        <x:v>200</x:v>
      </x:c>
      <x:c r="O438" s="192" t="n">
        <x:v>21</x:v>
      </x:c>
      <x:c r="P438" s="193" t="b">
        <x:v>0</x:v>
      </x:c>
      <x:c r="Q438" s="193" t="b">
        <x:v>0</x:v>
      </x:c>
      <x:c r="R438" s="193" t="b">
        <x:v>1</x:v>
      </x:c>
      <x:c r="S438" s="193" t="b">
        <x:v>1</x:v>
      </x:c>
      <x:c r="T438" s="192" t="n">
        <x:v>43</x:v>
      </x:c>
      <x:c r="U438" s="192" t="n">
        <x:v>47</x:v>
      </x:c>
      <x:c r="V438" s="200" t="n">
        <x:v>0.5222222222</x:v>
      </x:c>
      <x:c r="W438" s="203" t="n">
        <x:v>380</x:v>
      </x:c>
      <x:c r="X438" s="203" t="n">
        <x:v>18448.3813627078</x:v>
      </x:c>
      <x:c r="Y438" s="203" t="n">
        <x:v>47696.7526481674</x:v>
      </x:c>
      <x:c r="Z438" s="193" t="b">
        <x:v>0</x:v>
      </x:c>
      <x:c r="AA438" s="193" t="b">
        <x:v>0</x:v>
      </x:c>
      <x:c r="AB438" s="193" t="b">
        <x:v>1</x:v>
      </x:c>
      <x:c r="AC438" s="193" t="b">
        <x:v>1</x:v>
      </x:c>
      <x:c r="AD438" s="193" t="b">
        <x:v>0</x:v>
      </x:c>
      <x:c r="AE438" s="193" t="b">
        <x:v>0</x:v>
      </x:c>
      <x:c r="AF438" s="193" t="b">
        <x:v>1</x:v>
      </x:c>
      <x:c r="AG438" s="193" t="b">
        <x:v>1</x:v>
      </x:c>
      <x:c r="AH438" s="193" t="b">
        <x:v>1</x:v>
      </x:c>
      <x:c r="AI438" s="193" t="b">
        <x:v>1</x:v>
      </x:c>
      <x:c r="AJ438" s="193" t="b">
        <x:v>1</x:v>
      </x:c>
    </x:row>
    <x:row r="439">
      <x:c r="A439" s="192" t="n">
        <x:v>1208718899534488000</x:v>
      </x:c>
      <x:c r="B439" s="192" t="str">
        <x:v>https://www.airbnb.com.br/rooms/1208718899534488031</x:v>
      </x:c>
      <x:c r="C439" s="192" t="str">
        <x:v>Studio moderno vista mar em Itapema MHFA0507</x:v>
      </x:c>
      <x:c r="D439" s="192" t="str">
        <x:v>Centro</x:v>
      </x:c>
      <x:c r="E439" s="192" t="n">
        <x:v>-27.09306</x:v>
      </x:c>
      <x:c r="F439" s="192" t="n">
        <x:v>-48.61326</x:v>
      </x:c>
      <x:c r="G439" s="192" t="str">
        <x:v>apartamento</x:v>
      </x:c>
      <x:c r="H439" s="192" t="n">
        <x:v>1</x:v>
      </x:c>
      <x:c r="I439" s="192" t="n">
        <x:v>1</x:v>
      </x:c>
      <x:c r="J439" s="192" t="n">
        <x:v>1</x:v>
      </x:c>
      <x:c r="K439" s="192" t="n">
        <x:v>2</x:v>
      </x:c>
      <x:c r="L439" s="192" t="n">
        <x:v>5</x:v>
      </x:c>
      <x:c r="M439" s="192" t="n">
        <x:v>4.8000001907</x:v>
      </x:c>
      <x:c r="N439" s="192" t="n">
        <x:v>150</x:v>
      </x:c>
      <x:c r="O439" s="192" t="n">
        <x:v>0</x:v>
      </x:c>
      <x:c r="P439" s="193" t="b">
        <x:v>1</x:v>
      </x:c>
      <x:c r="Q439" s="193" t="b">
        <x:v>1</x:v>
      </x:c>
      <x:c r="R439" s="193" t="b">
        <x:v>0</x:v>
      </x:c>
      <x:c r="S439" s="193" t="b">
        <x:v>0</x:v>
      </x:c>
      <x:c r="T439" s="192" t="n">
        <x:v>75</x:v>
      </x:c>
      <x:c r="U439" s="192" t="n">
        <x:v>15</x:v>
      </x:c>
      <x:c r="V439" s="200" t="n">
        <x:v>0.1666666667</x:v>
      </x:c>
      <x:c r="W439" s="203" t="n">
        <x:v>427</x:v>
      </x:c>
      <x:c r="X439" s="203" t="n">
        <x:v>6434.7647375401</x:v>
      </x:c>
      <x:c r="Y439" s="203" t="n">
        <x:v>16636.5479985151</x:v>
      </x:c>
      <x:c r="Z439" s="193" t="b">
        <x:v>1</x:v>
      </x:c>
      <x:c r="AA439" s="193" t="b">
        <x:v>1</x:v>
      </x:c>
      <x:c r="AB439" s="193" t="b">
        <x:v>1</x:v>
      </x:c>
      <x:c r="AC439" s="193" t="b">
        <x:v>1</x:v>
      </x:c>
      <x:c r="AD439" s="193" t="b">
        <x:v>1</x:v>
      </x:c>
      <x:c r="AE439" s="193" t="b">
        <x:v>0</x:v>
      </x:c>
      <x:c r="AF439" s="193" t="b">
        <x:v>1</x:v>
      </x:c>
      <x:c r="AG439" s="193" t="b">
        <x:v>1</x:v>
      </x:c>
      <x:c r="AH439" s="193" t="b">
        <x:v>1</x:v>
      </x:c>
      <x:c r="AI439" s="193" t="b">
        <x:v>0</x:v>
      </x:c>
      <x:c r="AJ439" s="193" t="b">
        <x:v>0</x:v>
      </x:c>
    </x:row>
    <x:row r="440">
      <x:c r="A440" s="192" t="n">
        <x:v>52650644</x:v>
      </x:c>
      <x:c r="B440" s="192" t="str">
        <x:v>https://www.airbnb.com.br/rooms/52650644</x:v>
      </x:c>
      <x:c r="C440" s="192" t="str">
        <x:v>Estrutura completa para seus dias na praia</x:v>
      </x:c>
      <x:c r="D440" s="192" t="str">
        <x:v>Meia Praia</x:v>
      </x:c>
      <x:c r="E440" s="192" t="n">
        <x:v>-27.13848</x:v>
      </x:c>
      <x:c r="F440" s="192" t="n">
        <x:v>-48.59684</x:v>
      </x:c>
      <x:c r="G440" s="192" t="str">
        <x:v>apartamento</x:v>
      </x:c>
      <x:c r="H440" s="192" t="n">
        <x:v>3</x:v>
      </x:c>
      <x:c r="I440" s="192" t="n">
        <x:v>2</x:v>
      </x:c>
      <x:c r="J440" s="192" t="n">
        <x:v>3</x:v>
      </x:c>
      <x:c r="K440" s="192" t="n">
        <x:v>7</x:v>
      </x:c>
      <x:c r="L440" s="192" t="n">
        <x:v>12</x:v>
      </x:c>
      <x:c r="M440" s="192" t="n">
        <x:v>4.9200000763</x:v>
      </x:c>
      <x:c r="N440" s="192" t="n">
        <x:v>150</x:v>
      </x:c>
      <x:c r="O440" s="192" t="n">
        <x:v>13</x:v>
      </x:c>
      <x:c r="P440" s="193" t="b">
        <x:v>1</x:v>
      </x:c>
      <x:c r="Q440" s="193" t="b">
        <x:v>0</x:v>
      </x:c>
      <x:c r="R440" s="193" t="b">
        <x:v>1</x:v>
      </x:c>
      <x:c r="S440" s="193" t="b">
        <x:v>0</x:v>
      </x:c>
      <x:c r="T440" s="192" t="n">
        <x:v>64</x:v>
      </x:c>
      <x:c r="U440" s="192" t="n">
        <x:v>26</x:v>
      </x:c>
      <x:c r="V440" s="200" t="n">
        <x:v>0.2888888889</x:v>
      </x:c>
      <x:c r="W440" s="203" t="n">
        <x:v>600</x:v>
      </x:c>
      <x:c r="X440" s="203" t="n">
        <x:v>15515.8988807791</x:v>
      </x:c>
      <x:c r="Y440" s="203" t="n">
        <x:v>40115.0635646811</x:v>
      </x:c>
      <x:c r="Z440" s="193" t="b">
        <x:v>1</x:v>
      </x:c>
      <x:c r="AA440" s="193" t="b">
        <x:v>0</x:v>
      </x:c>
      <x:c r="AB440" s="193" t="b">
        <x:v>1</x:v>
      </x:c>
      <x:c r="AC440" s="193" t="b">
        <x:v>1</x:v>
      </x:c>
      <x:c r="AD440" s="193" t="b">
        <x:v>1</x:v>
      </x:c>
      <x:c r="AE440" s="193" t="b">
        <x:v>1</x:v>
      </x:c>
      <x:c r="AF440" s="193" t="b">
        <x:v>1</x:v>
      </x:c>
      <x:c r="AG440" s="193" t="b">
        <x:v>1</x:v>
      </x:c>
      <x:c r="AH440" s="193" t="b">
        <x:v>1</x:v>
      </x:c>
      <x:c r="AI440" s="193" t="b">
        <x:v>1</x:v>
      </x:c>
      <x:c r="AJ440" s="193" t="b">
        <x:v>1</x:v>
      </x:c>
    </x:row>
    <x:row r="441">
      <x:c r="A441" s="192" t="n">
        <x:v>53175731</x:v>
      </x:c>
      <x:c r="B441" s="192" t="str">
        <x:v>https://www.airbnb.com.br/rooms/53175731</x:v>
      </x:c>
      <x:c r="C441" s="192" t="str">
        <x:v>Apt aluguel Meia praia itapema pertinho do mar</x:v>
      </x:c>
      <x:c r="D441" s="192" t="str">
        <x:v>Meia Praia</x:v>
      </x:c>
      <x:c r="E441" s="192" t="n">
        <x:v>-27.1318492889</x:v>
      </x:c>
      <x:c r="F441" s="192" t="n">
        <x:v>-48.5980491638</x:v>
      </x:c>
      <x:c r="G441" s="192" t="str">
        <x:v>apartamento</x:v>
      </x:c>
      <x:c r="H441" s="192" t="n">
        <x:v>3</x:v>
      </x:c>
      <x:c r="I441" s="192" t="n">
        <x:v>2</x:v>
      </x:c>
      <x:c r="J441" s="192" t="n">
        <x:v>7</x:v>
      </x:c>
      <x:c r="K441" s="192" t="n">
        <x:v>7</x:v>
      </x:c>
      <x:c r="L441" s="192" t="n">
        <x:v>7</x:v>
      </x:c>
      <x:c r="M441" s="192" t="n">
        <x:v>5</x:v>
      </x:c>
      <x:c r="N441" s="192" t="n">
        <x:v>360</x:v>
      </x:c>
      <x:c r="O441" s="192" t="n">
        <x:v>25</x:v>
      </x:c>
      <x:c r="P441" s="193" t="b">
        <x:v>0</x:v>
      </x:c>
      <x:c r="Q441" s="193" t="b">
        <x:v>0</x:v>
      </x:c>
      <x:c r="R441" s="193" t="b">
        <x:v>1</x:v>
      </x:c>
      <x:c r="S441" s="193" t="b">
        <x:v>0</x:v>
      </x:c>
      <x:c r="T441" s="192" t="n">
        <x:v>90</x:v>
      </x:c>
      <x:c r="U441" s="192" t="n">
        <x:v>0</x:v>
      </x:c>
      <x:c r="V441" s="200" t="n">
        <x:v>0</x:v>
      </x:c>
      <x:c r="W441" s="203" t="n">
        <x:v>1199</x:v>
      </x:c>
      <x:c r="X441" s="203" t="n">
        <x:v>0</x:v>
      </x:c>
      <x:c r="Y441" s="203" t="n">
        <x:v>0</x:v>
      </x:c>
      <x:c r="Z441" s="193" t="b">
        <x:v>1</x:v>
      </x:c>
      <x:c r="AA441" s="193" t="b">
        <x:v>0</x:v>
      </x:c>
      <x:c r="AB441" s="193" t="b">
        <x:v>1</x:v>
      </x:c>
      <x:c r="AC441" s="193" t="b">
        <x:v>1</x:v>
      </x:c>
      <x:c r="AD441" s="193" t="b">
        <x:v>1</x:v>
      </x:c>
      <x:c r="AE441" s="193" t="b">
        <x:v>1</x:v>
      </x:c>
      <x:c r="AF441" s="193" t="b">
        <x:v>1</x:v>
      </x:c>
      <x:c r="AG441" s="193" t="b">
        <x:v>1</x:v>
      </x:c>
      <x:c r="AH441" s="193" t="b">
        <x:v>1</x:v>
      </x:c>
      <x:c r="AI441" s="193" t="b">
        <x:v>1</x:v>
      </x:c>
      <x:c r="AJ441" s="193" t="b">
        <x:v>1</x:v>
      </x:c>
    </x:row>
    <x:row r="442">
      <x:c r="A442" s="192" t="n">
        <x:v>28160414</x:v>
      </x:c>
      <x:c r="B442" s="192" t="str">
        <x:v>https://www.airbnb.com.br/rooms/28160414</x:v>
      </x:c>
      <x:c r="C442" s="192" t="str">
        <x:v>Apto com vista para o mar de todos os cômodos</x:v>
      </x:c>
      <x:c r="D442" s="192" t="str">
        <x:v>Centro</x:v>
      </x:c>
      <x:c r="E442" s="192" t="n">
        <x:v>-27.10505</x:v>
      </x:c>
      <x:c r="F442" s="192" t="n">
        <x:v>-48.61448</x:v>
      </x:c>
      <x:c r="G442" s="192" t="str">
        <x:v>apartamento</x:v>
      </x:c>
      <x:c r="H442" s="192" t="n">
        <x:v>3</x:v>
      </x:c>
      <x:c r="I442" s="192" t="n">
        <x:v>2</x:v>
      </x:c>
      <x:c r="J442" s="192" t="n">
        <x:v>3</x:v>
      </x:c>
      <x:c r="K442" s="192" t="n">
        <x:v>6</x:v>
      </x:c>
      <x:c r="L442" s="192" t="n">
        <x:v>7</x:v>
      </x:c>
      <x:c r="M442" s="192" t="n">
        <x:v>5</x:v>
      </x:c>
      <x:c r="N442" s="192" t="n">
        <x:v>200</x:v>
      </x:c>
      <x:c r="O442" s="192" t="n">
        <x:v>21</x:v>
      </x:c>
      <x:c r="P442" s="193" t="b">
        <x:v>0</x:v>
      </x:c>
      <x:c r="Q442" s="193" t="b">
        <x:v>0</x:v>
      </x:c>
      <x:c r="R442" s="193" t="b">
        <x:v>0</x:v>
      </x:c>
      <x:c r="S442" s="193" t="b">
        <x:v>0</x:v>
      </x:c>
      <x:c r="T442" s="192" t="n">
        <x:v>57</x:v>
      </x:c>
      <x:c r="U442" s="192" t="n">
        <x:v>33</x:v>
      </x:c>
      <x:c r="V442" s="200" t="n">
        <x:v>0.3666666667</x:v>
      </x:c>
      <x:c r="W442" s="203" t="n">
        <x:v>498</x:v>
      </x:c>
      <x:c r="X442" s="203" t="n">
        <x:v>17103.9799275138</x:v>
      </x:c>
      <x:c r="Y442" s="203" t="n">
        <x:v>44220.9147709262</x:v>
      </x:c>
      <x:c r="Z442" s="193" t="b">
        <x:v>1</x:v>
      </x:c>
      <x:c r="AA442" s="193" t="b">
        <x:v>0</x:v>
      </x:c>
      <x:c r="AB442" s="193" t="b">
        <x:v>1</x:v>
      </x:c>
      <x:c r="AC442" s="193" t="b">
        <x:v>1</x:v>
      </x:c>
      <x:c r="AD442" s="193" t="b">
        <x:v>1</x:v>
      </x:c>
      <x:c r="AE442" s="193" t="b">
        <x:v>1</x:v>
      </x:c>
      <x:c r="AF442" s="193" t="b">
        <x:v>1</x:v>
      </x:c>
      <x:c r="AG442" s="193" t="b">
        <x:v>1</x:v>
      </x:c>
      <x:c r="AH442" s="193" t="b">
        <x:v>1</x:v>
      </x:c>
      <x:c r="AI442" s="193" t="b">
        <x:v>1</x:v>
      </x:c>
      <x:c r="AJ442" s="193" t="b">
        <x:v>1</x:v>
      </x:c>
    </x:row>
    <x:row r="443">
      <x:c r="A443" s="192" t="n">
        <x:v>1181933658424522200</x:v>
      </x:c>
      <x:c r="B443" s="192" t="str">
        <x:v>https://www.airbnb.com.br/rooms/1181933658424522281</x:v>
      </x:c>
      <x:c r="C443" s="192" t="str">
        <x:v>Studio charmoso vista mar em Itapema MHFB2005</x:v>
      </x:c>
      <x:c r="D443" s="192" t="str">
        <x:v>Centro</x:v>
      </x:c>
      <x:c r="E443" s="192" t="n">
        <x:v>-27.0936893</x:v>
      </x:c>
      <x:c r="F443" s="192" t="n">
        <x:v>-48.6131638</x:v>
      </x:c>
      <x:c r="G443" s="192" t="str">
        <x:v>apartamento</x:v>
      </x:c>
      <x:c r="H443" s="192" t="n">
        <x:v>1</x:v>
      </x:c>
      <x:c r="I443" s="192" t="n">
        <x:v>1</x:v>
      </x:c>
      <x:c r="J443" s="192" t="n">
        <x:v>1</x:v>
      </x:c>
      <x:c r="K443" s="192" t="n">
        <x:v>2</x:v>
      </x:c>
      <x:c r="L443" s="192" t="n">
        <x:v>19</x:v>
      </x:c>
      <x:c r="M443" s="192" t="n">
        <x:v>4.7899999619</x:v>
      </x:c>
      <x:c r="N443" s="192" t="n">
        <x:v>150</x:v>
      </x:c>
      <x:c r="O443" s="192" t="n">
        <x:v>0</x:v>
      </x:c>
      <x:c r="P443" s="193" t="b">
        <x:v>1</x:v>
      </x:c>
      <x:c r="Q443" s="193" t="b">
        <x:v>1</x:v>
      </x:c>
      <x:c r="R443" s="193" t="b">
        <x:v>0</x:v>
      </x:c>
      <x:c r="S443" s="193" t="b">
        <x:v>0</x:v>
      </x:c>
      <x:c r="T443" s="192" t="n">
        <x:v>65</x:v>
      </x:c>
      <x:c r="U443" s="192" t="n">
        <x:v>25</x:v>
      </x:c>
      <x:c r="V443" s="200" t="n">
        <x:v>0.2777777778</x:v>
      </x:c>
      <x:c r="W443" s="203" t="n">
        <x:v>372</x:v>
      </x:c>
      <x:c r="X443" s="203" t="n">
        <x:v>9821.5711176151</x:v>
      </x:c>
      <x:c r="Y443" s="203" t="n">
        <x:v>25392.853660334</x:v>
      </x:c>
      <x:c r="Z443" s="193" t="b">
        <x:v>1</x:v>
      </x:c>
      <x:c r="AA443" s="193" t="b">
        <x:v>1</x:v>
      </x:c>
      <x:c r="AB443" s="193" t="b">
        <x:v>1</x:v>
      </x:c>
      <x:c r="AC443" s="193" t="b">
        <x:v>1</x:v>
      </x:c>
      <x:c r="AD443" s="193" t="b">
        <x:v>1</x:v>
      </x:c>
      <x:c r="AE443" s="193" t="b">
        <x:v>1</x:v>
      </x:c>
      <x:c r="AF443" s="193" t="b">
        <x:v>1</x:v>
      </x:c>
      <x:c r="AG443" s="193" t="b">
        <x:v>1</x:v>
      </x:c>
      <x:c r="AH443" s="193" t="b">
        <x:v>1</x:v>
      </x:c>
      <x:c r="AI443" s="193" t="b">
        <x:v>0</x:v>
      </x:c>
      <x:c r="AJ443" s="193" t="b">
        <x:v>0</x:v>
      </x:c>
    </x:row>
    <x:row r="444">
      <x:c r="A444" s="192" t="n">
        <x:v>1047723626454445000</x:v>
      </x:c>
      <x:c r="B444" s="192" t="str">
        <x:v>https://www.airbnb.com.br/rooms/1047723626454445067</x:v>
      </x:c>
      <x:c r="C444" s="192" t="str">
        <x:v>Suas férias a 50 mt do mar</x:v>
      </x:c>
      <x:c r="D444" s="192" t="str">
        <x:v>Meia Praia</x:v>
      </x:c>
      <x:c r="E444" s="192" t="n">
        <x:v>-27.1341</x:v>
      </x:c>
      <x:c r="F444" s="192" t="n">
        <x:v>-48.59745</x:v>
      </x:c>
      <x:c r="G444" s="192" t="str">
        <x:v>apartamento</x:v>
      </x:c>
      <x:c r="H444" s="192" t="n">
        <x:v>3</x:v>
      </x:c>
      <x:c r="I444" s="192" t="n">
        <x:v>3</x:v>
      </x:c>
      <x:c r="J444" s="192" t="n">
        <x:v>3</x:v>
      </x:c>
      <x:c r="K444" s="192" t="n">
        <x:v>8</x:v>
      </x:c>
      <x:c r="L444" s="192" t="n">
        <x:v>7</x:v>
      </x:c>
      <x:c r="M444" s="192" t="n">
        <x:v>5</x:v>
      </x:c>
      <x:c r="N444" s="192" t="n">
        <x:v>0</x:v>
      </x:c>
      <x:c r="O444" s="192" t="n">
        <x:v>30</x:v>
      </x:c>
      <x:c r="P444" s="193" t="b">
        <x:v>1</x:v>
      </x:c>
      <x:c r="Q444" s="193" t="b">
        <x:v>0</x:v>
      </x:c>
      <x:c r="R444" s="193" t="b">
        <x:v>1</x:v>
      </x:c>
      <x:c r="S444" s="193" t="b">
        <x:v>0</x:v>
      </x:c>
      <x:c r="T444" s="192" t="n">
        <x:v>90</x:v>
      </x:c>
      <x:c r="U444" s="192" t="n">
        <x:v>0</x:v>
      </x:c>
      <x:c r="V444" s="200" t="n">
        <x:v>0</x:v>
      </x:c>
      <x:c r="W444" s="203" t="n">
        <x:v>1750</x:v>
      </x:c>
      <x:c r="X444" s="203" t="n">
        <x:v>0</x:v>
      </x:c>
      <x:c r="Y444" s="203" t="n">
        <x:v>0</x:v>
      </x:c>
      <x:c r="Z444" s="193" t="b">
        <x:v>1</x:v>
      </x:c>
      <x:c r="AA444" s="193" t="b">
        <x:v>0</x:v>
      </x:c>
      <x:c r="AB444" s="193" t="b">
        <x:v>1</x:v>
      </x:c>
      <x:c r="AC444" s="193" t="b">
        <x:v>1</x:v>
      </x:c>
      <x:c r="AD444" s="193" t="b">
        <x:v>1</x:v>
      </x:c>
      <x:c r="AE444" s="193" t="b">
        <x:v>1</x:v>
      </x:c>
      <x:c r="AF444" s="193" t="b">
        <x:v>1</x:v>
      </x:c>
      <x:c r="AG444" s="193" t="b">
        <x:v>1</x:v>
      </x:c>
      <x:c r="AH444" s="193" t="b">
        <x:v>1</x:v>
      </x:c>
      <x:c r="AI444" s="193" t="b">
        <x:v>1</x:v>
      </x:c>
      <x:c r="AJ444" s="193" t="b">
        <x:v>0</x:v>
      </x:c>
    </x:row>
    <x:row r="445">
      <x:c r="A445" s="192" t="n">
        <x:v>27718978</x:v>
      </x:c>
      <x:c r="B445" s="192" t="str">
        <x:v>https://www.airbnb.com.br/rooms/27718978</x:v>
      </x:c>
      <x:c r="C445" s="192" t="str">
        <x:v>Cobertura duplex na rua 261, excelente localização</x:v>
      </x:c>
      <x:c r="D445" s="192" t="str">
        <x:v>Meia Praia</x:v>
      </x:c>
      <x:c r="E445" s="192" t="n">
        <x:v>-27.13281</x:v>
      </x:c>
      <x:c r="F445" s="192" t="n">
        <x:v>-48.59774</x:v>
      </x:c>
      <x:c r="G445" s="192" t="str">
        <x:v>apartamento</x:v>
      </x:c>
      <x:c r="H445" s="192" t="n">
        <x:v>4</x:v>
      </x:c>
      <x:c r="I445" s="192" t="n">
        <x:v>4</x:v>
      </x:c>
      <x:c r="J445" s="192" t="n">
        <x:v>4</x:v>
      </x:c>
      <x:c r="K445" s="192" t="n">
        <x:v>9</x:v>
      </x:c>
      <x:c r="L445" s="192" t="n">
        <x:v>11</x:v>
      </x:c>
      <x:c r="M445" s="192" t="n">
        <x:v>4.8200001717</x:v>
      </x:c>
      <x:c r="N445" s="192" t="n">
        <x:v>450</x:v>
      </x:c>
      <x:c r="O445" s="192" t="n">
        <x:v>25</x:v>
      </x:c>
      <x:c r="P445" s="193" t="b">
        <x:v>0</x:v>
      </x:c>
      <x:c r="Q445" s="193" t="b">
        <x:v>0</x:v>
      </x:c>
      <x:c r="R445" s="193" t="b">
        <x:v>0</x:v>
      </x:c>
      <x:c r="S445" s="193" t="b">
        <x:v>0</x:v>
      </x:c>
      <x:c r="T445" s="192" t="n">
        <x:v>14</x:v>
      </x:c>
      <x:c r="U445" s="192" t="n">
        <x:v>76</x:v>
      </x:c>
      <x:c r="V445" s="200" t="n">
        <x:v>0.8444444444</x:v>
      </x:c>
      <x:c r="W445" s="203" t="n">
        <x:v>500</x:v>
      </x:c>
      <x:c r="X445" s="203" t="n">
        <x:v>38408.8614467619</x:v>
      </x:c>
      <x:c r="Y445" s="203" t="n">
        <x:v>99302.9105321489</x:v>
      </x:c>
      <x:c r="Z445" s="193" t="b">
        <x:v>0</x:v>
      </x:c>
      <x:c r="AA445" s="193" t="b">
        <x:v>0</x:v>
      </x:c>
      <x:c r="AB445" s="193" t="b">
        <x:v>1</x:v>
      </x:c>
      <x:c r="AC445" s="193" t="b">
        <x:v>1</x:v>
      </x:c>
      <x:c r="AD445" s="193" t="b">
        <x:v>1</x:v>
      </x:c>
      <x:c r="AE445" s="193" t="b">
        <x:v>1</x:v>
      </x:c>
      <x:c r="AF445" s="193" t="b">
        <x:v>1</x:v>
      </x:c>
      <x:c r="AG445" s="193" t="b">
        <x:v>1</x:v>
      </x:c>
      <x:c r="AH445" s="193" t="b">
        <x:v>1</x:v>
      </x:c>
      <x:c r="AI445" s="193" t="b">
        <x:v>1</x:v>
      </x:c>
      <x:c r="AJ445" s="193" t="b">
        <x:v>1</x:v>
      </x:c>
    </x:row>
    <x:row r="446">
      <x:c r="A446" s="192" t="n">
        <x:v>790752171303746400</x:v>
      </x:c>
      <x:c r="B446" s="192" t="str">
        <x:v>https://www.airbnb.com.br/rooms/790752171303746450</x:v>
      </x:c>
      <x:c r="C446" s="192" t="str">
        <x:v>2 quadras do Mar c/ Ar em todos ambientes</x:v>
      </x:c>
      <x:c r="D446" s="192" t="str">
        <x:v>Meia Praia</x:v>
      </x:c>
      <x:c r="E446" s="192" t="n">
        <x:v>-27.1314792633</x:v>
      </x:c>
      <x:c r="F446" s="192" t="n">
        <x:v>-48.6034889221</x:v>
      </x:c>
      <x:c r="G446" s="192" t="str">
        <x:v>apartamento</x:v>
      </x:c>
      <x:c r="H446" s="192" t="n">
        <x:v>2</x:v>
      </x:c>
      <x:c r="I446" s="192" t="n">
        <x:v>2</x:v>
      </x:c>
      <x:c r="J446" s="192" t="n">
        <x:v>1</x:v>
      </x:c>
      <x:c r="K446" s="192" t="n">
        <x:v>6</x:v>
      </x:c>
      <x:c r="L446" s="192" t="n">
        <x:v>10</x:v>
      </x:c>
      <x:c r="M446" s="192" t="n">
        <x:v>5</x:v>
      </x:c>
      <x:c r="N446" s="192" t="n">
        <x:v>250</x:v>
      </x:c>
      <x:c r="O446" s="192" t="n">
        <x:v>16</x:v>
      </x:c>
      <x:c r="P446" s="193" t="b">
        <x:v>0</x:v>
      </x:c>
      <x:c r="Q446" s="193" t="b">
        <x:v>0</x:v>
      </x:c>
      <x:c r="R446" s="193" t="b">
        <x:v>1</x:v>
      </x:c>
      <x:c r="S446" s="193" t="b">
        <x:v>0</x:v>
      </x:c>
      <x:c r="T446" s="192" t="n">
        <x:v>76</x:v>
      </x:c>
      <x:c r="U446" s="192" t="n">
        <x:v>14</x:v>
      </x:c>
      <x:c r="V446" s="200" t="n">
        <x:v>0.1555555556</x:v>
      </x:c>
      <x:c r="W446" s="203" t="n">
        <x:v>500</x:v>
      </x:c>
      <x:c r="X446" s="203" t="n">
        <x:v>7027.3191367403</x:v>
      </x:c>
      <x:c r="Y446" s="203" t="n">
        <x:v>18168.5480181139</x:v>
      </x:c>
      <x:c r="Z446" s="193" t="b">
        <x:v>1</x:v>
      </x:c>
      <x:c r="AA446" s="193" t="b">
        <x:v>0</x:v>
      </x:c>
      <x:c r="AB446" s="193" t="b">
        <x:v>1</x:v>
      </x:c>
      <x:c r="AC446" s="193" t="b">
        <x:v>1</x:v>
      </x:c>
      <x:c r="AD446" s="193" t="b">
        <x:v>0</x:v>
      </x:c>
      <x:c r="AE446" s="193" t="b">
        <x:v>0</x:v>
      </x:c>
      <x:c r="AF446" s="193" t="b">
        <x:v>1</x:v>
      </x:c>
      <x:c r="AG446" s="193" t="b">
        <x:v>0</x:v>
      </x:c>
      <x:c r="AH446" s="193" t="b">
        <x:v>1</x:v>
      </x:c>
      <x:c r="AI446" s="193" t="b">
        <x:v>1</x:v>
      </x:c>
      <x:c r="AJ446" s="193" t="b">
        <x:v>0</x:v>
      </x:c>
    </x:row>
    <x:row r="447">
      <x:c r="A447" s="192" t="n">
        <x:v>859653300578357100</x:v>
      </x:c>
      <x:c r="B447" s="192" t="str">
        <x:v>https://www.airbnb.com.br/rooms/859653300578357102</x:v>
      </x:c>
      <x:c r="C447" s="192" t="str">
        <x:v>(406) Itapema em grande estilo</x:v>
      </x:c>
      <x:c r="D447" s="192" t="str">
        <x:v>Morretes</x:v>
      </x:c>
      <x:c r="E447" s="192" t="n">
        <x:v>-27.1170005798</x:v>
      </x:c>
      <x:c r="F447" s="192" t="n">
        <x:v>-48.6119995117</x:v>
      </x:c>
      <x:c r="G447" s="192" t="str">
        <x:v>apartamento</x:v>
      </x:c>
      <x:c r="H447" s="192" t="n">
        <x:v>2</x:v>
      </x:c>
      <x:c r="I447" s="192" t="n">
        <x:v>4</x:v>
      </x:c>
      <x:c r="J447" s="192" t="n">
        <x:v>2</x:v>
      </x:c>
      <x:c r="K447" s="192" t="n">
        <x:v>4</x:v>
      </x:c>
      <x:c r="L447" s="192" t="n">
        <x:v>26</x:v>
      </x:c>
      <x:c r="M447" s="192" t="n">
        <x:v>5</x:v>
      </x:c>
      <x:c r="N447" s="192" t="n">
        <x:v>250</x:v>
      </x:c>
      <x:c r="O447" s="192" t="n">
        <x:v>47</x:v>
      </x:c>
      <x:c r="P447" s="193" t="b">
        <x:v>0</x:v>
      </x:c>
      <x:c r="Q447" s="193" t="b">
        <x:v>1</x:v>
      </x:c>
      <x:c r="R447" s="193" t="b">
        <x:v>1</x:v>
      </x:c>
      <x:c r="S447" s="193" t="b">
        <x:v>1</x:v>
      </x:c>
      <x:c r="T447" s="192" t="n">
        <x:v>57</x:v>
      </x:c>
      <x:c r="U447" s="192" t="n">
        <x:v>33</x:v>
      </x:c>
      <x:c r="V447" s="200" t="n">
        <x:v>0.3666666667</x:v>
      </x:c>
      <x:c r="W447" s="203" t="n">
        <x:v>702</x:v>
      </x:c>
      <x:c r="X447" s="203" t="n">
        <x:v>22409.4176326758</x:v>
      </x:c>
      <x:c r="Y447" s="203" t="n">
        <x:v>57937.6818378138</x:v>
      </x:c>
      <x:c r="Z447" s="193" t="b">
        <x:v>1</x:v>
      </x:c>
      <x:c r="AA447" s="193" t="b">
        <x:v>0</x:v>
      </x:c>
      <x:c r="AB447" s="193" t="b">
        <x:v>1</x:v>
      </x:c>
      <x:c r="AC447" s="193" t="b">
        <x:v>1</x:v>
      </x:c>
      <x:c r="AD447" s="193" t="b">
        <x:v>0</x:v>
      </x:c>
      <x:c r="AE447" s="193" t="b">
        <x:v>0</x:v>
      </x:c>
      <x:c r="AF447" s="193" t="b">
        <x:v>0</x:v>
      </x:c>
      <x:c r="AG447" s="193" t="b">
        <x:v>1</x:v>
      </x:c>
      <x:c r="AH447" s="193" t="b">
        <x:v>1</x:v>
      </x:c>
      <x:c r="AI447" s="193" t="b">
        <x:v>1</x:v>
      </x:c>
      <x:c r="AJ447" s="193" t="b">
        <x:v>0</x:v>
      </x:c>
    </x:row>
    <x:row r="448">
      <x:c r="A448" s="192" t="n">
        <x:v>40246675</x:v>
      </x:c>
      <x:c r="B448" s="192" t="str">
        <x:v>https://www.airbnb.com.br/rooms/40246675</x:v>
      </x:c>
      <x:c r="C448" s="192" t="str">
        <x:v>Otima localiz a 50 mts da praia gar p 2 carros peq</x:v>
      </x:c>
      <x:c r="D448" s="192" t="str">
        <x:v>Meia Praia</x:v>
      </x:c>
      <x:c r="E448" s="192" t="n">
        <x:v>-27.13311</x:v>
      </x:c>
      <x:c r="F448" s="192" t="n">
        <x:v>-48.5991</x:v>
      </x:c>
      <x:c r="G448" s="192" t="str">
        <x:v>apartamento</x:v>
      </x:c>
      <x:c r="H448" s="192" t="n">
        <x:v>2</x:v>
      </x:c>
      <x:c r="I448" s="192" t="n">
        <x:v>1</x:v>
      </x:c>
      <x:c r="J448" s="192" t="n">
        <x:v>4</x:v>
      </x:c>
      <x:c r="K448" s="192" t="n">
        <x:v>7</x:v>
      </x:c>
      <x:c r="L448" s="192" t="n">
        <x:v>38</x:v>
      </x:c>
      <x:c r="M448" s="192" t="n">
        <x:v>4.8200001717</x:v>
      </x:c>
      <x:c r="N448" s="192" t="n">
        <x:v>150</x:v>
      </x:c>
      <x:c r="O448" s="192" t="n">
        <x:v>19</x:v>
      </x:c>
      <x:c r="P448" s="193" t="b">
        <x:v>1</x:v>
      </x:c>
      <x:c r="Q448" s="193" t="b">
        <x:v>0</x:v>
      </x:c>
      <x:c r="R448" s="193" t="b">
        <x:v>1</x:v>
      </x:c>
      <x:c r="S448" s="193" t="b">
        <x:v>0</x:v>
      </x:c>
      <x:c r="T448" s="192" t="n">
        <x:v>44</x:v>
      </x:c>
      <x:c r="U448" s="192" t="n">
        <x:v>46</x:v>
      </x:c>
      <x:c r="V448" s="200" t="n">
        <x:v>0.5111111111</x:v>
      </x:c>
      <x:c r="W448" s="203" t="n">
        <x:v>315</x:v>
      </x:c>
      <x:c r="X448" s="203" t="n">
        <x:v>14361.9379565465</x:v>
      </x:c>
      <x:c r="Y448" s="203" t="n">
        <x:v>37131.5937584878</x:v>
      </x:c>
      <x:c r="Z448" s="193" t="b">
        <x:v>0</x:v>
      </x:c>
      <x:c r="AA448" s="193" t="b">
        <x:v>0</x:v>
      </x:c>
      <x:c r="AB448" s="193" t="b">
        <x:v>1</x:v>
      </x:c>
      <x:c r="AC448" s="193" t="b">
        <x:v>1</x:v>
      </x:c>
      <x:c r="AD448" s="193" t="b">
        <x:v>1</x:v>
      </x:c>
      <x:c r="AE448" s="193" t="b">
        <x:v>1</x:v>
      </x:c>
      <x:c r="AF448" s="193" t="b">
        <x:v>1</x:v>
      </x:c>
      <x:c r="AG448" s="193" t="b">
        <x:v>1</x:v>
      </x:c>
      <x:c r="AH448" s="193" t="b">
        <x:v>1</x:v>
      </x:c>
      <x:c r="AI448" s="193" t="b">
        <x:v>1</x:v>
      </x:c>
      <x:c r="AJ448" s="193" t="b">
        <x:v>1</x:v>
      </x:c>
    </x:row>
    <x:row r="449">
      <x:c r="A449" s="192" t="n">
        <x:v>811053746893495300</x:v>
      </x:c>
      <x:c r="B449" s="192" t="str">
        <x:v>https://www.airbnb.com.br/rooms/811053746893495263</x:v>
      </x:c>
      <x:c r="C449" s="192" t="str">
        <x:v>O apt perfeito p suas férias, poucos passos do mar</x:v>
      </x:c>
      <x:c r="D449" s="192" t="str">
        <x:v>Meia Praia</x:v>
      </x:c>
      <x:c r="E449" s="192" t="n">
        <x:v>-27.13011</x:v>
      </x:c>
      <x:c r="F449" s="192" t="n">
        <x:v>-48.60021</x:v>
      </x:c>
      <x:c r="G449" s="192" t="str">
        <x:v>apartamento</x:v>
      </x:c>
      <x:c r="H449" s="192" t="n">
        <x:v>3</x:v>
      </x:c>
      <x:c r="I449" s="192" t="n">
        <x:v>2</x:v>
      </x:c>
      <x:c r="J449" s="192" t="n">
        <x:v>4</x:v>
      </x:c>
      <x:c r="K449" s="192" t="n">
        <x:v>8</x:v>
      </x:c>
      <x:c r="L449" s="192" t="n">
        <x:v>8</x:v>
      </x:c>
      <x:c r="M449" s="192" t="n">
        <x:v>5</x:v>
      </x:c>
      <x:c r="N449" s="192" t="n">
        <x:v>300</x:v>
      </x:c>
      <x:c r="O449" s="192" t="n">
        <x:v>22</x:v>
      </x:c>
      <x:c r="P449" s="193" t="b">
        <x:v>0</x:v>
      </x:c>
      <x:c r="Q449" s="193" t="b">
        <x:v>0</x:v>
      </x:c>
      <x:c r="R449" s="193" t="b">
        <x:v>1</x:v>
      </x:c>
      <x:c r="S449" s="193" t="b">
        <x:v>0</x:v>
      </x:c>
      <x:c r="T449" s="192" t="n">
        <x:v>59</x:v>
      </x:c>
      <x:c r="U449" s="192" t="n">
        <x:v>31</x:v>
      </x:c>
      <x:c r="V449" s="200" t="n">
        <x:v>0.3444444444</x:v>
      </x:c>
      <x:c r="W449" s="203" t="n">
        <x:v>400</x:v>
      </x:c>
      <x:c r="X449" s="203" t="n">
        <x:v>12394.1094670374</x:v>
      </x:c>
      <x:c r="Y449" s="203" t="n">
        <x:v>32043.9371845695</x:v>
      </x:c>
      <x:c r="Z449" s="193" t="b">
        <x:v>1</x:v>
      </x:c>
      <x:c r="AA449" s="193" t="b">
        <x:v>0</x:v>
      </x:c>
      <x:c r="AB449" s="193" t="b">
        <x:v>1</x:v>
      </x:c>
      <x:c r="AC449" s="193" t="b">
        <x:v>1</x:v>
      </x:c>
      <x:c r="AD449" s="193" t="b">
        <x:v>1</x:v>
      </x:c>
      <x:c r="AE449" s="193" t="b">
        <x:v>1</x:v>
      </x:c>
      <x:c r="AF449" s="193" t="b">
        <x:v>1</x:v>
      </x:c>
      <x:c r="AG449" s="193" t="b">
        <x:v>1</x:v>
      </x:c>
      <x:c r="AH449" s="193" t="b">
        <x:v>1</x:v>
      </x:c>
      <x:c r="AI449" s="193" t="b">
        <x:v>1</x:v>
      </x:c>
      <x:c r="AJ449" s="193" t="b">
        <x:v>1</x:v>
      </x:c>
    </x:row>
    <x:row r="450">
      <x:c r="A450" s="192" t="n">
        <x:v>1179103047052148500</x:v>
      </x:c>
      <x:c r="B450" s="192" t="str">
        <x:v>https://www.airbnb.com.br/rooms/1179103047052148475</x:v>
      </x:c>
      <x:c r="C450" s="192" t="str">
        <x:v>Apto c/ churrasqueira a 70m da praia RTO0502</x:v>
      </x:c>
      <x:c r="D450" s="192" t="str">
        <x:v>Meia Praia</x:v>
      </x:c>
      <x:c r="E450" s="192" t="n">
        <x:v>-27.1233348846</x:v>
      </x:c>
      <x:c r="F450" s="192" t="n">
        <x:v>-48.6063957214</x:v>
      </x:c>
      <x:c r="G450" s="192" t="str">
        <x:v>apartamento</x:v>
      </x:c>
      <x:c r="H450" s="192" t="n">
        <x:v>4</x:v>
      </x:c>
      <x:c r="I450" s="192" t="n">
        <x:v>3</x:v>
      </x:c>
      <x:c r="J450" s="192" t="n">
        <x:v>5</x:v>
      </x:c>
      <x:c r="K450" s="192" t="n">
        <x:v>8</x:v>
      </x:c>
      <x:c r="L450" s="192" t="n">
        <x:v>4</x:v>
      </x:c>
      <x:c r="M450" s="192" t="n">
        <x:v>4.5</x:v>
      </x:c>
      <x:c r="N450" s="192" t="n">
        <x:v>480</x:v>
      </x:c>
      <x:c r="O450" s="192" t="n">
        <x:v>0</x:v>
      </x:c>
      <x:c r="P450" s="193" t="b">
        <x:v>1</x:v>
      </x:c>
      <x:c r="Q450" s="193" t="b">
        <x:v>1</x:v>
      </x:c>
      <x:c r="R450" s="193" t="b">
        <x:v>0</x:v>
      </x:c>
      <x:c r="S450" s="193" t="b">
        <x:v>0</x:v>
      </x:c>
      <x:c r="T450" s="192" t="n">
        <x:v>36</x:v>
      </x:c>
      <x:c r="U450" s="192" t="n">
        <x:v>54</x:v>
      </x:c>
      <x:c r="V450" s="200" t="n">
        <x:v>0.6</x:v>
      </x:c>
      <x:c r="W450" s="203" t="n">
        <x:v>699</x:v>
      </x:c>
      <x:c r="X450" s="203" t="n">
        <x:v>38994.4299927979</x:v>
      </x:c>
      <x:c r="Y450" s="203" t="n">
        <x:v>100816.8492105463</x:v>
      </x:c>
      <x:c r="Z450" s="193" t="b">
        <x:v>1</x:v>
      </x:c>
      <x:c r="AA450" s="193" t="b">
        <x:v>0</x:v>
      </x:c>
      <x:c r="AB450" s="193" t="b">
        <x:v>1</x:v>
      </x:c>
      <x:c r="AC450" s="193" t="b">
        <x:v>1</x:v>
      </x:c>
      <x:c r="AD450" s="193" t="b">
        <x:v>1</x:v>
      </x:c>
      <x:c r="AE450" s="193" t="b">
        <x:v>0</x:v>
      </x:c>
      <x:c r="AF450" s="193" t="b">
        <x:v>1</x:v>
      </x:c>
      <x:c r="AG450" s="193" t="b">
        <x:v>1</x:v>
      </x:c>
      <x:c r="AH450" s="193" t="b">
        <x:v>1</x:v>
      </x:c>
      <x:c r="AI450" s="193" t="b">
        <x:v>1</x:v>
      </x:c>
      <x:c r="AJ450" s="193" t="b">
        <x:v>1</x:v>
      </x:c>
    </x:row>
    <x:row r="451">
      <x:c r="A451" s="192" t="n">
        <x:v>549056203343531840</x:v>
      </x:c>
      <x:c r="B451" s="192" t="str">
        <x:v>https://www.airbnb.com.br/rooms/549056203343531816</x:v>
      </x:c>
      <x:c r="C451" s="192" t="str">
        <x:v>Meia Praia - 50 metros do mar - PERTO DE TUDO</x:v>
      </x:c>
      <x:c r="D451" s="192" t="str">
        <x:v>Meia Praia</x:v>
      </x:c>
      <x:c r="E451" s="192" t="n">
        <x:v>-27.13664</x:v>
      </x:c>
      <x:c r="F451" s="192" t="n">
        <x:v>-48.59714</x:v>
      </x:c>
      <x:c r="G451" s="192" t="str">
        <x:v>apartamento</x:v>
      </x:c>
      <x:c r="H451" s="192" t="n">
        <x:v>3</x:v>
      </x:c>
      <x:c r="I451" s="192" t="n">
        <x:v>2</x:v>
      </x:c>
      <x:c r="J451" s="192" t="n">
        <x:v>5</x:v>
      </x:c>
      <x:c r="K451" s="192" t="n">
        <x:v>8</x:v>
      </x:c>
      <x:c r="L451" s="192" t="n">
        <x:v>24</x:v>
      </x:c>
      <x:c r="M451" s="192" t="n">
        <x:v>5</x:v>
      </x:c>
      <x:c r="N451" s="192" t="n">
        <x:v>200</x:v>
      </x:c>
      <x:c r="O451" s="192" t="n">
        <x:v>32</x:v>
      </x:c>
      <x:c r="P451" s="193" t="b">
        <x:v>0</x:v>
      </x:c>
      <x:c r="Q451" s="193" t="b">
        <x:v>0</x:v>
      </x:c>
      <x:c r="R451" s="193" t="b">
        <x:v>1</x:v>
      </x:c>
      <x:c r="S451" s="193" t="b">
        <x:v>1</x:v>
      </x:c>
      <x:c r="T451" s="192" t="n">
        <x:v>25</x:v>
      </x:c>
      <x:c r="U451" s="192" t="n">
        <x:v>65</x:v>
      </x:c>
      <x:c r="V451" s="200" t="n">
        <x:v>0.7222222222</x:v>
      </x:c>
      <x:c r="W451" s="203" t="n">
        <x:v>330</x:v>
      </x:c>
      <x:c r="X451" s="203" t="n">
        <x:v>21865.6047975537</x:v>
      </x:c>
      <x:c r="Y451" s="203" t="n">
        <x:v>56531.699070342</x:v>
      </x:c>
      <x:c r="Z451" s="193" t="b">
        <x:v>0</x:v>
      </x:c>
      <x:c r="AA451" s="193" t="b">
        <x:v>0</x:v>
      </x:c>
      <x:c r="AB451" s="193" t="b">
        <x:v>1</x:v>
      </x:c>
      <x:c r="AC451" s="193" t="b">
        <x:v>1</x:v>
      </x:c>
      <x:c r="AD451" s="193" t="b">
        <x:v>1</x:v>
      </x:c>
      <x:c r="AE451" s="193" t="b">
        <x:v>0</x:v>
      </x:c>
      <x:c r="AF451" s="193" t="b">
        <x:v>1</x:v>
      </x:c>
      <x:c r="AG451" s="193" t="b">
        <x:v>1</x:v>
      </x:c>
      <x:c r="AH451" s="193" t="b">
        <x:v>1</x:v>
      </x:c>
      <x:c r="AI451" s="193" t="b">
        <x:v>1</x:v>
      </x:c>
      <x:c r="AJ451" s="193" t="b">
        <x:v>0</x:v>
      </x:c>
    </x:row>
    <x:row r="452">
      <x:c r="A452" s="192" t="n">
        <x:v>1006396584243125100</x:v>
      </x:c>
      <x:c r="B452" s="192" t="str">
        <x:v>https://www.airbnb.com.br/rooms/1006396584243125090</x:v>
      </x:c>
      <x:c r="C452" s="192" t="str">
        <x:v>Nilmare Apart Hotel - Apto moderno c/ lareira - 7</x:v>
      </x:c>
      <x:c r="D452" s="192" t="str">
        <x:v>Centro</x:v>
      </x:c>
      <x:c r="E452" s="192" t="n">
        <x:v>-27.09147</x:v>
      </x:c>
      <x:c r="F452" s="192" t="n">
        <x:v>-48.61387</x:v>
      </x:c>
      <x:c r="G452" s="192" t="str">
        <x:v>apartamento</x:v>
      </x:c>
      <x:c r="H452" s="192" t="n">
        <x:v>1</x:v>
      </x:c>
      <x:c r="I452" s="192" t="n">
        <x:v>1</x:v>
      </x:c>
      <x:c r="J452" s="192" t="n">
        <x:v>2</x:v>
      </x:c>
      <x:c r="K452" s="192" t="n">
        <x:v>4</x:v>
      </x:c>
      <x:c r="L452" s="192" t="n">
        <x:v>50</x:v>
      </x:c>
      <x:c r="M452" s="192" t="n">
        <x:v>4.8000001907</x:v>
      </x:c>
      <x:c r="N452" s="192" t="n">
        <x:v>60</x:v>
      </x:c>
      <x:c r="O452" s="192" t="n">
        <x:v>16</x:v>
      </x:c>
      <x:c r="P452" s="193" t="b">
        <x:v>1</x:v>
      </x:c>
      <x:c r="Q452" s="193" t="b">
        <x:v>1</x:v>
      </x:c>
      <x:c r="R452" s="193" t="b">
        <x:v>0</x:v>
      </x:c>
      <x:c r="S452" s="193" t="b">
        <x:v>1</x:v>
      </x:c>
      <x:c r="T452" s="192" t="n">
        <x:v>72</x:v>
      </x:c>
      <x:c r="U452" s="192" t="n">
        <x:v>18</x:v>
      </x:c>
      <x:c r="V452" s="200" t="n">
        <x:v>0.2</x:v>
      </x:c>
      <x:c r="W452" s="203" t="n">
        <x:v>549</x:v>
      </x:c>
      <x:c r="X452" s="203" t="n">
        <x:v>9738.8924065546</x:v>
      </x:c>
      <x:c r="Y452" s="203" t="n">
        <x:v>25179.0947427797</x:v>
      </x:c>
      <x:c r="Z452" s="193" t="b">
        <x:v>1</x:v>
      </x:c>
      <x:c r="AA452" s="193" t="b">
        <x:v>1</x:v>
      </x:c>
      <x:c r="AB452" s="193" t="b">
        <x:v>1</x:v>
      </x:c>
      <x:c r="AC452" s="193" t="b">
        <x:v>1</x:v>
      </x:c>
      <x:c r="AD452" s="193" t="b">
        <x:v>1</x:v>
      </x:c>
      <x:c r="AE452" s="193" t="b">
        <x:v>0</x:v>
      </x:c>
      <x:c r="AF452" s="193" t="b">
        <x:v>1</x:v>
      </x:c>
      <x:c r="AG452" s="193" t="b">
        <x:v>1</x:v>
      </x:c>
      <x:c r="AH452" s="193" t="b">
        <x:v>1</x:v>
      </x:c>
      <x:c r="AI452" s="193" t="b">
        <x:v>1</x:v>
      </x:c>
      <x:c r="AJ452" s="193" t="b">
        <x:v>0</x:v>
      </x:c>
    </x:row>
    <x:row r="453">
      <x:c r="A453" s="192" t="n">
        <x:v>41493620</x:v>
      </x:c>
      <x:c r="B453" s="192" t="str">
        <x:v>https://www.airbnb.com.br/rooms/41493620</x:v>
      </x:c>
      <x:c r="C453" s="192" t="str">
        <x:v>Apto 50 m da Praia,  terraço linda vista pro mar</x:v>
      </x:c>
      <x:c r="D453" s="192" t="str">
        <x:v>Meia Praia</x:v>
      </x:c>
      <x:c r="E453" s="192" t="n">
        <x:v>-27.13692</x:v>
      </x:c>
      <x:c r="F453" s="192" t="n">
        <x:v>-48.59443</x:v>
      </x:c>
      <x:c r="G453" s="192" t="str">
        <x:v>apartamento</x:v>
      </x:c>
      <x:c r="H453" s="192" t="n">
        <x:v>2</x:v>
      </x:c>
      <x:c r="I453" s="192" t="n">
        <x:v>2</x:v>
      </x:c>
      <x:c r="J453" s="192" t="n">
        <x:v>2</x:v>
      </x:c>
      <x:c r="K453" s="192" t="n">
        <x:v>4</x:v>
      </x:c>
      <x:c r="L453" s="192" t="n">
        <x:v>7</x:v>
      </x:c>
      <x:c r="M453" s="192" t="n">
        <x:v>5</x:v>
      </x:c>
      <x:c r="N453" s="192" t="n">
        <x:v>300</x:v>
      </x:c>
      <x:c r="O453" s="192" t="n">
        <x:v>24</x:v>
      </x:c>
      <x:c r="P453" s="193" t="b">
        <x:v>0</x:v>
      </x:c>
      <x:c r="Q453" s="193" t="b">
        <x:v>0</x:v>
      </x:c>
      <x:c r="R453" s="193" t="b">
        <x:v>1</x:v>
      </x:c>
      <x:c r="S453" s="193" t="b">
        <x:v>0</x:v>
      </x:c>
      <x:c r="T453" s="192" t="n">
        <x:v>87</x:v>
      </x:c>
      <x:c r="U453" s="192" t="n">
        <x:v>3</x:v>
      </x:c>
      <x:c r="V453" s="200" t="n">
        <x:v>0.0333333333</x:v>
      </x:c>
      <x:c r="W453" s="203" t="n">
        <x:v>750</x:v>
      </x:c>
      <x:c r="X453" s="203" t="n">
        <x:v>2323.111769674</x:v>
      </x:c>
      <x:c r="Y453" s="203" t="n">
        <x:v>6006.2118878445</x:v>
      </x:c>
      <x:c r="Z453" s="193" t="b">
        <x:v>1</x:v>
      </x:c>
      <x:c r="AA453" s="193" t="b">
        <x:v>0</x:v>
      </x:c>
      <x:c r="AB453" s="193" t="b">
        <x:v>1</x:v>
      </x:c>
      <x:c r="AC453" s="193" t="b">
        <x:v>1</x:v>
      </x:c>
      <x:c r="AD453" s="193" t="b">
        <x:v>1</x:v>
      </x:c>
      <x:c r="AE453" s="193" t="b">
        <x:v>1</x:v>
      </x:c>
      <x:c r="AF453" s="193" t="b">
        <x:v>1</x:v>
      </x:c>
      <x:c r="AG453" s="193" t="b">
        <x:v>1</x:v>
      </x:c>
      <x:c r="AH453" s="193" t="b">
        <x:v>1</x:v>
      </x:c>
      <x:c r="AI453" s="193" t="b">
        <x:v>1</x:v>
      </x:c>
      <x:c r="AJ453" s="193" t="b">
        <x:v>1</x:v>
      </x:c>
    </x:row>
    <x:row r="454">
      <x:c r="A454" s="192" t="n">
        <x:v>1207338410880339000</x:v>
      </x:c>
      <x:c r="B454" s="192" t="str">
        <x:v>https://www.airbnb.com.br/rooms/1207338410880339003</x:v>
      </x:c>
      <x:c r="C454" s="192" t="str">
        <x:v>Studio 280m da praia em prédio c/ piscina MHFA0503</x:v>
      </x:c>
      <x:c r="D454" s="192" t="str">
        <x:v>Centro</x:v>
      </x:c>
      <x:c r="E454" s="192" t="n">
        <x:v>-27.09306</x:v>
      </x:c>
      <x:c r="F454" s="192" t="n">
        <x:v>-48.61326</x:v>
      </x:c>
      <x:c r="G454" s="192" t="str">
        <x:v>apartamento</x:v>
      </x:c>
      <x:c r="H454" s="192" t="n">
        <x:v>1</x:v>
      </x:c>
      <x:c r="I454" s="192" t="n">
        <x:v>1</x:v>
      </x:c>
      <x:c r="J454" s="192" t="n">
        <x:v>1</x:v>
      </x:c>
      <x:c r="K454" s="192" t="n">
        <x:v>2</x:v>
      </x:c>
      <x:c r="L454" s="192" t="n">
        <x:v>0</x:v>
      </x:c>
      <x:c r="M454" s="192"/>
      <x:c r="N454" s="192" t="n">
        <x:v>150</x:v>
      </x:c>
      <x:c r="O454" s="192" t="n">
        <x:v>0</x:v>
      </x:c>
      <x:c r="P454" s="193" t="b">
        <x:v>1</x:v>
      </x:c>
      <x:c r="Q454" s="193" t="b">
        <x:v>1</x:v>
      </x:c>
      <x:c r="R454" s="193" t="b">
        <x:v>0</x:v>
      </x:c>
      <x:c r="S454" s="193" t="b">
        <x:v>0</x:v>
      </x:c>
      <x:c r="T454" s="192" t="n">
        <x:v>83</x:v>
      </x:c>
      <x:c r="U454" s="192" t="n">
        <x:v>7</x:v>
      </x:c>
      <x:c r="V454" s="200" t="n">
        <x:v>0.0777777778</x:v>
      </x:c>
      <x:c r="W454" s="203" t="n">
        <x:v>427</x:v>
      </x:c>
      <x:c r="X454" s="203" t="n">
        <x:v>3035.8726160696</x:v>
      </x:c>
      <x:c r="Y454" s="203" t="n">
        <x:v>7848.9956594632</x:v>
      </x:c>
      <x:c r="Z454" s="193" t="b">
        <x:v>1</x:v>
      </x:c>
      <x:c r="AA454" s="193" t="b">
        <x:v>1</x:v>
      </x:c>
      <x:c r="AB454" s="193" t="b">
        <x:v>1</x:v>
      </x:c>
      <x:c r="AC454" s="193" t="b">
        <x:v>1</x:v>
      </x:c>
      <x:c r="AD454" s="193" t="b">
        <x:v>1</x:v>
      </x:c>
      <x:c r="AE454" s="193" t="b">
        <x:v>0</x:v>
      </x:c>
      <x:c r="AF454" s="193" t="b">
        <x:v>1</x:v>
      </x:c>
      <x:c r="AG454" s="193" t="b">
        <x:v>1</x:v>
      </x:c>
      <x:c r="AH454" s="193" t="b">
        <x:v>1</x:v>
      </x:c>
      <x:c r="AI454" s="193" t="b">
        <x:v>0</x:v>
      </x:c>
      <x:c r="AJ454" s="193" t="b">
        <x:v>0</x:v>
      </x:c>
    </x:row>
    <x:row r="455">
      <x:c r="A455" s="192" t="n">
        <x:v>52670832</x:v>
      </x:c>
      <x:c r="B455" s="192" t="str">
        <x:v>https://www.airbnb.com.br/rooms/52670832</x:v>
      </x:c>
      <x:c r="C455" s="192" t="str">
        <x:v>Apartamento frente mar, Meia Praia - Itapema.</x:v>
      </x:c>
      <x:c r="D455" s="192" t="str">
        <x:v>Meia Praia</x:v>
      </x:c>
      <x:c r="E455" s="192" t="n">
        <x:v>-27.131212</x:v>
      </x:c>
      <x:c r="F455" s="192" t="n">
        <x:v>-48.598259</x:v>
      </x:c>
      <x:c r="G455" s="192" t="str">
        <x:v>apartamento</x:v>
      </x:c>
      <x:c r="H455" s="192" t="n">
        <x:v>3</x:v>
      </x:c>
      <x:c r="I455" s="192" t="n">
        <x:v>2</x:v>
      </x:c>
      <x:c r="J455" s="192" t="n">
        <x:v>10</x:v>
      </x:c>
      <x:c r="K455" s="192" t="n">
        <x:v>8</x:v>
      </x:c>
      <x:c r="L455" s="192" t="n">
        <x:v>27</x:v>
      </x:c>
      <x:c r="M455" s="192" t="n">
        <x:v>4.9299998283</x:v>
      </x:c>
      <x:c r="N455" s="192" t="n">
        <x:v>300</x:v>
      </x:c>
      <x:c r="O455" s="192" t="n">
        <x:v>88</x:v>
      </x:c>
      <x:c r="P455" s="193" t="b">
        <x:v>0</x:v>
      </x:c>
      <x:c r="Q455" s="193" t="b">
        <x:v>0</x:v>
      </x:c>
      <x:c r="R455" s="193" t="b">
        <x:v>1</x:v>
      </x:c>
      <x:c r="S455" s="193" t="b">
        <x:v>1</x:v>
      </x:c>
      <x:c r="T455" s="192" t="n">
        <x:v>13</x:v>
      </x:c>
      <x:c r="U455" s="192" t="n">
        <x:v>77</x:v>
      </x:c>
      <x:c r="V455" s="200" t="n">
        <x:v>0.8555555556</x:v>
      </x:c>
      <x:c r="W455" s="203" t="n">
        <x:v>470</x:v>
      </x:c>
      <x:c r="X455" s="203" t="n">
        <x:v>36568.4541433719</x:v>
      </x:c>
      <x:c r="Y455" s="203" t="n">
        <x:v>94544.6908165094</x:v>
      </x:c>
      <x:c r="Z455" s="193" t="b">
        <x:v>0</x:v>
      </x:c>
      <x:c r="AA455" s="193" t="b">
        <x:v>0</x:v>
      </x:c>
      <x:c r="AB455" s="193" t="b">
        <x:v>1</x:v>
      </x:c>
      <x:c r="AC455" s="193" t="b">
        <x:v>1</x:v>
      </x:c>
      <x:c r="AD455" s="193" t="b">
        <x:v>1</x:v>
      </x:c>
      <x:c r="AE455" s="193" t="b">
        <x:v>1</x:v>
      </x:c>
      <x:c r="AF455" s="193" t="b">
        <x:v>1</x:v>
      </x:c>
      <x:c r="AG455" s="193" t="b">
        <x:v>1</x:v>
      </x:c>
      <x:c r="AH455" s="193" t="b">
        <x:v>1</x:v>
      </x:c>
      <x:c r="AI455" s="193" t="b">
        <x:v>1</x:v>
      </x:c>
      <x:c r="AJ455" s="193" t="b">
        <x:v>1</x:v>
      </x:c>
    </x:row>
    <x:row r="456">
      <x:c r="A456" s="192" t="n">
        <x:v>41147466</x:v>
      </x:c>
      <x:c r="B456" s="192" t="str">
        <x:v>https://www.airbnb.com.br/rooms/41147466</x:v>
      </x:c>
      <x:c r="C456" s="192" t="str">
        <x:v>Um pedacinho do mar para você, 2 min até a praia</x:v>
      </x:c>
      <x:c r="D456" s="192" t="str">
        <x:v>Meia Praia</x:v>
      </x:c>
      <x:c r="E456" s="192" t="n">
        <x:v>-27.13412</x:v>
      </x:c>
      <x:c r="F456" s="192" t="n">
        <x:v>-48.59637</x:v>
      </x:c>
      <x:c r="G456" s="192" t="str">
        <x:v>apartamento</x:v>
      </x:c>
      <x:c r="H456" s="192" t="n">
        <x:v>0</x:v>
      </x:c>
      <x:c r="I456" s="192" t="n">
        <x:v>2</x:v>
      </x:c>
      <x:c r="J456" s="192" t="n">
        <x:v>3</x:v>
      </x:c>
      <x:c r="K456" s="192" t="n">
        <x:v>6</x:v>
      </x:c>
      <x:c r="L456" s="192" t="n">
        <x:v>42</x:v>
      </x:c>
      <x:c r="M456" s="192" t="n">
        <x:v>4.8600001335</x:v>
      </x:c>
      <x:c r="N456" s="192" t="n">
        <x:v>300</x:v>
      </x:c>
      <x:c r="O456" s="192" t="n">
        <x:v>18</x:v>
      </x:c>
      <x:c r="P456" s="193" t="b">
        <x:v>1</x:v>
      </x:c>
      <x:c r="Q456" s="193" t="b">
        <x:v>0</x:v>
      </x:c>
      <x:c r="R456" s="193" t="b">
        <x:v>1</x:v>
      </x:c>
      <x:c r="S456" s="193" t="b">
        <x:v>1</x:v>
      </x:c>
      <x:c r="T456" s="192" t="n">
        <x:v>45</x:v>
      </x:c>
      <x:c r="U456" s="192" t="n">
        <x:v>45</x:v>
      </x:c>
      <x:c r="V456" s="200" t="n">
        <x:v>0.5</x:v>
      </x:c>
      <x:c r="W456" s="203" t="n">
        <x:v>540</x:v>
      </x:c>
      <x:c r="X456" s="203" t="n">
        <x:v>25551.8362428774</x:v>
      </x:c>
      <x:c r="Y456" s="203" t="n">
        <x:v>66062.1432862725</x:v>
      </x:c>
      <x:c r="Z456" s="193" t="b">
        <x:v>0</x:v>
      </x:c>
      <x:c r="AA456" s="193" t="b">
        <x:v>0</x:v>
      </x:c>
      <x:c r="AB456" s="193" t="b">
        <x:v>1</x:v>
      </x:c>
      <x:c r="AC456" s="193" t="b">
        <x:v>1</x:v>
      </x:c>
      <x:c r="AD456" s="193" t="b">
        <x:v>1</x:v>
      </x:c>
      <x:c r="AE456" s="193" t="b">
        <x:v>1</x:v>
      </x:c>
      <x:c r="AF456" s="193" t="b">
        <x:v>1</x:v>
      </x:c>
      <x:c r="AG456" s="193" t="b">
        <x:v>1</x:v>
      </x:c>
      <x:c r="AH456" s="193" t="b">
        <x:v>1</x:v>
      </x:c>
      <x:c r="AI456" s="193" t="b">
        <x:v>1</x:v>
      </x:c>
      <x:c r="AJ456" s="193" t="b">
        <x:v>1</x:v>
      </x:c>
    </x:row>
    <x:row r="457">
      <x:c r="A457" s="192" t="n">
        <x:v>52365560</x:v>
      </x:c>
      <x:c r="B457" s="192" t="str">
        <x:v>https://www.airbnb.com.br/rooms/52365560</x:v>
      </x:c>
      <x:c r="C457" s="192" t="str">
        <x:v>POUSADA BRONZE - ITAPEMA/SC,  APTO 03</x:v>
      </x:c>
      <x:c r="D457" s="192" t="str">
        <x:v>Meia Praia</x:v>
      </x:c>
      <x:c r="E457" s="192" t="n">
        <x:v>-27.1325263977</x:v>
      </x:c>
      <x:c r="F457" s="192" t="n">
        <x:v>-48.6051979065</x:v>
      </x:c>
      <x:c r="G457" s="192" t="str">
        <x:v>apartamento</x:v>
      </x:c>
      <x:c r="H457" s="192" t="n">
        <x:v>1</x:v>
      </x:c>
      <x:c r="I457" s="192" t="n">
        <x:v>1</x:v>
      </x:c>
      <x:c r="J457" s="192" t="n">
        <x:v>1</x:v>
      </x:c>
      <x:c r="K457" s="192" t="n">
        <x:v>4</x:v>
      </x:c>
      <x:c r="L457" s="192" t="n">
        <x:v>10</x:v>
      </x:c>
      <x:c r="M457" s="192" t="n">
        <x:v>4.8000001907</x:v>
      </x:c>
      <x:c r="N457" s="192" t="n">
        <x:v>200</x:v>
      </x:c>
      <x:c r="O457" s="192" t="n">
        <x:v>20</x:v>
      </x:c>
      <x:c r="P457" s="193" t="b">
        <x:v>0</x:v>
      </x:c>
      <x:c r="Q457" s="193" t="b">
        <x:v>0</x:v>
      </x:c>
      <x:c r="R457" s="193" t="b">
        <x:v>1</x:v>
      </x:c>
      <x:c r="S457" s="193" t="b">
        <x:v>0</x:v>
      </x:c>
      <x:c r="T457" s="192" t="n">
        <x:v>75</x:v>
      </x:c>
      <x:c r="U457" s="192" t="n">
        <x:v>15</x:v>
      </x:c>
      <x:c r="V457" s="200" t="n">
        <x:v>0.1666666667</x:v>
      </x:c>
      <x:c r="W457" s="203" t="n">
        <x:v>300</x:v>
      </x:c>
      <x:c r="X457" s="203" t="n">
        <x:v>4507.7038388078</x:v>
      </x:c>
      <x:c r="Y457" s="203" t="n">
        <x:v>11654.2926332511</x:v>
      </x:c>
      <x:c r="Z457" s="193" t="b">
        <x:v>1</x:v>
      </x:c>
      <x:c r="AA457" s="193" t="b">
        <x:v>0</x:v>
      </x:c>
      <x:c r="AB457" s="193" t="b">
        <x:v>1</x:v>
      </x:c>
      <x:c r="AC457" s="193" t="b">
        <x:v>1</x:v>
      </x:c>
      <x:c r="AD457" s="193" t="b">
        <x:v>0</x:v>
      </x:c>
      <x:c r="AE457" s="193" t="b">
        <x:v>1</x:v>
      </x:c>
      <x:c r="AF457" s="193" t="b">
        <x:v>0</x:v>
      </x:c>
      <x:c r="AG457" s="193" t="b">
        <x:v>1</x:v>
      </x:c>
      <x:c r="AH457" s="193" t="b">
        <x:v>1</x:v>
      </x:c>
      <x:c r="AI457" s="193" t="b">
        <x:v>1</x:v>
      </x:c>
      <x:c r="AJ457" s="193" t="b">
        <x:v>1</x:v>
      </x:c>
    </x:row>
    <x:row r="458">
      <x:c r="A458" s="192" t="n">
        <x:v>37708447</x:v>
      </x:c>
      <x:c r="B458" s="192" t="str">
        <x:v>https://www.airbnb.com.br/rooms/37708447</x:v>
      </x:c>
      <x:c r="C458" s="192" t="str">
        <x:v>PÉ NA AREIA, Amplo apartamento de 3 dormitórios.</x:v>
      </x:c>
      <x:c r="D458" s="192" t="str">
        <x:v>Meia Praia</x:v>
      </x:c>
      <x:c r="E458" s="192" t="n">
        <x:v>-27.13962</x:v>
      </x:c>
      <x:c r="F458" s="192" t="n">
        <x:v>-48.59076</x:v>
      </x:c>
      <x:c r="G458" s="192" t="str">
        <x:v>apartamento</x:v>
      </x:c>
      <x:c r="H458" s="192" t="n">
        <x:v>3</x:v>
      </x:c>
      <x:c r="I458" s="192" t="n">
        <x:v>2</x:v>
      </x:c>
      <x:c r="J458" s="192" t="n">
        <x:v>6</x:v>
      </x:c>
      <x:c r="K458" s="192" t="n">
        <x:v>10</x:v>
      </x:c>
      <x:c r="L458" s="192" t="n">
        <x:v>95</x:v>
      </x:c>
      <x:c r="M458" s="192" t="n">
        <x:v>4.9899997711</x:v>
      </x:c>
      <x:c r="N458" s="192" t="n">
        <x:v>300</x:v>
      </x:c>
      <x:c r="O458" s="192" t="n">
        <x:v>69</x:v>
      </x:c>
      <x:c r="P458" s="193" t="b">
        <x:v>0</x:v>
      </x:c>
      <x:c r="Q458" s="193" t="b">
        <x:v>0</x:v>
      </x:c>
      <x:c r="R458" s="193" t="b">
        <x:v>1</x:v>
      </x:c>
      <x:c r="S458" s="193" t="b">
        <x:v>1</x:v>
      </x:c>
      <x:c r="T458" s="192" t="n">
        <x:v>39</x:v>
      </x:c>
      <x:c r="U458" s="192" t="n">
        <x:v>51</x:v>
      </x:c>
      <x:c r="V458" s="200" t="n">
        <x:v>0.5666666667</x:v>
      </x:c>
      <x:c r="W458" s="203" t="n">
        <x:v>700</x:v>
      </x:c>
      <x:c r="X458" s="203" t="n">
        <x:v>36517.5671270038</x:v>
      </x:c>
      <x:c r="Y458" s="203" t="n">
        <x:v>94413.1266762744</x:v>
      </x:c>
      <x:c r="Z458" s="193" t="b">
        <x:v>1</x:v>
      </x:c>
      <x:c r="AA458" s="193" t="b">
        <x:v>0</x:v>
      </x:c>
      <x:c r="AB458" s="193" t="b">
        <x:v>1</x:v>
      </x:c>
      <x:c r="AC458" s="193" t="b">
        <x:v>1</x:v>
      </x:c>
      <x:c r="AD458" s="193" t="b">
        <x:v>1</x:v>
      </x:c>
      <x:c r="AE458" s="193" t="b">
        <x:v>0</x:v>
      </x:c>
      <x:c r="AF458" s="193" t="b">
        <x:v>1</x:v>
      </x:c>
      <x:c r="AG458" s="193" t="b">
        <x:v>1</x:v>
      </x:c>
      <x:c r="AH458" s="193" t="b">
        <x:v>1</x:v>
      </x:c>
      <x:c r="AI458" s="193" t="b">
        <x:v>1</x:v>
      </x:c>
      <x:c r="AJ458" s="193" t="b">
        <x:v>1</x:v>
      </x:c>
    </x:row>
    <x:row r="459">
      <x:c r="A459" s="192" t="n">
        <x:v>1171049670344322000</x:v>
      </x:c>
      <x:c r="B459" s="192" t="str">
        <x:v>https://www.airbnb.com.br/rooms/1171049670344322120</x:v>
      </x:c>
      <x:c r="C459" s="192" t="str">
        <x:v>"Luxo em 3 Suítes Exclusivas"</x:v>
      </x:c>
      <x:c r="D459" s="192" t="str">
        <x:v>Meia Praia</x:v>
      </x:c>
      <x:c r="E459" s="192" t="n">
        <x:v>-27.138381958</x:v>
      </x:c>
      <x:c r="F459" s="192" t="n">
        <x:v>-48.5956459045</x:v>
      </x:c>
      <x:c r="G459" s="192" t="str">
        <x:v>apartamento</x:v>
      </x:c>
      <x:c r="H459" s="192" t="n">
        <x:v>3</x:v>
      </x:c>
      <x:c r="I459" s="192" t="n">
        <x:v>3</x:v>
      </x:c>
      <x:c r="J459" s="192" t="n">
        <x:v>3</x:v>
      </x:c>
      <x:c r="K459" s="192" t="n">
        <x:v>8</x:v>
      </x:c>
      <x:c r="L459" s="192" t="n">
        <x:v>17</x:v>
      </x:c>
      <x:c r="M459" s="192" t="n">
        <x:v>4.8200001717</x:v>
      </x:c>
      <x:c r="N459" s="192" t="n">
        <x:v>400</x:v>
      </x:c>
      <x:c r="O459" s="192" t="n">
        <x:v>113</x:v>
      </x:c>
      <x:c r="P459" s="193" t="b">
        <x:v>0</x:v>
      </x:c>
      <x:c r="Q459" s="193" t="b">
        <x:v>0</x:v>
      </x:c>
      <x:c r="R459" s="193" t="b">
        <x:v>1</x:v>
      </x:c>
      <x:c r="S459" s="193" t="b">
        <x:v>1</x:v>
      </x:c>
      <x:c r="T459" s="192" t="n">
        <x:v>61</x:v>
      </x:c>
      <x:c r="U459" s="192" t="n">
        <x:v>29</x:v>
      </x:c>
      <x:c r="V459" s="200" t="n">
        <x:v>0.3222222222</x:v>
      </x:c>
      <x:c r="W459" s="203" t="n">
        <x:v>599</x:v>
      </x:c>
      <x:c r="X459" s="203" t="n">
        <x:v>17288.32478742</x:v>
      </x:c>
      <x:c r="Y459" s="203" t="n">
        <x:v>44697.5230441422</x:v>
      </x:c>
      <x:c r="Z459" s="193" t="b">
        <x:v>1</x:v>
      </x:c>
      <x:c r="AA459" s="193" t="b">
        <x:v>0</x:v>
      </x:c>
      <x:c r="AB459" s="193" t="b">
        <x:v>1</x:v>
      </x:c>
      <x:c r="AC459" s="193" t="b">
        <x:v>1</x:v>
      </x:c>
      <x:c r="AD459" s="193" t="b">
        <x:v>1</x:v>
      </x:c>
      <x:c r="AE459" s="193" t="b">
        <x:v>1</x:v>
      </x:c>
      <x:c r="AF459" s="193" t="b">
        <x:v>1</x:v>
      </x:c>
      <x:c r="AG459" s="193" t="b">
        <x:v>1</x:v>
      </x:c>
      <x:c r="AH459" s="193" t="b">
        <x:v>1</x:v>
      </x:c>
      <x:c r="AI459" s="193" t="b">
        <x:v>1</x:v>
      </x:c>
      <x:c r="AJ459" s="193" t="b">
        <x:v>0</x:v>
      </x:c>
    </x:row>
    <x:row r="460">
      <x:c r="A460" s="192" t="n">
        <x:v>1320994692912931300</x:v>
      </x:c>
      <x:c r="B460" s="192" t="str">
        <x:v>https://www.airbnb.com.br/rooms/1320994692912931266</x:v>
      </x:c>
      <x:c r="C460" s="192" t="str">
        <x:v>Apto em cond c/ piscina a 280m da Praia MHF1002</x:v>
      </x:c>
      <x:c r="D460" s="192" t="str">
        <x:v>Centro</x:v>
      </x:c>
      <x:c r="E460" s="192" t="n">
        <x:v>-27.09365</x:v>
      </x:c>
      <x:c r="F460" s="192" t="n">
        <x:v>-48.61308</x:v>
      </x:c>
      <x:c r="G460" s="192" t="str">
        <x:v>apartamento</x:v>
      </x:c>
      <x:c r="H460" s="192" t="n">
        <x:v>2</x:v>
      </x:c>
      <x:c r="I460" s="192" t="n">
        <x:v>1</x:v>
      </x:c>
      <x:c r="J460" s="192" t="n">
        <x:v>3</x:v>
      </x:c>
      <x:c r="K460" s="192" t="n">
        <x:v>5</x:v>
      </x:c>
      <x:c r="L460" s="192" t="n">
        <x:v>0</x:v>
      </x:c>
      <x:c r="M460" s="192"/>
      <x:c r="N460" s="192" t="n">
        <x:v>220</x:v>
      </x:c>
      <x:c r="O460" s="192" t="n">
        <x:v>0</x:v>
      </x:c>
      <x:c r="P460" s="193" t="b">
        <x:v>1</x:v>
      </x:c>
      <x:c r="Q460" s="193" t="b">
        <x:v>1</x:v>
      </x:c>
      <x:c r="R460" s="193" t="b">
        <x:v>0</x:v>
      </x:c>
      <x:c r="S460" s="193" t="b">
        <x:v>0</x:v>
      </x:c>
      <x:c r="T460" s="192" t="n">
        <x:v>78</x:v>
      </x:c>
      <x:c r="U460" s="192" t="n">
        <x:v>12</x:v>
      </x:c>
      <x:c r="V460" s="200" t="n">
        <x:v>0.1333333333</x:v>
      </x:c>
      <x:c r="W460" s="203" t="n">
        <x:v>1430</x:v>
      </x:c>
      <x:c r="X460" s="203" t="n">
        <x:v>17316.4163836581</x:v>
      </x:c>
      <x:c r="Y460" s="203" t="n">
        <x:v>44770.1515252494</x:v>
      </x:c>
      <x:c r="Z460" s="193" t="b">
        <x:v>1</x:v>
      </x:c>
      <x:c r="AA460" s="193" t="b">
        <x:v>1</x:v>
      </x:c>
      <x:c r="AB460" s="193" t="b">
        <x:v>1</x:v>
      </x:c>
      <x:c r="AC460" s="193" t="b">
        <x:v>1</x:v>
      </x:c>
      <x:c r="AD460" s="193" t="b">
        <x:v>1</x:v>
      </x:c>
      <x:c r="AE460" s="193" t="b">
        <x:v>0</x:v>
      </x:c>
      <x:c r="AF460" s="193" t="b">
        <x:v>1</x:v>
      </x:c>
      <x:c r="AG460" s="193" t="b">
        <x:v>1</x:v>
      </x:c>
      <x:c r="AH460" s="193" t="b">
        <x:v>1</x:v>
      </x:c>
      <x:c r="AI460" s="193" t="b">
        <x:v>1</x:v>
      </x:c>
      <x:c r="AJ460" s="193" t="b">
        <x:v>0</x:v>
      </x:c>
    </x:row>
    <x:row r="461">
      <x:c r="A461" s="192" t="n">
        <x:v>21295667</x:v>
      </x:c>
      <x:c r="B461" s="192" t="str">
        <x:v>https://www.airbnb.com.br/rooms/21295667</x:v>
      </x:c>
      <x:c r="C461" s="192" t="str">
        <x:v>Aluguel Temporada - Apartamento Amplo</x:v>
      </x:c>
      <x:c r="D461" s="192" t="str">
        <x:v>Meia Praia</x:v>
      </x:c>
      <x:c r="E461" s="192" t="n">
        <x:v>-27.13691</x:v>
      </x:c>
      <x:c r="F461" s="192" t="n">
        <x:v>-48.59562</x:v>
      </x:c>
      <x:c r="G461" s="192" t="str">
        <x:v>apartamento</x:v>
      </x:c>
      <x:c r="H461" s="192" t="n">
        <x:v>3</x:v>
      </x:c>
      <x:c r="I461" s="192" t="n">
        <x:v>4</x:v>
      </x:c>
      <x:c r="J461" s="192" t="n">
        <x:v>3</x:v>
      </x:c>
      <x:c r="K461" s="192" t="n">
        <x:v>9</x:v>
      </x:c>
      <x:c r="L461" s="192" t="n">
        <x:v>31</x:v>
      </x:c>
      <x:c r="M461" s="192" t="n">
        <x:v>4.8699998856</x:v>
      </x:c>
      <x:c r="N461" s="192" t="n">
        <x:v>320</x:v>
      </x:c>
      <x:c r="O461" s="192" t="n">
        <x:v>44</x:v>
      </x:c>
      <x:c r="P461" s="193" t="b">
        <x:v>0</x:v>
      </x:c>
      <x:c r="Q461" s="193" t="b">
        <x:v>0</x:v>
      </x:c>
      <x:c r="R461" s="193" t="b">
        <x:v>1</x:v>
      </x:c>
      <x:c r="S461" s="193" t="b">
        <x:v>0</x:v>
      </x:c>
      <x:c r="T461" s="192" t="n">
        <x:v>53</x:v>
      </x:c>
      <x:c r="U461" s="192" t="n">
        <x:v>37</x:v>
      </x:c>
      <x:c r="V461" s="200" t="n">
        <x:v>0.4111111111</x:v>
      </x:c>
      <x:c r="W461" s="203" t="n">
        <x:v>820</x:v>
      </x:c>
      <x:c r="X461" s="203" t="n">
        <x:v>30501.7880715667</x:v>
      </x:c>
      <x:c r="Y461" s="203" t="n">
        <x:v>78859.831243363</x:v>
      </x:c>
      <x:c r="Z461" s="193" t="b">
        <x:v>0</x:v>
      </x:c>
      <x:c r="AA461" s="193" t="b">
        <x:v>0</x:v>
      </x:c>
      <x:c r="AB461" s="193" t="b">
        <x:v>1</x:v>
      </x:c>
      <x:c r="AC461" s="193" t="b">
        <x:v>1</x:v>
      </x:c>
      <x:c r="AD461" s="193" t="b">
        <x:v>1</x:v>
      </x:c>
      <x:c r="AE461" s="193" t="b">
        <x:v>0</x:v>
      </x:c>
      <x:c r="AF461" s="193" t="b">
        <x:v>0</x:v>
      </x:c>
      <x:c r="AG461" s="193" t="b">
        <x:v>1</x:v>
      </x:c>
      <x:c r="AH461" s="193" t="b">
        <x:v>1</x:v>
      </x:c>
      <x:c r="AI461" s="193" t="b">
        <x:v>1</x:v>
      </x:c>
      <x:c r="AJ461" s="193" t="b">
        <x:v>0</x:v>
      </x:c>
    </x:row>
    <x:row r="462">
      <x:c r="A462" s="192" t="n">
        <x:v>1045916135727198500</x:v>
      </x:c>
      <x:c r="B462" s="192" t="str">
        <x:v>https://www.airbnb.com.br/rooms/1045916135727198441</x:v>
      </x:c>
      <x:c r="C462" s="192" t="str">
        <x:v>Apartamento Pé na Areia em Itapema.</x:v>
      </x:c>
      <x:c r="D462" s="192" t="str">
        <x:v>Meia Praia</x:v>
      </x:c>
      <x:c r="E462" s="192" t="n">
        <x:v>-27.1365661621</x:v>
      </x:c>
      <x:c r="F462" s="192" t="n">
        <x:v>-48.5934143066</x:v>
      </x:c>
      <x:c r="G462" s="192" t="str">
        <x:v>apartamento</x:v>
      </x:c>
      <x:c r="H462" s="192" t="n">
        <x:v>2</x:v>
      </x:c>
      <x:c r="I462" s="192" t="n">
        <x:v>2</x:v>
      </x:c>
      <x:c r="J462" s="192" t="n">
        <x:v>3</x:v>
      </x:c>
      <x:c r="K462" s="192" t="n">
        <x:v>6</x:v>
      </x:c>
      <x:c r="L462" s="192" t="n">
        <x:v>5</x:v>
      </x:c>
      <x:c r="M462" s="192" t="n">
        <x:v>5</x:v>
      </x:c>
      <x:c r="N462" s="192" t="n">
        <x:v>250</x:v>
      </x:c>
      <x:c r="O462" s="192" t="n">
        <x:v>15</x:v>
      </x:c>
      <x:c r="P462" s="193" t="b">
        <x:v>1</x:v>
      </x:c>
      <x:c r="Q462" s="193" t="b">
        <x:v>0</x:v>
      </x:c>
      <x:c r="R462" s="193" t="b">
        <x:v>1</x:v>
      </x:c>
      <x:c r="S462" s="193" t="b">
        <x:v>0</x:v>
      </x:c>
      <x:c r="T462" s="192" t="n">
        <x:v>59</x:v>
      </x:c>
      <x:c r="U462" s="192" t="n">
        <x:v>31</x:v>
      </x:c>
      <x:c r="V462" s="200" t="n">
        <x:v>0.3444444444</x:v>
      </x:c>
      <x:c r="W462" s="203" t="n">
        <x:v>650</x:v>
      </x:c>
      <x:c r="X462" s="203" t="n">
        <x:v>20078.9969457085</x:v>
      </x:c>
      <x:c r="Y462" s="203" t="n">
        <x:v>51912.5733533839</x:v>
      </x:c>
      <x:c r="Z462" s="193" t="b">
        <x:v>0</x:v>
      </x:c>
      <x:c r="AA462" s="193" t="b">
        <x:v>0</x:v>
      </x:c>
      <x:c r="AB462" s="193" t="b">
        <x:v>1</x:v>
      </x:c>
      <x:c r="AC462" s="193" t="b">
        <x:v>1</x:v>
      </x:c>
      <x:c r="AD462" s="193" t="b">
        <x:v>1</x:v>
      </x:c>
      <x:c r="AE462" s="193" t="b">
        <x:v>1</x:v>
      </x:c>
      <x:c r="AF462" s="193" t="b">
        <x:v>1</x:v>
      </x:c>
      <x:c r="AG462" s="193" t="b">
        <x:v>1</x:v>
      </x:c>
      <x:c r="AH462" s="193" t="b">
        <x:v>1</x:v>
      </x:c>
      <x:c r="AI462" s="193" t="b">
        <x:v>1</x:v>
      </x:c>
      <x:c r="AJ462" s="193" t="b">
        <x:v>1</x:v>
      </x:c>
    </x:row>
    <x:row r="463">
      <x:c r="A463" s="192" t="n">
        <x:v>900757690500508400</x:v>
      </x:c>
      <x:c r="B463" s="192" t="str">
        <x:v>https://www.airbnb.com.br/rooms/900757690500508426</x:v>
      </x:c>
      <x:c r="C463" s="192" t="str">
        <x:v>Prédio Frente Mar Aconchegante!</x:v>
      </x:c>
      <x:c r="D463" s="192" t="str">
        <x:v>Meia Praia</x:v>
      </x:c>
      <x:c r="E463" s="192" t="n">
        <x:v>-27.1420001984</x:v>
      </x:c>
      <x:c r="F463" s="192" t="n">
        <x:v>-48.5880012512</x:v>
      </x:c>
      <x:c r="G463" s="192" t="str">
        <x:v>apartamento</x:v>
      </x:c>
      <x:c r="H463" s="192" t="n">
        <x:v>2</x:v>
      </x:c>
      <x:c r="I463" s="192" t="n">
        <x:v>2</x:v>
      </x:c>
      <x:c r="J463" s="192" t="n">
        <x:v>2</x:v>
      </x:c>
      <x:c r="K463" s="192" t="n">
        <x:v>8</x:v>
      </x:c>
      <x:c r="L463" s="192" t="n">
        <x:v>22</x:v>
      </x:c>
      <x:c r="M463" s="192" t="n">
        <x:v>4.9499998093</x:v>
      </x:c>
      <x:c r="N463" s="192" t="n">
        <x:v>350</x:v>
      </x:c>
      <x:c r="O463" s="192" t="n">
        <x:v>35</x:v>
      </x:c>
      <x:c r="P463" s="193" t="b">
        <x:v>0</x:v>
      </x:c>
      <x:c r="Q463" s="193" t="b">
        <x:v>1</x:v>
      </x:c>
      <x:c r="R463" s="193" t="b">
        <x:v>1</x:v>
      </x:c>
      <x:c r="S463" s="193" t="b">
        <x:v>0</x:v>
      </x:c>
      <x:c r="T463" s="192" t="n">
        <x:v>25</x:v>
      </x:c>
      <x:c r="U463" s="192" t="n">
        <x:v>65</x:v>
      </x:c>
      <x:c r="V463" s="200" t="n">
        <x:v>0.7222222222</x:v>
      </x:c>
      <x:c r="W463" s="203" t="n">
        <x:v>475</x:v>
      </x:c>
      <x:c r="X463" s="203" t="n">
        <x:v>31086.6968210636</x:v>
      </x:c>
      <x:c r="Y463" s="203" t="n">
        <x:v>80372.0640727915</x:v>
      </x:c>
      <x:c r="Z463" s="193" t="b">
        <x:v>1</x:v>
      </x:c>
      <x:c r="AA463" s="193" t="b">
        <x:v>0</x:v>
      </x:c>
      <x:c r="AB463" s="193" t="b">
        <x:v>1</x:v>
      </x:c>
      <x:c r="AC463" s="193" t="b">
        <x:v>1</x:v>
      </x:c>
      <x:c r="AD463" s="193" t="b">
        <x:v>1</x:v>
      </x:c>
      <x:c r="AE463" s="193" t="b">
        <x:v>1</x:v>
      </x:c>
      <x:c r="AF463" s="193" t="b">
        <x:v>1</x:v>
      </x:c>
      <x:c r="AG463" s="193" t="b">
        <x:v>1</x:v>
      </x:c>
      <x:c r="AH463" s="193" t="b">
        <x:v>1</x:v>
      </x:c>
      <x:c r="AI463" s="193" t="b">
        <x:v>1</x:v>
      </x:c>
      <x:c r="AJ463" s="193" t="b">
        <x:v>1</x:v>
      </x:c>
    </x:row>
    <x:row r="464">
      <x:c r="A464" s="192" t="n">
        <x:v>821574780923920100</x:v>
      </x:c>
      <x:c r="B464" s="192" t="str">
        <x:v>https://www.airbnb.com.br/rooms/821574780923920105</x:v>
      </x:c>
      <x:c r="C464" s="192" t="str">
        <x:v>Castelo na praia</x:v>
      </x:c>
      <x:c r="D464" s="192" t="str">
        <x:v>Meia Praia</x:v>
      </x:c>
      <x:c r="E464" s="192" t="n">
        <x:v>-27.13653</x:v>
      </x:c>
      <x:c r="F464" s="192" t="n">
        <x:v>-48.59887</x:v>
      </x:c>
      <x:c r="G464" s="192" t="str">
        <x:v>apartamento</x:v>
      </x:c>
      <x:c r="H464" s="192" t="n">
        <x:v>3</x:v>
      </x:c>
      <x:c r="I464" s="192" t="n">
        <x:v>3</x:v>
      </x:c>
      <x:c r="J464" s="192" t="n">
        <x:v>3</x:v>
      </x:c>
      <x:c r="K464" s="192" t="n">
        <x:v>6</x:v>
      </x:c>
      <x:c r="L464" s="192" t="n">
        <x:v>6</x:v>
      </x:c>
      <x:c r="M464" s="192" t="n">
        <x:v>5</x:v>
      </x:c>
      <x:c r="N464" s="192" t="n">
        <x:v>300</x:v>
      </x:c>
      <x:c r="O464" s="192" t="n">
        <x:v>17</x:v>
      </x:c>
      <x:c r="P464" s="193" t="b">
        <x:v>0</x:v>
      </x:c>
      <x:c r="Q464" s="193" t="b">
        <x:v>0</x:v>
      </x:c>
      <x:c r="R464" s="193" t="b">
        <x:v>1</x:v>
      </x:c>
      <x:c r="S464" s="193" t="b">
        <x:v>0</x:v>
      </x:c>
      <x:c r="T464" s="192" t="n">
        <x:v>44</x:v>
      </x:c>
      <x:c r="U464" s="192" t="n">
        <x:v>46</x:v>
      </x:c>
      <x:c r="V464" s="200" t="n">
        <x:v>0.5111111111</x:v>
      </x:c>
      <x:c r="W464" s="203" t="n">
        <x:v>600</x:v>
      </x:c>
      <x:c r="X464" s="203" t="n">
        <x:v>28977.3075473611</x:v>
      </x:c>
      <x:c r="Y464" s="203" t="n">
        <x:v>74918.4138880732</x:v>
      </x:c>
      <x:c r="Z464" s="193" t="b">
        <x:v>0</x:v>
      </x:c>
      <x:c r="AA464" s="193" t="b">
        <x:v>0</x:v>
      </x:c>
      <x:c r="AB464" s="193" t="b">
        <x:v>1</x:v>
      </x:c>
      <x:c r="AC464" s="193" t="b">
        <x:v>1</x:v>
      </x:c>
      <x:c r="AD464" s="193" t="b">
        <x:v>0</x:v>
      </x:c>
      <x:c r="AE464" s="193" t="b">
        <x:v>0</x:v>
      </x:c>
      <x:c r="AF464" s="193" t="b">
        <x:v>1</x:v>
      </x:c>
      <x:c r="AG464" s="193" t="b">
        <x:v>1</x:v>
      </x:c>
      <x:c r="AH464" s="193" t="b">
        <x:v>1</x:v>
      </x:c>
      <x:c r="AI464" s="193" t="b">
        <x:v>1</x:v>
      </x:c>
      <x:c r="AJ464" s="193" t="b">
        <x:v>0</x:v>
      </x:c>
    </x:row>
    <x:row r="465">
      <x:c r="A465" s="192" t="n">
        <x:v>39583346</x:v>
      </x:c>
      <x:c r="B465" s="192" t="str">
        <x:v>https://www.airbnb.com.br/rooms/39583346</x:v>
      </x:c>
      <x:c r="C465" s="192" t="str">
        <x:v>Excelente ap,3Qtos, 3BH, tv, ar, wi-fi, 2Garagens</x:v>
      </x:c>
      <x:c r="D465" s="192" t="str">
        <x:v>Meia Praia</x:v>
      </x:c>
      <x:c r="E465" s="192" t="n">
        <x:v>-27.12876</x:v>
      </x:c>
      <x:c r="F465" s="192" t="n">
        <x:v>-48.60354</x:v>
      </x:c>
      <x:c r="G465" s="192" t="str">
        <x:v>apartamento</x:v>
      </x:c>
      <x:c r="H465" s="192" t="n">
        <x:v>3</x:v>
      </x:c>
      <x:c r="I465" s="192" t="n">
        <x:v>3</x:v>
      </x:c>
      <x:c r="J465" s="192" t="n">
        <x:v>3</x:v>
      </x:c>
      <x:c r="K465" s="192" t="n">
        <x:v>6</x:v>
      </x:c>
      <x:c r="L465" s="192" t="n">
        <x:v>60</x:v>
      </x:c>
      <x:c r="M465" s="192" t="n">
        <x:v>4.9800000191</x:v>
      </x:c>
      <x:c r="N465" s="192" t="n">
        <x:v>250</x:v>
      </x:c>
      <x:c r="O465" s="192" t="n">
        <x:v>82</x:v>
      </x:c>
      <x:c r="P465" s="193" t="b">
        <x:v>1</x:v>
      </x:c>
      <x:c r="Q465" s="193" t="b">
        <x:v>0</x:v>
      </x:c>
      <x:c r="R465" s="193" t="b">
        <x:v>1</x:v>
      </x:c>
      <x:c r="S465" s="193" t="b">
        <x:v>1</x:v>
      </x:c>
      <x:c r="T465" s="192" t="n">
        <x:v>50</x:v>
      </x:c>
      <x:c r="U465" s="192" t="n">
        <x:v>40</x:v>
      </x:c>
      <x:c r="V465" s="200" t="n">
        <x:v>0.4444444444</x:v>
      </x:c>
      <x:c r="W465" s="203" t="n">
        <x:v>525</x:v>
      </x:c>
      <x:c r="X465" s="203" t="n">
        <x:v>21580.9201792544</x:v>
      </x:c>
      <x:c r="Y465" s="203" t="n">
        <x:v>55795.6707134473</x:v>
      </x:c>
      <x:c r="Z465" s="193" t="b">
        <x:v>1</x:v>
      </x:c>
      <x:c r="AA465" s="193" t="b">
        <x:v>0</x:v>
      </x:c>
      <x:c r="AB465" s="193" t="b">
        <x:v>1</x:v>
      </x:c>
      <x:c r="AC465" s="193" t="b">
        <x:v>1</x:v>
      </x:c>
      <x:c r="AD465" s="193" t="b">
        <x:v>1</x:v>
      </x:c>
      <x:c r="AE465" s="193" t="b">
        <x:v>0</x:v>
      </x:c>
      <x:c r="AF465" s="193" t="b">
        <x:v>1</x:v>
      </x:c>
      <x:c r="AG465" s="193" t="b">
        <x:v>1</x:v>
      </x:c>
      <x:c r="AH465" s="193" t="b">
        <x:v>1</x:v>
      </x:c>
      <x:c r="AI465" s="193" t="b">
        <x:v>1</x:v>
      </x:c>
      <x:c r="AJ465" s="193" t="b">
        <x:v>1</x:v>
      </x:c>
    </x:row>
    <x:row r="466">
      <x:c r="A466" s="192" t="n">
        <x:v>52059007</x:v>
      </x:c>
      <x:c r="B466" s="192" t="str">
        <x:v>https://www.airbnb.com.br/rooms/52059007</x:v>
      </x:c>
      <x:c r="C466" s="192" t="str">
        <x:v>Apto moderno Vista Mar da melhor praia de Itapema!</x:v>
      </x:c>
      <x:c r="D466" s="192" t="str">
        <x:v>Centro</x:v>
      </x:c>
      <x:c r="E466" s="192" t="n">
        <x:v>-27.09535</x:v>
      </x:c>
      <x:c r="F466" s="192" t="n">
        <x:v>-48.6131</x:v>
      </x:c>
      <x:c r="G466" s="192" t="str">
        <x:v>apartamento</x:v>
      </x:c>
      <x:c r="H466" s="192" t="n">
        <x:v>2</x:v>
      </x:c>
      <x:c r="I466" s="192" t="n">
        <x:v>2</x:v>
      </x:c>
      <x:c r="J466" s="192" t="n">
        <x:v>2</x:v>
      </x:c>
      <x:c r="K466" s="192" t="n">
        <x:v>6</x:v>
      </x:c>
      <x:c r="L466" s="192" t="n">
        <x:v>1</x:v>
      </x:c>
      <x:c r="M466" s="192" t="n">
        <x:v>5</x:v>
      </x:c>
      <x:c r="N466" s="192" t="n">
        <x:v>50</x:v>
      </x:c>
      <x:c r="O466" s="192" t="n">
        <x:v>44</x:v>
      </x:c>
      <x:c r="P466" s="193" t="b">
        <x:v>0</x:v>
      </x:c>
      <x:c r="Q466" s="193" t="b">
        <x:v>0</x:v>
      </x:c>
      <x:c r="R466" s="193" t="b">
        <x:v>0</x:v>
      </x:c>
      <x:c r="S466" s="193" t="b">
        <x:v>0</x:v>
      </x:c>
      <x:c r="T466" s="192" t="n">
        <x:v>83</x:v>
      </x:c>
      <x:c r="U466" s="192" t="n">
        <x:v>7</x:v>
      </x:c>
      <x:c r="V466" s="200" t="n">
        <x:v>0.0777777778</x:v>
      </x:c>
      <x:c r="W466" s="203" t="n">
        <x:v>1000</x:v>
      </x:c>
      <x:c r="X466" s="203" t="n">
        <x:v>7120.828808034</x:v>
      </x:c>
      <x:c r="Y466" s="203" t="n">
        <x:v>18410.3094807713</x:v>
      </x:c>
      <x:c r="Z466" s="193" t="b">
        <x:v>1</x:v>
      </x:c>
      <x:c r="AA466" s="193" t="b">
        <x:v>0</x:v>
      </x:c>
      <x:c r="AB466" s="193" t="b">
        <x:v>1</x:v>
      </x:c>
      <x:c r="AC466" s="193" t="b">
        <x:v>1</x:v>
      </x:c>
      <x:c r="AD466" s="193" t="b">
        <x:v>1</x:v>
      </x:c>
      <x:c r="AE466" s="193" t="b">
        <x:v>1</x:v>
      </x:c>
      <x:c r="AF466" s="193" t="b">
        <x:v>1</x:v>
      </x:c>
      <x:c r="AG466" s="193" t="b">
        <x:v>1</x:v>
      </x:c>
      <x:c r="AH466" s="193" t="b">
        <x:v>1</x:v>
      </x:c>
      <x:c r="AI466" s="193" t="b">
        <x:v>1</x:v>
      </x:c>
      <x:c r="AJ466" s="193" t="b">
        <x:v>1</x:v>
      </x:c>
    </x:row>
    <x:row r="467">
      <x:c r="A467" s="192" t="n">
        <x:v>42625075</x:v>
      </x:c>
      <x:c r="B467" s="192" t="str">
        <x:v>https://www.airbnb.com.br/rooms/42625075</x:v>
      </x:c>
      <x:c r="C467" s="192" t="str">
        <x:v>Apto com ótima localização, centro de Meia Praia</x:v>
      </x:c>
      <x:c r="D467" s="192" t="str">
        <x:v>Meia Praia</x:v>
      </x:c>
      <x:c r="E467" s="192" t="n">
        <x:v>-27.12701</x:v>
      </x:c>
      <x:c r="F467" s="192" t="n">
        <x:v>-48.60411</x:v>
      </x:c>
      <x:c r="G467" s="192" t="str">
        <x:v>apartamento</x:v>
      </x:c>
      <x:c r="H467" s="192" t="n">
        <x:v>3</x:v>
      </x:c>
      <x:c r="I467" s="192" t="n">
        <x:v>2</x:v>
      </x:c>
      <x:c r="J467" s="192" t="n">
        <x:v>5</x:v>
      </x:c>
      <x:c r="K467" s="192" t="n">
        <x:v>8</x:v>
      </x:c>
      <x:c r="L467" s="192" t="n">
        <x:v>31</x:v>
      </x:c>
      <x:c r="M467" s="192" t="n">
        <x:v>4.7699999809</x:v>
      </x:c>
      <x:c r="N467" s="192" t="n">
        <x:v>200</x:v>
      </x:c>
      <x:c r="O467" s="192" t="n">
        <x:v>29</x:v>
      </x:c>
      <x:c r="P467" s="193" t="b">
        <x:v>0</x:v>
      </x:c>
      <x:c r="Q467" s="193" t="b">
        <x:v>0</x:v>
      </x:c>
      <x:c r="R467" s="193" t="b">
        <x:v>0</x:v>
      </x:c>
      <x:c r="S467" s="193" t="b">
        <x:v>0</x:v>
      </x:c>
      <x:c r="T467" s="192" t="n">
        <x:v>58</x:v>
      </x:c>
      <x:c r="U467" s="192" t="n">
        <x:v>32</x:v>
      </x:c>
      <x:c r="V467" s="200" t="n">
        <x:v>0.3555555556</x:v>
      </x:c>
      <x:c r="W467" s="203" t="n">
        <x:v>1000</x:v>
      </x:c>
      <x:c r="X467" s="203" t="n">
        <x:v>32103.3451968995</x:v>
      </x:c>
      <x:c r="Y467" s="203" t="n">
        <x:v>83000.5237278172</x:v>
      </x:c>
      <x:c r="Z467" s="193" t="b">
        <x:v>1</x:v>
      </x:c>
      <x:c r="AA467" s="193" t="b">
        <x:v>0</x:v>
      </x:c>
      <x:c r="AB467" s="193" t="b">
        <x:v>1</x:v>
      </x:c>
      <x:c r="AC467" s="193" t="b">
        <x:v>1</x:v>
      </x:c>
      <x:c r="AD467" s="193" t="b">
        <x:v>1</x:v>
      </x:c>
      <x:c r="AE467" s="193" t="b">
        <x:v>1</x:v>
      </x:c>
      <x:c r="AF467" s="193" t="b">
        <x:v>1</x:v>
      </x:c>
      <x:c r="AG467" s="193" t="b">
        <x:v>1</x:v>
      </x:c>
      <x:c r="AH467" s="193" t="b">
        <x:v>1</x:v>
      </x:c>
      <x:c r="AI467" s="193" t="b">
        <x:v>1</x:v>
      </x:c>
      <x:c r="AJ467" s="193" t="b">
        <x:v>1</x:v>
      </x:c>
    </x:row>
    <x:row r="468">
      <x:c r="A468" s="192" t="n">
        <x:v>46710652</x:v>
      </x:c>
      <x:c r="B468" s="192" t="str">
        <x:v>https://www.airbnb.com.br/rooms/46710652</x:v>
      </x:c>
      <x:c r="C468" s="192" t="str">
        <x:v>250 m do mar Ap. amplo e confortável em Meia Praia</x:v>
      </x:c>
      <x:c r="D468" s="192" t="str">
        <x:v>Meia Praia</x:v>
      </x:c>
      <x:c r="E468" s="192" t="n">
        <x:v>-27.12696</x:v>
      </x:c>
      <x:c r="F468" s="192" t="n">
        <x:v>-48.60653</x:v>
      </x:c>
      <x:c r="G468" s="192" t="str">
        <x:v>apartamento</x:v>
      </x:c>
      <x:c r="H468" s="192" t="n">
        <x:v>3</x:v>
      </x:c>
      <x:c r="I468" s="192" t="n">
        <x:v>3</x:v>
      </x:c>
      <x:c r="J468" s="192" t="n">
        <x:v>3</x:v>
      </x:c>
      <x:c r="K468" s="192" t="n">
        <x:v>9</x:v>
      </x:c>
      <x:c r="L468" s="192" t="n">
        <x:v>16</x:v>
      </x:c>
      <x:c r="M468" s="192" t="n">
        <x:v>4.9400000572</x:v>
      </x:c>
      <x:c r="N468" s="192" t="n">
        <x:v>250</x:v>
      </x:c>
      <x:c r="O468" s="192" t="n">
        <x:v>23</x:v>
      </x:c>
      <x:c r="P468" s="193" t="b">
        <x:v>0</x:v>
      </x:c>
      <x:c r="Q468" s="193" t="b">
        <x:v>0</x:v>
      </x:c>
      <x:c r="R468" s="193" t="b">
        <x:v>1</x:v>
      </x:c>
      <x:c r="S468" s="193" t="b">
        <x:v>0</x:v>
      </x:c>
      <x:c r="T468" s="192" t="n">
        <x:v>67</x:v>
      </x:c>
      <x:c r="U468" s="192" t="n">
        <x:v>23</x:v>
      </x:c>
      <x:c r="V468" s="200" t="n">
        <x:v>0.2555555556</x:v>
      </x:c>
      <x:c r="W468" s="203" t="n">
        <x:v>550</x:v>
      </x:c>
      <x:c r="X468" s="203" t="n">
        <x:v>12658.6599663505</x:v>
      </x:c>
      <x:c r="Y468" s="203" t="n">
        <x:v>32727.9104546686</x:v>
      </x:c>
      <x:c r="Z468" s="193" t="b">
        <x:v>1</x:v>
      </x:c>
      <x:c r="AA468" s="193" t="b">
        <x:v>0</x:v>
      </x:c>
      <x:c r="AB468" s="193" t="b">
        <x:v>1</x:v>
      </x:c>
      <x:c r="AC468" s="193" t="b">
        <x:v>1</x:v>
      </x:c>
      <x:c r="AD468" s="193" t="b">
        <x:v>0</x:v>
      </x:c>
      <x:c r="AE468" s="193" t="b">
        <x:v>0</x:v>
      </x:c>
      <x:c r="AF468" s="193" t="b">
        <x:v>1</x:v>
      </x:c>
      <x:c r="AG468" s="193" t="b">
        <x:v>1</x:v>
      </x:c>
      <x:c r="AH468" s="193" t="b">
        <x:v>1</x:v>
      </x:c>
      <x:c r="AI468" s="193" t="b">
        <x:v>1</x:v>
      </x:c>
      <x:c r="AJ468" s="193" t="b">
        <x:v>1</x:v>
      </x:c>
    </x:row>
    <x:row r="469">
      <x:c r="A469" s="192" t="n">
        <x:v>40209404</x:v>
      </x:c>
      <x:c r="B469" s="192" t="str">
        <x:v>https://www.airbnb.com.br/rooms/40209404</x:v>
      </x:c>
      <x:c r="C469" s="192" t="str">
        <x:v>Nilmare Apart Hotel - Suite Privativa c/ Cozinha 3</x:v>
      </x:c>
      <x:c r="D469" s="192" t="str">
        <x:v>Centro</x:v>
      </x:c>
      <x:c r="E469" s="192" t="n">
        <x:v>-27.09006</x:v>
      </x:c>
      <x:c r="F469" s="192" t="n">
        <x:v>-48.61213</x:v>
      </x:c>
      <x:c r="G469" s="192" t="str">
        <x:v>apartamento</x:v>
      </x:c>
      <x:c r="H469" s="192" t="n">
        <x:v>1</x:v>
      </x:c>
      <x:c r="I469" s="192" t="n">
        <x:v>1</x:v>
      </x:c>
      <x:c r="J469" s="192" t="n">
        <x:v>3</x:v>
      </x:c>
      <x:c r="K469" s="192" t="n">
        <x:v>4</x:v>
      </x:c>
      <x:c r="L469" s="192" t="n">
        <x:v>373</x:v>
      </x:c>
      <x:c r="M469" s="192" t="n">
        <x:v>4.8600001335</x:v>
      </x:c>
      <x:c r="N469" s="192" t="n">
        <x:v>35</x:v>
      </x:c>
      <x:c r="O469" s="192" t="n">
        <x:v>7</x:v>
      </x:c>
      <x:c r="P469" s="193" t="b">
        <x:v>1</x:v>
      </x:c>
      <x:c r="Q469" s="193" t="b">
        <x:v>1</x:v>
      </x:c>
      <x:c r="R469" s="193" t="b">
        <x:v>0</x:v>
      </x:c>
      <x:c r="S469" s="193" t="b">
        <x:v>1</x:v>
      </x:c>
      <x:c r="T469" s="192" t="n">
        <x:v>69</x:v>
      </x:c>
      <x:c r="U469" s="192" t="n">
        <x:v>21</x:v>
      </x:c>
      <x:c r="V469" s="200" t="n">
        <x:v>0.2333333333</x:v>
      </x:c>
      <x:c r="W469" s="203" t="n">
        <x:v>306</x:v>
      </x:c>
      <x:c r="X469" s="203" t="n">
        <x:v>6374.6486019339</x:v>
      </x:c>
      <x:c r="Y469" s="203" t="n">
        <x:v>16481.1227395832</x:v>
      </x:c>
      <x:c r="Z469" s="193" t="b">
        <x:v>1</x:v>
      </x:c>
      <x:c r="AA469" s="193" t="b">
        <x:v>1</x:v>
      </x:c>
      <x:c r="AB469" s="193" t="b">
        <x:v>1</x:v>
      </x:c>
      <x:c r="AC469" s="193" t="b">
        <x:v>1</x:v>
      </x:c>
      <x:c r="AD469" s="193" t="b">
        <x:v>1</x:v>
      </x:c>
      <x:c r="AE469" s="193" t="b">
        <x:v>0</x:v>
      </x:c>
      <x:c r="AF469" s="193" t="b">
        <x:v>0</x:v>
      </x:c>
      <x:c r="AG469" s="193" t="b">
        <x:v>1</x:v>
      </x:c>
      <x:c r="AH469" s="193" t="b">
        <x:v>1</x:v>
      </x:c>
      <x:c r="AI469" s="193" t="b">
        <x:v>1</x:v>
      </x:c>
      <x:c r="AJ469" s="193" t="b">
        <x:v>0</x:v>
      </x:c>
    </x:row>
    <x:row r="470">
      <x:c r="A470" s="192" t="n">
        <x:v>52758042</x:v>
      </x:c>
      <x:c r="B470" s="192" t="str">
        <x:v>https://www.airbnb.com.br/rooms/52758042</x:v>
      </x:c>
      <x:c r="C470" s="192" t="str">
        <x:v>Altíssimo padrão! Novo, e com fino acabamento</x:v>
      </x:c>
      <x:c r="D470" s="192" t="str">
        <x:v>Meia Praia</x:v>
      </x:c>
      <x:c r="E470" s="192" t="n">
        <x:v>-27.14416</x:v>
      </x:c>
      <x:c r="F470" s="192" t="n">
        <x:v>-48.58964</x:v>
      </x:c>
      <x:c r="G470" s="192" t="str">
        <x:v>apartamento</x:v>
      </x:c>
      <x:c r="H470" s="192" t="n">
        <x:v>4</x:v>
      </x:c>
      <x:c r="I470" s="192" t="n">
        <x:v>4</x:v>
      </x:c>
      <x:c r="J470" s="192" t="n">
        <x:v>5</x:v>
      </x:c>
      <x:c r="K470" s="192" t="n">
        <x:v>8</x:v>
      </x:c>
      <x:c r="L470" s="192" t="n">
        <x:v>1</x:v>
      </x:c>
      <x:c r="M470" s="192" t="n">
        <x:v>5</x:v>
      </x:c>
      <x:c r="N470" s="192" t="n">
        <x:v>300</x:v>
      </x:c>
      <x:c r="O470" s="192" t="n">
        <x:v>50</x:v>
      </x:c>
      <x:c r="P470" s="193" t="b">
        <x:v>0</x:v>
      </x:c>
      <x:c r="Q470" s="193" t="b">
        <x:v>1</x:v>
      </x:c>
      <x:c r="R470" s="193" t="b">
        <x:v>0</x:v>
      </x:c>
      <x:c r="S470" s="193" t="b">
        <x:v>0</x:v>
      </x:c>
      <x:c r="T470" s="192" t="n">
        <x:v>89</x:v>
      </x:c>
      <x:c r="U470" s="192" t="n">
        <x:v>1</x:v>
      </x:c>
      <x:c r="V470" s="200" t="n">
        <x:v>0.0111111111</x:v>
      </x:c>
      <x:c r="W470" s="203" t="n">
        <x:v>3000</x:v>
      </x:c>
      <x:c r="X470" s="203" t="n">
        <x:v>3019.5291417485</x:v>
      </x:c>
      <x:c r="Y470" s="203" t="n">
        <x:v>7806.7409685622</x:v>
      </x:c>
      <x:c r="Z470" s="193" t="b">
        <x:v>1</x:v>
      </x:c>
      <x:c r="AA470" s="193" t="b">
        <x:v>0</x:v>
      </x:c>
      <x:c r="AB470" s="193" t="b">
        <x:v>1</x:v>
      </x:c>
      <x:c r="AC470" s="193" t="b">
        <x:v>1</x:v>
      </x:c>
      <x:c r="AD470" s="193" t="b">
        <x:v>1</x:v>
      </x:c>
      <x:c r="AE470" s="193" t="b">
        <x:v>1</x:v>
      </x:c>
      <x:c r="AF470" s="193" t="b">
        <x:v>1</x:v>
      </x:c>
      <x:c r="AG470" s="193" t="b">
        <x:v>1</x:v>
      </x:c>
      <x:c r="AH470" s="193" t="b">
        <x:v>1</x:v>
      </x:c>
      <x:c r="AI470" s="193" t="b">
        <x:v>1</x:v>
      </x:c>
      <x:c r="AJ470" s="193" t="b">
        <x:v>0</x:v>
      </x:c>
    </x:row>
    <x:row r="471">
      <x:c r="A471" s="192" t="n">
        <x:v>837646263953285900</x:v>
      </x:c>
      <x:c r="B471" s="192" t="str">
        <x:v>https://www.airbnb.com.br/rooms/837646263953285868</x:v>
      </x:c>
      <x:c r="C471" s="192" t="str">
        <x:v>Apartamento com vista para o mar</x:v>
      </x:c>
      <x:c r="D471" s="192" t="str">
        <x:v>Meia Praia</x:v>
      </x:c>
      <x:c r="E471" s="192" t="n">
        <x:v>-27.1264</x:v>
      </x:c>
      <x:c r="F471" s="192" t="n">
        <x:v>-48.60495</x:v>
      </x:c>
      <x:c r="G471" s="192" t="str">
        <x:v>apartamento</x:v>
      </x:c>
      <x:c r="H471" s="192" t="n">
        <x:v>2</x:v>
      </x:c>
      <x:c r="I471" s="192" t="n">
        <x:v>2</x:v>
      </x:c>
      <x:c r="J471" s="192" t="n">
        <x:v>3</x:v>
      </x:c>
      <x:c r="K471" s="192" t="n">
        <x:v>7</x:v>
      </x:c>
      <x:c r="L471" s="192" t="n">
        <x:v>24</x:v>
      </x:c>
      <x:c r="M471" s="192" t="n">
        <x:v>5</x:v>
      </x:c>
      <x:c r="N471" s="192" t="n">
        <x:v>250</x:v>
      </x:c>
      <x:c r="O471" s="192" t="n">
        <x:v>46</x:v>
      </x:c>
      <x:c r="P471" s="193" t="b">
        <x:v>0</x:v>
      </x:c>
      <x:c r="Q471" s="193" t="b">
        <x:v>0</x:v>
      </x:c>
      <x:c r="R471" s="193" t="b">
        <x:v>1</x:v>
      </x:c>
      <x:c r="S471" s="193" t="b">
        <x:v>1</x:v>
      </x:c>
      <x:c r="T471" s="192" t="n">
        <x:v>55</x:v>
      </x:c>
      <x:c r="U471" s="192" t="n">
        <x:v>35</x:v>
      </x:c>
      <x:c r="V471" s="200" t="n">
        <x:v>0.3888888889</x:v>
      </x:c>
      <x:c r="W471" s="203" t="n">
        <x:v>400</x:v>
      </x:c>
      <x:c r="X471" s="203" t="n">
        <x:v>13998.5632805313</x:v>
      </x:c>
      <x:c r="Y471" s="203" t="n">
        <x:v>36192.1188148737</x:v>
      </x:c>
      <x:c r="Z471" s="193" t="b">
        <x:v>1</x:v>
      </x:c>
      <x:c r="AA471" s="193" t="b">
        <x:v>0</x:v>
      </x:c>
      <x:c r="AB471" s="193" t="b">
        <x:v>1</x:v>
      </x:c>
      <x:c r="AC471" s="193" t="b">
        <x:v>1</x:v>
      </x:c>
      <x:c r="AD471" s="193" t="b">
        <x:v>1</x:v>
      </x:c>
      <x:c r="AE471" s="193" t="b">
        <x:v>1</x:v>
      </x:c>
      <x:c r="AF471" s="193" t="b">
        <x:v>1</x:v>
      </x:c>
      <x:c r="AG471" s="193" t="b">
        <x:v>1</x:v>
      </x:c>
      <x:c r="AH471" s="193" t="b">
        <x:v>1</x:v>
      </x:c>
      <x:c r="AI471" s="193" t="b">
        <x:v>1</x:v>
      </x:c>
      <x:c r="AJ471" s="193" t="b">
        <x:v>1</x:v>
      </x:c>
    </x:row>
    <x:row r="472">
      <x:c r="A472" s="192" t="n">
        <x:v>46724379</x:v>
      </x:c>
      <x:c r="B472" s="192" t="str">
        <x:v>https://www.airbnb.com.br/rooms/46724379</x:v>
      </x:c>
      <x:c r="C472" s="192" t="str">
        <x:v>Prox Bokas a 190mt mar, Ar em tudo, gar camionete</x:v>
      </x:c>
      <x:c r="D472" s="192" t="str">
        <x:v>Meia Praia</x:v>
      </x:c>
      <x:c r="E472" s="192" t="n">
        <x:v>-27.13789</x:v>
      </x:c>
      <x:c r="F472" s="192" t="n">
        <x:v>-48.59593</x:v>
      </x:c>
      <x:c r="G472" s="192" t="str">
        <x:v>apartamento</x:v>
      </x:c>
      <x:c r="H472" s="192" t="n">
        <x:v>2</x:v>
      </x:c>
      <x:c r="I472" s="192" t="n">
        <x:v>1</x:v>
      </x:c>
      <x:c r="J472" s="192" t="n">
        <x:v>5</x:v>
      </x:c>
      <x:c r="K472" s="192" t="n">
        <x:v>7</x:v>
      </x:c>
      <x:c r="L472" s="192" t="n">
        <x:v>55</x:v>
      </x:c>
      <x:c r="M472" s="192" t="n">
        <x:v>4.9099998474</x:v>
      </x:c>
      <x:c r="N472" s="192" t="n">
        <x:v>199</x:v>
      </x:c>
      <x:c r="O472" s="192" t="n">
        <x:v>28</x:v>
      </x:c>
      <x:c r="P472" s="193" t="b">
        <x:v>0</x:v>
      </x:c>
      <x:c r="Q472" s="193" t="b">
        <x:v>0</x:v>
      </x:c>
      <x:c r="R472" s="193" t="b">
        <x:v>1</x:v>
      </x:c>
      <x:c r="S472" s="193" t="b">
        <x:v>1</x:v>
      </x:c>
      <x:c r="T472" s="192" t="n">
        <x:v>65</x:v>
      </x:c>
      <x:c r="U472" s="192" t="n">
        <x:v>25</x:v>
      </x:c>
      <x:c r="V472" s="200" t="n">
        <x:v>0.2777777778</x:v>
      </x:c>
      <x:c r="W472" s="203" t="n">
        <x:v>263</x:v>
      </x:c>
      <x:c r="X472" s="203" t="n">
        <x:v>6463.124474616</x:v>
      </x:c>
      <x:c r="Y472" s="203" t="n">
        <x:v>16709.8697354133</x:v>
      </x:c>
      <x:c r="Z472" s="193" t="b">
        <x:v>1</x:v>
      </x:c>
      <x:c r="AA472" s="193" t="b">
        <x:v>0</x:v>
      </x:c>
      <x:c r="AB472" s="193" t="b">
        <x:v>1</x:v>
      </x:c>
      <x:c r="AC472" s="193" t="b">
        <x:v>1</x:v>
      </x:c>
      <x:c r="AD472" s="193" t="b">
        <x:v>1</x:v>
      </x:c>
      <x:c r="AE472" s="193" t="b">
        <x:v>1</x:v>
      </x:c>
      <x:c r="AF472" s="193" t="b">
        <x:v>1</x:v>
      </x:c>
      <x:c r="AG472" s="193" t="b">
        <x:v>1</x:v>
      </x:c>
      <x:c r="AH472" s="193" t="b">
        <x:v>1</x:v>
      </x:c>
      <x:c r="AI472" s="193" t="b">
        <x:v>1</x:v>
      </x:c>
      <x:c r="AJ472" s="193" t="b">
        <x:v>1</x:v>
      </x:c>
    </x:row>
    <x:row r="473">
      <x:c r="A473" s="192" t="n">
        <x:v>51683537</x:v>
      </x:c>
      <x:c r="B473" s="192" t="str">
        <x:v>https://www.airbnb.com.br/rooms/51683537</x:v>
      </x:c>
      <x:c r="C473" s="192" t="str">
        <x:v>Extensão da sua casa na praia</x:v>
      </x:c>
      <x:c r="D473" s="192" t="str">
        <x:v>Meia Praia</x:v>
      </x:c>
      <x:c r="E473" s="192" t="n">
        <x:v>-27.130836</x:v>
      </x:c>
      <x:c r="F473" s="192" t="n">
        <x:v>-48.599079</x:v>
      </x:c>
      <x:c r="G473" s="192" t="str">
        <x:v>apartamento</x:v>
      </x:c>
      <x:c r="H473" s="192" t="n">
        <x:v>2</x:v>
      </x:c>
      <x:c r="I473" s="192" t="n">
        <x:v>2</x:v>
      </x:c>
      <x:c r="J473" s="192" t="n">
        <x:v>3</x:v>
      </x:c>
      <x:c r="K473" s="192" t="n">
        <x:v>5</x:v>
      </x:c>
      <x:c r="L473" s="192" t="n">
        <x:v>22</x:v>
      </x:c>
      <x:c r="M473" s="192" t="n">
        <x:v>5</x:v>
      </x:c>
      <x:c r="N473" s="192" t="n">
        <x:v>300</x:v>
      </x:c>
      <x:c r="O473" s="192" t="n">
        <x:v>14</x:v>
      </x:c>
      <x:c r="P473" s="193" t="b">
        <x:v>1</x:v>
      </x:c>
      <x:c r="Q473" s="193" t="b">
        <x:v>0</x:v>
      </x:c>
      <x:c r="R473" s="193" t="b">
        <x:v>1</x:v>
      </x:c>
      <x:c r="S473" s="193" t="b">
        <x:v>1</x:v>
      </x:c>
      <x:c r="T473" s="192" t="n">
        <x:v>28</x:v>
      </x:c>
      <x:c r="U473" s="192" t="n">
        <x:v>62</x:v>
      </x:c>
      <x:c r="V473" s="200" t="n">
        <x:v>0.6888888889</x:v>
      </x:c>
      <x:c r="W473" s="203" t="n">
        <x:v>400</x:v>
      </x:c>
      <x:c r="X473" s="203" t="n">
        <x:v>25050.4903992647</x:v>
      </x:c>
      <x:c r="Y473" s="203" t="n">
        <x:v>64765.9553864324</x:v>
      </x:c>
      <x:c r="Z473" s="193" t="b">
        <x:v>0</x:v>
      </x:c>
      <x:c r="AA473" s="193" t="b">
        <x:v>0</x:v>
      </x:c>
      <x:c r="AB473" s="193" t="b">
        <x:v>1</x:v>
      </x:c>
      <x:c r="AC473" s="193" t="b">
        <x:v>1</x:v>
      </x:c>
      <x:c r="AD473" s="193" t="b">
        <x:v>1</x:v>
      </x:c>
      <x:c r="AE473" s="193" t="b">
        <x:v>1</x:v>
      </x:c>
      <x:c r="AF473" s="193" t="b">
        <x:v>1</x:v>
      </x:c>
      <x:c r="AG473" s="193" t="b">
        <x:v>1</x:v>
      </x:c>
      <x:c r="AH473" s="193" t="b">
        <x:v>1</x:v>
      </x:c>
      <x:c r="AI473" s="193" t="b">
        <x:v>1</x:v>
      </x:c>
      <x:c r="AJ473" s="193" t="b">
        <x:v>1</x:v>
      </x:c>
    </x:row>
    <x:row r="474">
      <x:c r="A474" s="192" t="n">
        <x:v>892721989592935400</x:v>
      </x:c>
      <x:c r="B474" s="192" t="str">
        <x:v>https://www.airbnb.com.br/rooms/892721989592935461</x:v>
      </x:c>
      <x:c r="C474" s="192" t="str">
        <x:v>Itapema Centro, 100m  do mar com garagem e sacada</x:v>
      </x:c>
      <x:c r="D474" s="192" t="str">
        <x:v>Centro</x:v>
      </x:c>
      <x:c r="E474" s="192" t="n">
        <x:v>-27.1019992828</x:v>
      </x:c>
      <x:c r="F474" s="192" t="n">
        <x:v>-48.6150016785</x:v>
      </x:c>
      <x:c r="G474" s="192" t="str">
        <x:v>apartamento</x:v>
      </x:c>
      <x:c r="H474" s="192" t="n">
        <x:v>2</x:v>
      </x:c>
      <x:c r="I474" s="192" t="n">
        <x:v>2</x:v>
      </x:c>
      <x:c r="J474" s="192" t="n">
        <x:v>4</x:v>
      </x:c>
      <x:c r="K474" s="192" t="n">
        <x:v>6</x:v>
      </x:c>
      <x:c r="L474" s="192" t="n">
        <x:v>26</x:v>
      </x:c>
      <x:c r="M474" s="192" t="n">
        <x:v>5</x:v>
      </x:c>
      <x:c r="N474" s="192" t="n">
        <x:v>220</x:v>
      </x:c>
      <x:c r="O474" s="192" t="n">
        <x:v>22</x:v>
      </x:c>
      <x:c r="P474" s="193" t="b">
        <x:v>0</x:v>
      </x:c>
      <x:c r="Q474" s="193" t="b">
        <x:v>0</x:v>
      </x:c>
      <x:c r="R474" s="193" t="b">
        <x:v>1</x:v>
      </x:c>
      <x:c r="S474" s="193" t="b">
        <x:v>0</x:v>
      </x:c>
      <x:c r="T474" s="192" t="n">
        <x:v>47</x:v>
      </x:c>
      <x:c r="U474" s="192" t="n">
        <x:v>43</x:v>
      </x:c>
      <x:c r="V474" s="200" t="n">
        <x:v>0.4777777778</x:v>
      </x:c>
      <x:c r="W474" s="203" t="n">
        <x:v>350</x:v>
      </x:c>
      <x:c r="X474" s="203" t="n">
        <x:v>15559.8559006854</x:v>
      </x:c>
      <x:c r="Y474" s="203" t="n">
        <x:v>40228.7107765637</x:v>
      </x:c>
      <x:c r="Z474" s="193" t="b">
        <x:v>0</x:v>
      </x:c>
      <x:c r="AA474" s="193" t="b">
        <x:v>0</x:v>
      </x:c>
      <x:c r="AB474" s="193" t="b">
        <x:v>1</x:v>
      </x:c>
      <x:c r="AC474" s="193" t="b">
        <x:v>1</x:v>
      </x:c>
      <x:c r="AD474" s="193" t="b">
        <x:v>1</x:v>
      </x:c>
      <x:c r="AE474" s="193" t="b">
        <x:v>1</x:v>
      </x:c>
      <x:c r="AF474" s="193" t="b">
        <x:v>1</x:v>
      </x:c>
      <x:c r="AG474" s="193" t="b">
        <x:v>1</x:v>
      </x:c>
      <x:c r="AH474" s="193" t="b">
        <x:v>1</x:v>
      </x:c>
      <x:c r="AI474" s="193" t="b">
        <x:v>1</x:v>
      </x:c>
      <x:c r="AJ474" s="193" t="b">
        <x:v>1</x:v>
      </x:c>
    </x:row>
    <x:row r="475">
      <x:c r="A475" s="192" t="n">
        <x:v>52354467</x:v>
      </x:c>
      <x:c r="B475" s="192" t="str">
        <x:v>https://www.airbnb.com.br/rooms/52354467</x:v>
      </x:c>
      <x:c r="C475" s="192" t="str">
        <x:v>Lindo apto Quadra-Mar em Meia Praia</x:v>
      </x:c>
      <x:c r="D475" s="192" t="str">
        <x:v>Meia Praia</x:v>
      </x:c>
      <x:c r="E475" s="192" t="n">
        <x:v>-27.14266</x:v>
      </x:c>
      <x:c r="F475" s="192" t="n">
        <x:v>-48.58799</x:v>
      </x:c>
      <x:c r="G475" s="192" t="str">
        <x:v>apartamento</x:v>
      </x:c>
      <x:c r="H475" s="192" t="n">
        <x:v>3</x:v>
      </x:c>
      <x:c r="I475" s="192" t="n">
        <x:v>2</x:v>
      </x:c>
      <x:c r="J475" s="192" t="n">
        <x:v>3</x:v>
      </x:c>
      <x:c r="K475" s="192" t="n">
        <x:v>6</x:v>
      </x:c>
      <x:c r="L475" s="192" t="n">
        <x:v>20</x:v>
      </x:c>
      <x:c r="M475" s="192" t="n">
        <x:v>4.9000000954</x:v>
      </x:c>
      <x:c r="N475" s="192" t="n">
        <x:v>250</x:v>
      </x:c>
      <x:c r="O475" s="192" t="n">
        <x:v>20</x:v>
      </x:c>
      <x:c r="P475" s="193" t="b">
        <x:v>0</x:v>
      </x:c>
      <x:c r="Q475" s="193" t="b">
        <x:v>0</x:v>
      </x:c>
      <x:c r="R475" s="193" t="b">
        <x:v>1</x:v>
      </x:c>
      <x:c r="S475" s="193" t="b">
        <x:v>1</x:v>
      </x:c>
      <x:c r="T475" s="192" t="n">
        <x:v>51</x:v>
      </x:c>
      <x:c r="U475" s="192" t="n">
        <x:v>39</x:v>
      </x:c>
      <x:c r="V475" s="200" t="n">
        <x:v>0.4333333333</x:v>
      </x:c>
      <x:c r="W475" s="203" t="n">
        <x:v>450</x:v>
      </x:c>
      <x:c r="X475" s="203" t="n">
        <x:v>18316.0366339809</x:v>
      </x:c>
      <x:c r="Y475" s="203" t="n">
        <x:v>47354.5863807715</x:v>
      </x:c>
      <x:c r="Z475" s="193" t="b">
        <x:v>1</x:v>
      </x:c>
      <x:c r="AA475" s="193" t="b">
        <x:v>0</x:v>
      </x:c>
      <x:c r="AB475" s="193" t="b">
        <x:v>1</x:v>
      </x:c>
      <x:c r="AC475" s="193" t="b">
        <x:v>1</x:v>
      </x:c>
      <x:c r="AD475" s="193" t="b">
        <x:v>1</x:v>
      </x:c>
      <x:c r="AE475" s="193" t="b">
        <x:v>1</x:v>
      </x:c>
      <x:c r="AF475" s="193" t="b">
        <x:v>1</x:v>
      </x:c>
      <x:c r="AG475" s="193" t="b">
        <x:v>1</x:v>
      </x:c>
      <x:c r="AH475" s="193" t="b">
        <x:v>1</x:v>
      </x:c>
      <x:c r="AI475" s="193" t="b">
        <x:v>1</x:v>
      </x:c>
      <x:c r="AJ475" s="193" t="b">
        <x:v>1</x:v>
      </x:c>
    </x:row>
    <x:row r="476">
      <x:c r="A476" s="192" t="n">
        <x:v>42704327</x:v>
      </x:c>
      <x:c r="B476" s="192" t="str">
        <x:v>https://www.airbnb.com.br/rooms/42704327</x:v>
      </x:c>
      <x:c r="C476" s="192" t="str">
        <x:v>Apartamento Frente ao Mar Centro</x:v>
      </x:c>
      <x:c r="D476" s="192" t="str">
        <x:v>Centro</x:v>
      </x:c>
      <x:c r="E476" s="192" t="n">
        <x:v>-27.10189</x:v>
      </x:c>
      <x:c r="F476" s="192" t="n">
        <x:v>-48.61433</x:v>
      </x:c>
      <x:c r="G476" s="192" t="str">
        <x:v>apartamento</x:v>
      </x:c>
      <x:c r="H476" s="192" t="n">
        <x:v>3</x:v>
      </x:c>
      <x:c r="I476" s="192" t="n">
        <x:v>3</x:v>
      </x:c>
      <x:c r="J476" s="192" t="n">
        <x:v>5</x:v>
      </x:c>
      <x:c r="K476" s="192" t="n">
        <x:v>8</x:v>
      </x:c>
      <x:c r="L476" s="192" t="n">
        <x:v>9</x:v>
      </x:c>
      <x:c r="M476" s="192" t="n">
        <x:v>5</x:v>
      </x:c>
      <x:c r="N476" s="192" t="n">
        <x:v>300</x:v>
      </x:c>
      <x:c r="O476" s="192" t="n">
        <x:v>18</x:v>
      </x:c>
      <x:c r="P476" s="193" t="b">
        <x:v>0</x:v>
      </x:c>
      <x:c r="Q476" s="193" t="b">
        <x:v>0</x:v>
      </x:c>
      <x:c r="R476" s="193" t="b">
        <x:v>0</x:v>
      </x:c>
      <x:c r="S476" s="193" t="b">
        <x:v>0</x:v>
      </x:c>
      <x:c r="T476" s="192" t="n">
        <x:v>76</x:v>
      </x:c>
      <x:c r="U476" s="192" t="n">
        <x:v>14</x:v>
      </x:c>
      <x:c r="V476" s="200" t="n">
        <x:v>0.1555555556</x:v>
      </x:c>
      <x:c r="W476" s="203" t="n">
        <x:v>859</x:v>
      </x:c>
      <x:c r="X476" s="203" t="n">
        <x:v>12469.6386076725</x:v>
      </x:c>
      <x:c r="Y476" s="203" t="n">
        <x:v>32239.2114835867</x:v>
      </x:c>
      <x:c r="Z476" s="193" t="b">
        <x:v>1</x:v>
      </x:c>
      <x:c r="AA476" s="193" t="b">
        <x:v>0</x:v>
      </x:c>
      <x:c r="AB476" s="193" t="b">
        <x:v>1</x:v>
      </x:c>
      <x:c r="AC476" s="193" t="b">
        <x:v>1</x:v>
      </x:c>
      <x:c r="AD476" s="193" t="b">
        <x:v>0</x:v>
      </x:c>
      <x:c r="AE476" s="193" t="b">
        <x:v>1</x:v>
      </x:c>
      <x:c r="AF476" s="193" t="b">
        <x:v>0</x:v>
      </x:c>
      <x:c r="AG476" s="193" t="b">
        <x:v>1</x:v>
      </x:c>
      <x:c r="AH476" s="193" t="b">
        <x:v>1</x:v>
      </x:c>
      <x:c r="AI476" s="193" t="b">
        <x:v>1</x:v>
      </x:c>
      <x:c r="AJ476" s="193" t="b">
        <x:v>1</x:v>
      </x:c>
    </x:row>
    <x:row r="477">
      <x:c r="A477" s="192" t="n">
        <x:v>27981528</x:v>
      </x:c>
      <x:c r="B477" s="192" t="str">
        <x:v>https://www.airbnb.com.br/rooms/27981528</x:v>
      </x:c>
      <x:c r="C477" s="192" t="str">
        <x:v>Apartamento Aconchegante em Itapema. 800 mts praia</x:v>
      </x:c>
      <x:c r="D477" s="192" t="str">
        <x:v>Casa Branca</x:v>
      </x:c>
      <x:c r="E477" s="192" t="n">
        <x:v>-27.08789</x:v>
      </x:c>
      <x:c r="F477" s="192" t="n">
        <x:v>-48.61559</x:v>
      </x:c>
      <x:c r="G477" s="192" t="str">
        <x:v>apartamento</x:v>
      </x:c>
      <x:c r="H477" s="192" t="n">
        <x:v>3</x:v>
      </x:c>
      <x:c r="I477" s="192" t="n">
        <x:v>2</x:v>
      </x:c>
      <x:c r="J477" s="192" t="n">
        <x:v>3</x:v>
      </x:c>
      <x:c r="K477" s="192" t="n">
        <x:v>6</x:v>
      </x:c>
      <x:c r="L477" s="192" t="n">
        <x:v>138</x:v>
      </x:c>
      <x:c r="M477" s="192" t="n">
        <x:v>4.9299998283</x:v>
      </x:c>
      <x:c r="N477" s="192" t="n">
        <x:v>100</x:v>
      </x:c>
      <x:c r="O477" s="192" t="n">
        <x:v>49</x:v>
      </x:c>
      <x:c r="P477" s="193" t="b">
        <x:v>0</x:v>
      </x:c>
      <x:c r="Q477" s="193" t="b">
        <x:v>0</x:v>
      </x:c>
      <x:c r="R477" s="193" t="b">
        <x:v>1</x:v>
      </x:c>
      <x:c r="S477" s="193" t="b">
        <x:v>1</x:v>
      </x:c>
      <x:c r="T477" s="192" t="n">
        <x:v>46</x:v>
      </x:c>
      <x:c r="U477" s="192" t="n">
        <x:v>44</x:v>
      </x:c>
      <x:c r="V477" s="200" t="n">
        <x:v>0.4888888889</x:v>
      </x:c>
      <x:c r="W477" s="203" t="n">
        <x:v>500</x:v>
      </x:c>
      <x:c r="X477" s="203" t="n">
        <x:v>21128.9876200007</x:v>
      </x:c>
      <x:c r="Y477" s="203" t="n">
        <x:v>54627.2367425435</x:v>
      </x:c>
      <x:c r="Z477" s="193" t="b">
        <x:v>1</x:v>
      </x:c>
      <x:c r="AA477" s="193" t="b">
        <x:v>0</x:v>
      </x:c>
      <x:c r="AB477" s="193" t="b">
        <x:v>1</x:v>
      </x:c>
      <x:c r="AC477" s="193" t="b">
        <x:v>1</x:v>
      </x:c>
      <x:c r="AD477" s="193" t="b">
        <x:v>0</x:v>
      </x:c>
      <x:c r="AE477" s="193" t="b">
        <x:v>1</x:v>
      </x:c>
      <x:c r="AF477" s="193" t="b">
        <x:v>1</x:v>
      </x:c>
      <x:c r="AG477" s="193" t="b">
        <x:v>1</x:v>
      </x:c>
      <x:c r="AH477" s="193" t="b">
        <x:v>1</x:v>
      </x:c>
      <x:c r="AI477" s="193" t="b">
        <x:v>1</x:v>
      </x:c>
      <x:c r="AJ477" s="193" t="b">
        <x:v>1</x:v>
      </x:c>
    </x:row>
    <x:row r="478">
      <x:c r="A478" s="192" t="n">
        <x:v>1184078920130796800</x:v>
      </x:c>
      <x:c r="B478" s="192" t="str">
        <x:v>https://www.airbnb.com.br/rooms/1184078920130796920</x:v>
      </x:c>
      <x:c r="C478" s="192" t="str">
        <x:v>Apartamento Novo com Linda Vista</x:v>
      </x:c>
      <x:c r="D478" s="192" t="str">
        <x:v>Morretes</x:v>
      </x:c>
      <x:c r="E478" s="192" t="n">
        <x:v>-27.1166893</x:v>
      </x:c>
      <x:c r="F478" s="192" t="n">
        <x:v>-48.6129008</x:v>
      </x:c>
      <x:c r="G478" s="192" t="str">
        <x:v>apartamento</x:v>
      </x:c>
      <x:c r="H478" s="192" t="n">
        <x:v>2</x:v>
      </x:c>
      <x:c r="I478" s="192" t="n">
        <x:v>2</x:v>
      </x:c>
      <x:c r="J478" s="192" t="n">
        <x:v>2</x:v>
      </x:c>
      <x:c r="K478" s="192" t="n">
        <x:v>4</x:v>
      </x:c>
      <x:c r="L478" s="192" t="n">
        <x:v>11</x:v>
      </x:c>
      <x:c r="M478" s="192" t="n">
        <x:v>5</x:v>
      </x:c>
      <x:c r="N478" s="192" t="n">
        <x:v>290</x:v>
      </x:c>
      <x:c r="O478" s="192" t="n">
        <x:v>12</x:v>
      </x:c>
      <x:c r="P478" s="193" t="b">
        <x:v>1</x:v>
      </x:c>
      <x:c r="Q478" s="193" t="b">
        <x:v>1</x:v>
      </x:c>
      <x:c r="R478" s="193" t="b">
        <x:v>0</x:v>
      </x:c>
      <x:c r="S478" s="193" t="b">
        <x:v>1</x:v>
      </x:c>
      <x:c r="T478" s="192" t="n">
        <x:v>70</x:v>
      </x:c>
      <x:c r="U478" s="192" t="n">
        <x:v>20</x:v>
      </x:c>
      <x:c r="V478" s="200" t="n">
        <x:v>0.2222222222</x:v>
      </x:c>
      <x:c r="W478" s="203" t="n">
        <x:v>407.5</x:v>
      </x:c>
      <x:c r="X478" s="203" t="n">
        <x:v>8123.3473775124</x:v>
      </x:c>
      <x:c r="Y478" s="203" t="n">
        <x:v>21002.2376989435</x:v>
      </x:c>
      <x:c r="Z478" s="193" t="b">
        <x:v>1</x:v>
      </x:c>
      <x:c r="AA478" s="193" t="b">
        <x:v>0</x:v>
      </x:c>
      <x:c r="AB478" s="193" t="b">
        <x:v>1</x:v>
      </x:c>
      <x:c r="AC478" s="193" t="b">
        <x:v>1</x:v>
      </x:c>
      <x:c r="AD478" s="193" t="b">
        <x:v>0</x:v>
      </x:c>
      <x:c r="AE478" s="193" t="b">
        <x:v>0</x:v>
      </x:c>
      <x:c r="AF478" s="193" t="b">
        <x:v>1</x:v>
      </x:c>
      <x:c r="AG478" s="193" t="b">
        <x:v>1</x:v>
      </x:c>
      <x:c r="AH478" s="193" t="b">
        <x:v>1</x:v>
      </x:c>
      <x:c r="AI478" s="193" t="b">
        <x:v>1</x:v>
      </x:c>
      <x:c r="AJ478" s="193" t="b">
        <x:v>0</x:v>
      </x:c>
    </x:row>
    <x:row r="479">
      <x:c r="A479" s="192" t="n">
        <x:v>1062221285605590500</x:v>
      </x:c>
      <x:c r="B479" s="192" t="str">
        <x:v>https://www.airbnb.com.br/rooms/1062221285605590578</x:v>
      </x:c>
      <x:c r="C479" s="192" t="str">
        <x:v>Apartamento Encantador</x:v>
      </x:c>
      <x:c r="D479" s="192" t="str">
        <x:v>Centro</x:v>
      </x:c>
      <x:c r="E479" s="192" t="n">
        <x:v>-27.0958404541</x:v>
      </x:c>
      <x:c r="F479" s="192" t="n">
        <x:v>-48.6181411743</x:v>
      </x:c>
      <x:c r="G479" s="192" t="str">
        <x:v>apartamento</x:v>
      </x:c>
      <x:c r="H479" s="192" t="n">
        <x:v>3</x:v>
      </x:c>
      <x:c r="I479" s="192" t="n">
        <x:v>3</x:v>
      </x:c>
      <x:c r="J479" s="192" t="n">
        <x:v>4</x:v>
      </x:c>
      <x:c r="K479" s="192" t="n">
        <x:v>8</x:v>
      </x:c>
      <x:c r="L479" s="192" t="n">
        <x:v>1</x:v>
      </x:c>
      <x:c r="M479" s="192" t="n">
        <x:v>5</x:v>
      </x:c>
      <x:c r="N479" s="192" t="n">
        <x:v>0</x:v>
      </x:c>
      <x:c r="O479" s="192" t="n">
        <x:v>14</x:v>
      </x:c>
      <x:c r="P479" s="193" t="b">
        <x:v>0</x:v>
      </x:c>
      <x:c r="Q479" s="193" t="b">
        <x:v>0</x:v>
      </x:c>
      <x:c r="R479" s="193" t="b">
        <x:v>0</x:v>
      </x:c>
      <x:c r="S479" s="193" t="b">
        <x:v>0</x:v>
      </x:c>
      <x:c r="T479" s="192" t="n">
        <x:v>66</x:v>
      </x:c>
      <x:c r="U479" s="192" t="n">
        <x:v>24</x:v>
      </x:c>
      <x:c r="V479" s="200" t="n">
        <x:v>0.2666666667</x:v>
      </x:c>
      <x:c r="W479" s="203" t="n">
        <x:v>500</x:v>
      </x:c>
      <x:c r="X479" s="203" t="n">
        <x:v>11906.9579484067</x:v>
      </x:c>
      <x:c r="Y479" s="203" t="n">
        <x:v>30784.4475291099</x:v>
      </x:c>
      <x:c r="Z479" s="193" t="b">
        <x:v>1</x:v>
      </x:c>
      <x:c r="AA479" s="193" t="b">
        <x:v>0</x:v>
      </x:c>
      <x:c r="AB479" s="193" t="b">
        <x:v>1</x:v>
      </x:c>
      <x:c r="AC479" s="193" t="b">
        <x:v>1</x:v>
      </x:c>
      <x:c r="AD479" s="193" t="b">
        <x:v>0</x:v>
      </x:c>
      <x:c r="AE479" s="193" t="b">
        <x:v>0</x:v>
      </x:c>
      <x:c r="AF479" s="193" t="b">
        <x:v>1</x:v>
      </x:c>
      <x:c r="AG479" s="193" t="b">
        <x:v>1</x:v>
      </x:c>
      <x:c r="AH479" s="193" t="b">
        <x:v>1</x:v>
      </x:c>
      <x:c r="AI479" s="193" t="b">
        <x:v>1</x:v>
      </x:c>
      <x:c r="AJ479" s="193" t="b">
        <x:v>0</x:v>
      </x:c>
    </x:row>
    <x:row r="480">
      <x:c r="A480" s="192" t="n">
        <x:v>53645678</x:v>
      </x:c>
      <x:c r="B480" s="192" t="str">
        <x:v>https://www.airbnb.com.br/rooms/53645678</x:v>
      </x:c>
      <x:c r="C480" s="192" t="str">
        <x:v>Apto 16 andar,  vista panorâmica 270º - Meia Praia</x:v>
      </x:c>
      <x:c r="D480" s="192" t="str">
        <x:v>Meia Praia</x:v>
      </x:c>
      <x:c r="E480" s="192" t="n">
        <x:v>-27.13588</x:v>
      </x:c>
      <x:c r="F480" s="192" t="n">
        <x:v>-48.59957</x:v>
      </x:c>
      <x:c r="G480" s="192" t="str">
        <x:v>apartamento</x:v>
      </x:c>
      <x:c r="H480" s="192" t="n">
        <x:v>3</x:v>
      </x:c>
      <x:c r="I480" s="192" t="n">
        <x:v>2</x:v>
      </x:c>
      <x:c r="J480" s="192" t="n">
        <x:v>5</x:v>
      </x:c>
      <x:c r="K480" s="192" t="n">
        <x:v>7</x:v>
      </x:c>
      <x:c r="L480" s="192" t="n">
        <x:v>13</x:v>
      </x:c>
      <x:c r="M480" s="192" t="n">
        <x:v>5</x:v>
      </x:c>
      <x:c r="N480" s="192" t="n">
        <x:v>300</x:v>
      </x:c>
      <x:c r="O480" s="192" t="n">
        <x:v>20</x:v>
      </x:c>
      <x:c r="P480" s="193" t="b">
        <x:v>0</x:v>
      </x:c>
      <x:c r="Q480" s="193" t="b">
        <x:v>0</x:v>
      </x:c>
      <x:c r="R480" s="193" t="b">
        <x:v>1</x:v>
      </x:c>
      <x:c r="S480" s="193" t="b">
        <x:v>0</x:v>
      </x:c>
      <x:c r="T480" s="192" t="n">
        <x:v>61</x:v>
      </x:c>
      <x:c r="U480" s="192" t="n">
        <x:v>29</x:v>
      </x:c>
      <x:c r="V480" s="200" t="n">
        <x:v>0.3222222222</x:v>
      </x:c>
      <x:c r="W480" s="203" t="n">
        <x:v>695</x:v>
      </x:c>
      <x:c r="X480" s="203" t="n">
        <x:v>20059.074669878</x:v>
      </x:c>
      <x:c r="Y480" s="203" t="n">
        <x:v>51861.0659694138</x:v>
      </x:c>
      <x:c r="Z480" s="193" t="b">
        <x:v>1</x:v>
      </x:c>
      <x:c r="AA480" s="193" t="b">
        <x:v>0</x:v>
      </x:c>
      <x:c r="AB480" s="193" t="b">
        <x:v>1</x:v>
      </x:c>
      <x:c r="AC480" s="193" t="b">
        <x:v>1</x:v>
      </x:c>
      <x:c r="AD480" s="193" t="b">
        <x:v>1</x:v>
      </x:c>
      <x:c r="AE480" s="193" t="b">
        <x:v>1</x:v>
      </x:c>
      <x:c r="AF480" s="193" t="b">
        <x:v>1</x:v>
      </x:c>
      <x:c r="AG480" s="193" t="b">
        <x:v>1</x:v>
      </x:c>
      <x:c r="AH480" s="193" t="b">
        <x:v>1</x:v>
      </x:c>
      <x:c r="AI480" s="193" t="b">
        <x:v>1</x:v>
      </x:c>
      <x:c r="AJ480" s="193" t="b">
        <x:v>1</x:v>
      </x:c>
    </x:row>
    <x:row r="481">
      <x:c r="A481" s="192" t="n">
        <x:v>47402735</x:v>
      </x:c>
      <x:c r="B481" s="192" t="str">
        <x:v>https://www.airbnb.com.br/rooms/47402735</x:v>
      </x:c>
      <x:c r="C481" s="192" t="str">
        <x:v>Apartamento 302</x:v>
      </x:c>
      <x:c r="D481" s="192" t="str">
        <x:v>Centro</x:v>
      </x:c>
      <x:c r="E481" s="192" t="n">
        <x:v>-27.09939</x:v>
      </x:c>
      <x:c r="F481" s="192" t="n">
        <x:v>-48.61525</x:v>
      </x:c>
      <x:c r="G481" s="192" t="str">
        <x:v>apartamento</x:v>
      </x:c>
      <x:c r="H481" s="192" t="n">
        <x:v>2</x:v>
      </x:c>
      <x:c r="I481" s="192" t="n">
        <x:v>2</x:v>
      </x:c>
      <x:c r="J481" s="192" t="n">
        <x:v>5</x:v>
      </x:c>
      <x:c r="K481" s="192" t="n">
        <x:v>6</x:v>
      </x:c>
      <x:c r="L481" s="192" t="n">
        <x:v>6</x:v>
      </x:c>
      <x:c r="M481" s="192" t="n">
        <x:v>5</x:v>
      </x:c>
      <x:c r="N481" s="192" t="n">
        <x:v>610</x:v>
      </x:c>
      <x:c r="O481" s="192" t="n">
        <x:v>11</x:v>
      </x:c>
      <x:c r="P481" s="193" t="b">
        <x:v>1</x:v>
      </x:c>
      <x:c r="Q481" s="193" t="b">
        <x:v>0</x:v>
      </x:c>
      <x:c r="R481" s="193" t="b">
        <x:v>0</x:v>
      </x:c>
      <x:c r="S481" s="193" t="b">
        <x:v>0</x:v>
      </x:c>
      <x:c r="T481" s="192" t="n">
        <x:v>66</x:v>
      </x:c>
      <x:c r="U481" s="192" t="n">
        <x:v>24</x:v>
      </x:c>
      <x:c r="V481" s="200" t="n">
        <x:v>0.2666666667</x:v>
      </x:c>
      <x:c r="W481" s="203" t="n">
        <x:v>399</x:v>
      </x:c>
      <x:c r="X481" s="203" t="n">
        <x:v>9528.2204826136</x:v>
      </x:c>
      <x:c r="Y481" s="203" t="n">
        <x:v>24634.420039424</x:v>
      </x:c>
      <x:c r="Z481" s="193" t="b">
        <x:v>1</x:v>
      </x:c>
      <x:c r="AA481" s="193" t="b">
        <x:v>0</x:v>
      </x:c>
      <x:c r="AB481" s="193" t="b">
        <x:v>1</x:v>
      </x:c>
      <x:c r="AC481" s="193" t="b">
        <x:v>1</x:v>
      </x:c>
      <x:c r="AD481" s="193" t="b">
        <x:v>0</x:v>
      </x:c>
      <x:c r="AE481" s="193" t="b">
        <x:v>0</x:v>
      </x:c>
      <x:c r="AF481" s="193" t="b">
        <x:v>0</x:v>
      </x:c>
      <x:c r="AG481" s="193" t="b">
        <x:v>1</x:v>
      </x:c>
      <x:c r="AH481" s="193" t="b">
        <x:v>1</x:v>
      </x:c>
      <x:c r="AI481" s="193" t="b">
        <x:v>1</x:v>
      </x:c>
      <x:c r="AJ481" s="193" t="b">
        <x:v>0</x:v>
      </x:c>
    </x:row>
    <x:row r="482">
      <x:c r="A482" s="192" t="n">
        <x:v>946609581890906400</x:v>
      </x:c>
      <x:c r="B482" s="192" t="str">
        <x:v>https://www.airbnb.com.br/rooms/946609581890906389</x:v>
      </x:c>
      <x:c r="C482" s="192" t="str">
        <x:v>MEIA PRAIA 3 qtos Piscina lado RUSSI</x:v>
      </x:c>
      <x:c r="D482" s="192" t="str">
        <x:v>Meia Praia</x:v>
      </x:c>
      <x:c r="E482" s="192" t="n">
        <x:v>-27.12866</x:v>
      </x:c>
      <x:c r="F482" s="192" t="n">
        <x:v>-48.60328</x:v>
      </x:c>
      <x:c r="G482" s="192" t="str">
        <x:v>apartamento</x:v>
      </x:c>
      <x:c r="H482" s="192" t="n">
        <x:v>3</x:v>
      </x:c>
      <x:c r="I482" s="192" t="n">
        <x:v>2</x:v>
      </x:c>
      <x:c r="J482" s="192" t="n">
        <x:v>3</x:v>
      </x:c>
      <x:c r="K482" s="192" t="n">
        <x:v>7</x:v>
      </x:c>
      <x:c r="L482" s="192" t="n">
        <x:v>33</x:v>
      </x:c>
      <x:c r="M482" s="192" t="n">
        <x:v>4.9099998474</x:v>
      </x:c>
      <x:c r="N482" s="192" t="n">
        <x:v>270</x:v>
      </x:c>
      <x:c r="O482" s="192" t="n">
        <x:v>137</x:v>
      </x:c>
      <x:c r="P482" s="193" t="b">
        <x:v>0</x:v>
      </x:c>
      <x:c r="Q482" s="193" t="b">
        <x:v>0</x:v>
      </x:c>
      <x:c r="R482" s="193" t="b">
        <x:v>1</x:v>
      </x:c>
      <x:c r="S482" s="193" t="b">
        <x:v>1</x:v>
      </x:c>
      <x:c r="T482" s="192" t="n">
        <x:v>23</x:v>
      </x:c>
      <x:c r="U482" s="192" t="n">
        <x:v>67</x:v>
      </x:c>
      <x:c r="V482" s="200" t="n">
        <x:v>0.7444444444</x:v>
      </x:c>
      <x:c r="W482" s="203" t="n">
        <x:v>394</x:v>
      </x:c>
      <x:c r="X482" s="203" t="n">
        <x:v>26644.9071265344</x:v>
      </x:c>
      <x:c r="Y482" s="203" t="n">
        <x:v>68888.1869667276</x:v>
      </x:c>
      <x:c r="Z482" s="193" t="b">
        <x:v>0</x:v>
      </x:c>
      <x:c r="AA482" s="193" t="b">
        <x:v>1</x:v>
      </x:c>
      <x:c r="AB482" s="193" t="b">
        <x:v>1</x:v>
      </x:c>
      <x:c r="AC482" s="193" t="b">
        <x:v>1</x:v>
      </x:c>
      <x:c r="AD482" s="193" t="b">
        <x:v>1</x:v>
      </x:c>
      <x:c r="AE482" s="193" t="b">
        <x:v>1</x:v>
      </x:c>
      <x:c r="AF482" s="193" t="b">
        <x:v>1</x:v>
      </x:c>
      <x:c r="AG482" s="193" t="b">
        <x:v>1</x:v>
      </x:c>
      <x:c r="AH482" s="193" t="b">
        <x:v>1</x:v>
      </x:c>
      <x:c r="AI482" s="193" t="b">
        <x:v>1</x:v>
      </x:c>
      <x:c r="AJ482" s="193" t="b">
        <x:v>1</x:v>
      </x:c>
    </x:row>
    <x:row r="483">
      <x:c r="A483" s="192" t="n">
        <x:v>1052110098791057300</x:v>
      </x:c>
      <x:c r="B483" s="192" t="str">
        <x:v>https://www.airbnb.com.br/rooms/1052110098791057231</x:v>
      </x:c>
      <x:c r="C483" s="192" t="str">
        <x:v>Apto confortável a 5 min da praia ROT1001</x:v>
      </x:c>
      <x:c r="D483" s="192" t="str">
        <x:v>Meia Praia</x:v>
      </x:c>
      <x:c r="E483" s="192" t="n">
        <x:v>-27.1399993896</x:v>
      </x:c>
      <x:c r="F483" s="192" t="n">
        <x:v>-48.5960006714</x:v>
      </x:c>
      <x:c r="G483" s="192" t="str">
        <x:v>apartamento</x:v>
      </x:c>
      <x:c r="H483" s="192" t="n">
        <x:v>2</x:v>
      </x:c>
      <x:c r="I483" s="192" t="n">
        <x:v>2</x:v>
      </x:c>
      <x:c r="J483" s="192" t="n">
        <x:v>2</x:v>
      </x:c>
      <x:c r="K483" s="192" t="n">
        <x:v>6</x:v>
      </x:c>
      <x:c r="L483" s="192" t="n">
        <x:v>8</x:v>
      </x:c>
      <x:c r="M483" s="192" t="n">
        <x:v>4.6300001144</x:v>
      </x:c>
      <x:c r="N483" s="192" t="n">
        <x:v>362</x:v>
      </x:c>
      <x:c r="O483" s="192" t="n">
        <x:v>25</x:v>
      </x:c>
      <x:c r="P483" s="193" t="b">
        <x:v>1</x:v>
      </x:c>
      <x:c r="Q483" s="193" t="b">
        <x:v>1</x:v>
      </x:c>
      <x:c r="R483" s="193" t="b">
        <x:v>0</x:v>
      </x:c>
      <x:c r="S483" s="193" t="b">
        <x:v>0</x:v>
      </x:c>
      <x:c r="T483" s="192" t="n">
        <x:v>22</x:v>
      </x:c>
      <x:c r="U483" s="192" t="n">
        <x:v>68</x:v>
      </x:c>
      <x:c r="V483" s="200" t="n">
        <x:v>0.7555555556</x:v>
      </x:c>
      <x:c r="W483" s="203" t="n">
        <x:v>471</x:v>
      </x:c>
      <x:c r="X483" s="203" t="n">
        <x:v>32489.3713778639</x:v>
      </x:c>
      <x:c r="Y483" s="203" t="n">
        <x:v>83998.5622498524</x:v>
      </x:c>
      <x:c r="Z483" s="193" t="b">
        <x:v>0</x:v>
      </x:c>
      <x:c r="AA483" s="193" t="b">
        <x:v>0</x:v>
      </x:c>
      <x:c r="AB483" s="193" t="b">
        <x:v>1</x:v>
      </x:c>
      <x:c r="AC483" s="193" t="b">
        <x:v>1</x:v>
      </x:c>
      <x:c r="AD483" s="193" t="b">
        <x:v>1</x:v>
      </x:c>
      <x:c r="AE483" s="193" t="b">
        <x:v>1</x:v>
      </x:c>
      <x:c r="AF483" s="193" t="b">
        <x:v>1</x:v>
      </x:c>
      <x:c r="AG483" s="193" t="b">
        <x:v>0</x:v>
      </x:c>
      <x:c r="AH483" s="193" t="b">
        <x:v>1</x:v>
      </x:c>
      <x:c r="AI483" s="193" t="b">
        <x:v>1</x:v>
      </x:c>
      <x:c r="AJ483" s="193" t="b">
        <x:v>1</x:v>
      </x:c>
    </x:row>
    <x:row r="484">
      <x:c r="A484" s="192" t="n">
        <x:v>831740758559247700</x:v>
      </x:c>
      <x:c r="B484" s="192" t="str">
        <x:v>https://www.airbnb.com.br/rooms/831740758559247685</x:v>
      </x:c>
      <x:c r="C484" s="192" t="str">
        <x:v>Apto lateral com Vista Mar</x:v>
      </x:c>
      <x:c r="D484" s="192" t="str">
        <x:v>Meia Praia</x:v>
      </x:c>
      <x:c r="E484" s="192" t="n">
        <x:v>-27.1289997101</x:v>
      </x:c>
      <x:c r="F484" s="192" t="n">
        <x:v>-48.5999984741</x:v>
      </x:c>
      <x:c r="G484" s="192" t="str">
        <x:v>apartamento</x:v>
      </x:c>
      <x:c r="H484" s="192" t="n">
        <x:v>3</x:v>
      </x:c>
      <x:c r="I484" s="192" t="n">
        <x:v>2</x:v>
      </x:c>
      <x:c r="J484" s="192" t="n">
        <x:v>5</x:v>
      </x:c>
      <x:c r="K484" s="192" t="n">
        <x:v>5</x:v>
      </x:c>
      <x:c r="L484" s="192" t="n">
        <x:v>21</x:v>
      </x:c>
      <x:c r="M484" s="192" t="n">
        <x:v>5</x:v>
      </x:c>
      <x:c r="N484" s="192" t="n">
        <x:v>350</x:v>
      </x:c>
      <x:c r="O484" s="192" t="n">
        <x:v>30</x:v>
      </x:c>
      <x:c r="P484" s="193" t="b">
        <x:v>0</x:v>
      </x:c>
      <x:c r="Q484" s="193" t="b">
        <x:v>0</x:v>
      </x:c>
      <x:c r="R484" s="193" t="b">
        <x:v>1</x:v>
      </x:c>
      <x:c r="S484" s="193" t="b">
        <x:v>0</x:v>
      </x:c>
      <x:c r="T484" s="192" t="n">
        <x:v>34</x:v>
      </x:c>
      <x:c r="U484" s="192" t="n">
        <x:v>56</x:v>
      </x:c>
      <x:c r="V484" s="200" t="n">
        <x:v>0.6222222222</x:v>
      </x:c>
      <x:c r="W484" s="203" t="n">
        <x:v>800</x:v>
      </x:c>
      <x:c r="X484" s="203" t="n">
        <x:v>45003.5202642907</x:v>
      </x:c>
      <x:c r="Y484" s="203" t="n">
        <x:v>116352.8513499681</x:v>
      </x:c>
      <x:c r="Z484" s="193" t="b">
        <x:v>0</x:v>
      </x:c>
      <x:c r="AA484" s="193" t="b">
        <x:v>0</x:v>
      </x:c>
      <x:c r="AB484" s="193" t="b">
        <x:v>1</x:v>
      </x:c>
      <x:c r="AC484" s="193" t="b">
        <x:v>1</x:v>
      </x:c>
      <x:c r="AD484" s="193" t="b">
        <x:v>1</x:v>
      </x:c>
      <x:c r="AE484" s="193" t="b">
        <x:v>1</x:v>
      </x:c>
      <x:c r="AF484" s="193" t="b">
        <x:v>1</x:v>
      </x:c>
      <x:c r="AG484" s="193" t="b">
        <x:v>1</x:v>
      </x:c>
      <x:c r="AH484" s="193" t="b">
        <x:v>1</x:v>
      </x:c>
      <x:c r="AI484" s="193" t="b">
        <x:v>1</x:v>
      </x:c>
      <x:c r="AJ484" s="193" t="b">
        <x:v>1</x:v>
      </x:c>
    </x:row>
    <x:row r="485">
      <x:c r="A485" s="192" t="n">
        <x:v>40320100</x:v>
      </x:c>
      <x:c r="B485" s="192" t="str">
        <x:v>https://www.airbnb.com.br/rooms/40320100</x:v>
      </x:c>
      <x:c r="C485" s="192" t="str">
        <x:v>Apartamento Frente Mar,  Pé na Areia em Itapema</x:v>
      </x:c>
      <x:c r="D485" s="192" t="str">
        <x:v>Morretes</x:v>
      </x:c>
      <x:c r="E485" s="192" t="n">
        <x:v>-27.1099</x:v>
      </x:c>
      <x:c r="F485" s="192" t="n">
        <x:v>-48.6115</x:v>
      </x:c>
      <x:c r="G485" s="192" t="str">
        <x:v>apartamento</x:v>
      </x:c>
      <x:c r="H485" s="192" t="n">
        <x:v>2</x:v>
      </x:c>
      <x:c r="I485" s="192" t="n">
        <x:v>2</x:v>
      </x:c>
      <x:c r="J485" s="192" t="n">
        <x:v>4</x:v>
      </x:c>
      <x:c r="K485" s="192" t="n">
        <x:v>5</x:v>
      </x:c>
      <x:c r="L485" s="192" t="n">
        <x:v>25</x:v>
      </x:c>
      <x:c r="M485" s="192" t="n">
        <x:v>4.9600000381</x:v>
      </x:c>
      <x:c r="N485" s="192" t="n">
        <x:v>0</x:v>
      </x:c>
      <x:c r="O485" s="192" t="n">
        <x:v>12</x:v>
      </x:c>
      <x:c r="P485" s="193" t="b">
        <x:v>0</x:v>
      </x:c>
      <x:c r="Q485" s="193" t="b">
        <x:v>0</x:v>
      </x:c>
      <x:c r="R485" s="193" t="b">
        <x:v>1</x:v>
      </x:c>
      <x:c r="S485" s="193" t="b">
        <x:v>0</x:v>
      </x:c>
      <x:c r="T485" s="192" t="n">
        <x:v>75</x:v>
      </x:c>
      <x:c r="U485" s="192" t="n">
        <x:v>15</x:v>
      </x:c>
      <x:c r="V485" s="200" t="n">
        <x:v>0.1666666667</x:v>
      </x:c>
      <x:c r="W485" s="203" t="n">
        <x:v>760.8333</x:v>
      </x:c>
      <x:c r="X485" s="203" t="n">
        <x:v>11432.0372903428</x:v>
      </x:c>
      <x:c r="Y485" s="203" t="n">
        <x:v>29556.5797444071</x:v>
      </x:c>
      <x:c r="Z485" s="193" t="b">
        <x:v>1</x:v>
      </x:c>
      <x:c r="AA485" s="193" t="b">
        <x:v>0</x:v>
      </x:c>
      <x:c r="AB485" s="193" t="b">
        <x:v>1</x:v>
      </x:c>
      <x:c r="AC485" s="193" t="b">
        <x:v>1</x:v>
      </x:c>
      <x:c r="AD485" s="193" t="b">
        <x:v>1</x:v>
      </x:c>
      <x:c r="AE485" s="193" t="b">
        <x:v>1</x:v>
      </x:c>
      <x:c r="AF485" s="193" t="b">
        <x:v>1</x:v>
      </x:c>
      <x:c r="AG485" s="193" t="b">
        <x:v>1</x:v>
      </x:c>
      <x:c r="AH485" s="193" t="b">
        <x:v>1</x:v>
      </x:c>
      <x:c r="AI485" s="193" t="b">
        <x:v>1</x:v>
      </x:c>
      <x:c r="AJ485" s="193" t="b">
        <x:v>1</x:v>
      </x:c>
    </x:row>
    <x:row r="486">
      <x:c r="A486" s="192" t="n">
        <x:v>16350860</x:v>
      </x:c>
      <x:c r="B486" s="192" t="str">
        <x:v>https://www.airbnb.com.br/rooms/16350860</x:v>
      </x:c>
      <x:c r="C486" s="192" t="str">
        <x:v>Top! Meia Praia, quadra mar acesso interno a praia</x:v>
      </x:c>
      <x:c r="D486" s="192" t="str">
        <x:v>Meia Praia</x:v>
      </x:c>
      <x:c r="E486" s="192" t="n">
        <x:v>-27.11882</x:v>
      </x:c>
      <x:c r="F486" s="192" t="n">
        <x:v>-48.6081</x:v>
      </x:c>
      <x:c r="G486" s="192" t="str">
        <x:v>apartamento</x:v>
      </x:c>
      <x:c r="H486" s="192" t="n">
        <x:v>2</x:v>
      </x:c>
      <x:c r="I486" s="192" t="n">
        <x:v>2</x:v>
      </x:c>
      <x:c r="J486" s="192" t="n">
        <x:v>2</x:v>
      </x:c>
      <x:c r="K486" s="192" t="n">
        <x:v>5</x:v>
      </x:c>
      <x:c r="L486" s="192" t="n">
        <x:v>10</x:v>
      </x:c>
      <x:c r="M486" s="192" t="n">
        <x:v>4.9000000954</x:v>
      </x:c>
      <x:c r="N486" s="192" t="n">
        <x:v>230</x:v>
      </x:c>
      <x:c r="O486" s="192" t="n">
        <x:v>34</x:v>
      </x:c>
      <x:c r="P486" s="193" t="b">
        <x:v>0</x:v>
      </x:c>
      <x:c r="Q486" s="193" t="b">
        <x:v>0</x:v>
      </x:c>
      <x:c r="R486" s="193" t="b">
        <x:v>1</x:v>
      </x:c>
      <x:c r="S486" s="193" t="b">
        <x:v>1</x:v>
      </x:c>
      <x:c r="T486" s="192" t="n">
        <x:v>65</x:v>
      </x:c>
      <x:c r="U486" s="192" t="n">
        <x:v>25</x:v>
      </x:c>
      <x:c r="V486" s="200" t="n">
        <x:v>0.2777777778</x:v>
      </x:c>
      <x:c r="W486" s="203" t="n">
        <x:v>653</x:v>
      </x:c>
      <x:c r="X486" s="203" t="n">
        <x:v>17754.0455299209</x:v>
      </x:c>
      <x:c r="Y486" s="203" t="n">
        <x:v>45901.6052138163</x:v>
      </x:c>
      <x:c r="Z486" s="193" t="b">
        <x:v>1</x:v>
      </x:c>
      <x:c r="AA486" s="193" t="b">
        <x:v>0</x:v>
      </x:c>
      <x:c r="AB486" s="193" t="b">
        <x:v>1</x:v>
      </x:c>
      <x:c r="AC486" s="193" t="b">
        <x:v>1</x:v>
      </x:c>
      <x:c r="AD486" s="193" t="b">
        <x:v>1</x:v>
      </x:c>
      <x:c r="AE486" s="193" t="b">
        <x:v>1</x:v>
      </x:c>
      <x:c r="AF486" s="193" t="b">
        <x:v>1</x:v>
      </x:c>
      <x:c r="AG486" s="193" t="b">
        <x:v>1</x:v>
      </x:c>
      <x:c r="AH486" s="193" t="b">
        <x:v>1</x:v>
      </x:c>
      <x:c r="AI486" s="193" t="b">
        <x:v>1</x:v>
      </x:c>
      <x:c r="AJ486" s="193" t="b">
        <x:v>1</x:v>
      </x:c>
    </x:row>
    <x:row r="487">
      <x:c r="A487" s="192" t="n">
        <x:v>1198703061430420500</x:v>
      </x:c>
      <x:c r="B487" s="192" t="str">
        <x:v>https://www.airbnb.com.br/rooms/1198703061430420363</x:v>
      </x:c>
      <x:c r="C487" s="192" t="str">
        <x:v>Flat Luxo TOP Vista MAR 1minuto a pé da praia</x:v>
      </x:c>
      <x:c r="D487" s="192" t="str">
        <x:v>Centro</x:v>
      </x:c>
      <x:c r="E487" s="192" t="n">
        <x:v>-27.0936893</x:v>
      </x:c>
      <x:c r="F487" s="192" t="n">
        <x:v>-48.6131638</x:v>
      </x:c>
      <x:c r="G487" s="192" t="str">
        <x:v>apartamento</x:v>
      </x:c>
      <x:c r="H487" s="192" t="n">
        <x:v>1</x:v>
      </x:c>
      <x:c r="I487" s="192" t="n">
        <x:v>1</x:v>
      </x:c>
      <x:c r="J487" s="192" t="n">
        <x:v>2</x:v>
      </x:c>
      <x:c r="K487" s="192" t="n">
        <x:v>4</x:v>
      </x:c>
      <x:c r="L487" s="192" t="n">
        <x:v>11</x:v>
      </x:c>
      <x:c r="M487" s="192" t="n">
        <x:v>5</x:v>
      </x:c>
      <x:c r="N487" s="192" t="n">
        <x:v>200</x:v>
      </x:c>
      <x:c r="O487" s="192" t="n">
        <x:v>0</x:v>
      </x:c>
      <x:c r="P487" s="193" t="b">
        <x:v>1</x:v>
      </x:c>
      <x:c r="Q487" s="193" t="b">
        <x:v>0</x:v>
      </x:c>
      <x:c r="R487" s="193" t="b">
        <x:v>1</x:v>
      </x:c>
      <x:c r="S487" s="193" t="b">
        <x:v>1</x:v>
      </x:c>
      <x:c r="T487" s="192" t="n">
        <x:v>40</x:v>
      </x:c>
      <x:c r="U487" s="192" t="n">
        <x:v>50</x:v>
      </x:c>
      <x:c r="V487" s="200" t="n">
        <x:v>0.5555555556</x:v>
      </x:c>
      <x:c r="W487" s="203" t="n">
        <x:v>285.5</x:v>
      </x:c>
      <x:c r="X487" s="203" t="n">
        <x:v>14614.0215375364</x:v>
      </x:c>
      <x:c r="Y487" s="203" t="n">
        <x:v>37783.3348501723</x:v>
      </x:c>
      <x:c r="Z487" s="193" t="b">
        <x:v>0</x:v>
      </x:c>
      <x:c r="AA487" s="193" t="b">
        <x:v>1</x:v>
      </x:c>
      <x:c r="AB487" s="193" t="b">
        <x:v>1</x:v>
      </x:c>
      <x:c r="AC487" s="193" t="b">
        <x:v>1</x:v>
      </x:c>
      <x:c r="AD487" s="193" t="b">
        <x:v>1</x:v>
      </x:c>
      <x:c r="AE487" s="193" t="b">
        <x:v>1</x:v>
      </x:c>
      <x:c r="AF487" s="193" t="b">
        <x:v>0</x:v>
      </x:c>
      <x:c r="AG487" s="193" t="b">
        <x:v>1</x:v>
      </x:c>
      <x:c r="AH487" s="193" t="b">
        <x:v>1</x:v>
      </x:c>
      <x:c r="AI487" s="193" t="b">
        <x:v>1</x:v>
      </x:c>
      <x:c r="AJ487" s="193" t="b">
        <x:v>0</x:v>
      </x:c>
    </x:row>
    <x:row r="488">
      <x:c r="A488" s="192" t="n">
        <x:v>1282577030741754000</x:v>
      </x:c>
      <x:c r="B488" s="192" t="str">
        <x:v>https://www.airbnb.com.br/rooms/1282577030741754149</x:v>
      </x:c>
      <x:c r="C488" s="192" t="str">
        <x:v>Estúdio charmoso vista mar 280m da Praia MHFA0903</x:v>
      </x:c>
      <x:c r="D488" s="192" t="str">
        <x:v>Centro</x:v>
      </x:c>
      <x:c r="E488" s="192" t="n">
        <x:v>-27.0927395</x:v>
      </x:c>
      <x:c r="F488" s="192" t="n">
        <x:v>-48.6133933</x:v>
      </x:c>
      <x:c r="G488" s="192" t="str">
        <x:v>apartamento</x:v>
      </x:c>
      <x:c r="H488" s="192" t="n">
        <x:v>1</x:v>
      </x:c>
      <x:c r="I488" s="192" t="n">
        <x:v>1</x:v>
      </x:c>
      <x:c r="J488" s="192" t="n">
        <x:v>1</x:v>
      </x:c>
      <x:c r="K488" s="192" t="n">
        <x:v>2</x:v>
      </x:c>
      <x:c r="L488" s="192" t="n">
        <x:v>7</x:v>
      </x:c>
      <x:c r="M488" s="192" t="n">
        <x:v>4.1399998665</x:v>
      </x:c>
      <x:c r="N488" s="192" t="n">
        <x:v>150</x:v>
      </x:c>
      <x:c r="O488" s="192" t="n">
        <x:v>0</x:v>
      </x:c>
      <x:c r="P488" s="193" t="b">
        <x:v>1</x:v>
      </x:c>
      <x:c r="Q488" s="193" t="b">
        <x:v>1</x:v>
      </x:c>
      <x:c r="R488" s="193" t="b">
        <x:v>0</x:v>
      </x:c>
      <x:c r="S488" s="193" t="b">
        <x:v>0</x:v>
      </x:c>
      <x:c r="T488" s="192" t="n">
        <x:v>67</x:v>
      </x:c>
      <x:c r="U488" s="192" t="n">
        <x:v>23</x:v>
      </x:c>
      <x:c r="V488" s="200" t="n">
        <x:v>0.2555555556</x:v>
      </x:c>
      <x:c r="W488" s="203" t="n">
        <x:v>385</x:v>
      </x:c>
      <x:c r="X488" s="203" t="n">
        <x:v>8890.895617821</x:v>
      </x:c>
      <x:c r="Y488" s="203" t="n">
        <x:v>22986.6697119081</x:v>
      </x:c>
      <x:c r="Z488" s="193" t="b">
        <x:v>1</x:v>
      </x:c>
      <x:c r="AA488" s="193" t="b">
        <x:v>1</x:v>
      </x:c>
      <x:c r="AB488" s="193" t="b">
        <x:v>1</x:v>
      </x:c>
      <x:c r="AC488" s="193" t="b">
        <x:v>1</x:v>
      </x:c>
      <x:c r="AD488" s="193" t="b">
        <x:v>1</x:v>
      </x:c>
      <x:c r="AE488" s="193" t="b">
        <x:v>1</x:v>
      </x:c>
      <x:c r="AF488" s="193" t="b">
        <x:v>1</x:v>
      </x:c>
      <x:c r="AG488" s="193" t="b">
        <x:v>1</x:v>
      </x:c>
      <x:c r="AH488" s="193" t="b">
        <x:v>1</x:v>
      </x:c>
      <x:c r="AI488" s="193" t="b">
        <x:v>1</x:v>
      </x:c>
      <x:c r="AJ488" s="193" t="b">
        <x:v>0</x:v>
      </x:c>
    </x:row>
    <x:row r="489">
      <x:c r="A489" s="192" t="n">
        <x:v>801271167231006600</x:v>
      </x:c>
      <x:c r="B489" s="192" t="str">
        <x:v>https://www.airbnb.com.br/rooms/801271167231006592</x:v>
      </x:c>
      <x:c r="C489" s="192" t="str">
        <x:v>Novinho em folha! Apto recém montado! 1</x:v>
      </x:c>
      <x:c r="D489" s="192" t="str">
        <x:v>Meia Praia</x:v>
      </x:c>
      <x:c r="E489" s="192" t="n">
        <x:v>-27.1410007477</x:v>
      </x:c>
      <x:c r="F489" s="192" t="n">
        <x:v>-48.5960006714</x:v>
      </x:c>
      <x:c r="G489" s="192" t="str">
        <x:v>apartamento</x:v>
      </x:c>
      <x:c r="H489" s="192" t="n">
        <x:v>2</x:v>
      </x:c>
      <x:c r="I489" s="192" t="n">
        <x:v>2</x:v>
      </x:c>
      <x:c r="J489" s="192" t="n">
        <x:v>2</x:v>
      </x:c>
      <x:c r="K489" s="192" t="n">
        <x:v>6</x:v>
      </x:c>
      <x:c r="L489" s="192" t="n">
        <x:v>17</x:v>
      </x:c>
      <x:c r="M489" s="192" t="n">
        <x:v>4.9400000572</x:v>
      </x:c>
      <x:c r="N489" s="192" t="n">
        <x:v>300</x:v>
      </x:c>
      <x:c r="O489" s="192" t="n">
        <x:v>16</x:v>
      </x:c>
      <x:c r="P489" s="193" t="b">
        <x:v>0</x:v>
      </x:c>
      <x:c r="Q489" s="193" t="b">
        <x:v>0</x:v>
      </x:c>
      <x:c r="R489" s="193" t="b">
        <x:v>1</x:v>
      </x:c>
      <x:c r="S489" s="193" t="b">
        <x:v>1</x:v>
      </x:c>
      <x:c r="T489" s="192" t="n">
        <x:v>34</x:v>
      </x:c>
      <x:c r="U489" s="192" t="n">
        <x:v>56</x:v>
      </x:c>
      <x:c r="V489" s="200" t="n">
        <x:v>0.6222222222</x:v>
      </x:c>
      <x:c r="W489" s="203" t="n">
        <x:v>250</x:v>
      </x:c>
      <x:c r="X489" s="203" t="n">
        <x:v>14461.1127226119</x:v>
      </x:c>
      <x:c r="Y489" s="203" t="n">
        <x:v>37388.0018515861</x:v>
      </x:c>
      <x:c r="Z489" s="193" t="b">
        <x:v>0</x:v>
      </x:c>
      <x:c r="AA489" s="193" t="b">
        <x:v>0</x:v>
      </x:c>
      <x:c r="AB489" s="193" t="b">
        <x:v>1</x:v>
      </x:c>
      <x:c r="AC489" s="193" t="b">
        <x:v>1</x:v>
      </x:c>
      <x:c r="AD489" s="193" t="b">
        <x:v>1</x:v>
      </x:c>
      <x:c r="AE489" s="193" t="b">
        <x:v>1</x:v>
      </x:c>
      <x:c r="AF489" s="193" t="b">
        <x:v>1</x:v>
      </x:c>
      <x:c r="AG489" s="193" t="b">
        <x:v>1</x:v>
      </x:c>
      <x:c r="AH489" s="193" t="b">
        <x:v>1</x:v>
      </x:c>
      <x:c r="AI489" s="193" t="b">
        <x:v>1</x:v>
      </x:c>
      <x:c r="AJ489" s="193" t="b">
        <x:v>1</x:v>
      </x:c>
    </x:row>
    <x:row r="490">
      <x:c r="A490" s="192" t="n">
        <x:v>38638326</x:v>
      </x:c>
      <x:c r="B490" s="192" t="str">
        <x:v>https://www.airbnb.com.br/rooms/38638326</x:v>
      </x:c>
      <x:c r="C490" s="192" t="str">
        <x:v>CONFORTO E REQUINTE NA SANTA E BELA CATARINA</x:v>
      </x:c>
      <x:c r="D490" s="192" t="str">
        <x:v>Meia Praia</x:v>
      </x:c>
      <x:c r="E490" s="192" t="n">
        <x:v>-27.13142</x:v>
      </x:c>
      <x:c r="F490" s="192" t="n">
        <x:v>-48.60489</x:v>
      </x:c>
      <x:c r="G490" s="192" t="str">
        <x:v>apartamento</x:v>
      </x:c>
      <x:c r="H490" s="192" t="n">
        <x:v>3</x:v>
      </x:c>
      <x:c r="I490" s="192" t="n">
        <x:v>3</x:v>
      </x:c>
      <x:c r="J490" s="192" t="n">
        <x:v>4</x:v>
      </x:c>
      <x:c r="K490" s="192" t="n">
        <x:v>6</x:v>
      </x:c>
      <x:c r="L490" s="192" t="n">
        <x:v>106</x:v>
      </x:c>
      <x:c r="M490" s="192" t="n">
        <x:v>4.9800000191</x:v>
      </x:c>
      <x:c r="N490" s="192" t="n">
        <x:v>300</x:v>
      </x:c>
      <x:c r="O490" s="192" t="n">
        <x:v>33</x:v>
      </x:c>
      <x:c r="P490" s="193" t="b">
        <x:v>0</x:v>
      </x:c>
      <x:c r="Q490" s="193" t="b">
        <x:v>0</x:v>
      </x:c>
      <x:c r="R490" s="193" t="b">
        <x:v>1</x:v>
      </x:c>
      <x:c r="S490" s="193" t="b">
        <x:v>1</x:v>
      </x:c>
      <x:c r="T490" s="192" t="n">
        <x:v>65</x:v>
      </x:c>
      <x:c r="U490" s="192" t="n">
        <x:v>25</x:v>
      </x:c>
      <x:c r="V490" s="200" t="n">
        <x:v>0.2777777778</x:v>
      </x:c>
      <x:c r="W490" s="203" t="n">
        <x:v>607.75</x:v>
      </x:c>
      <x:c r="X490" s="203" t="n">
        <x:v>15242.1782779604</x:v>
      </x:c>
      <x:c r="Y490" s="203" t="n">
        <x:v>39407.3817561434</x:v>
      </x:c>
      <x:c r="Z490" s="193" t="b">
        <x:v>1</x:v>
      </x:c>
      <x:c r="AA490" s="193" t="b">
        <x:v>0</x:v>
      </x:c>
      <x:c r="AB490" s="193" t="b">
        <x:v>1</x:v>
      </x:c>
      <x:c r="AC490" s="193" t="b">
        <x:v>1</x:v>
      </x:c>
      <x:c r="AD490" s="193" t="b">
        <x:v>1</x:v>
      </x:c>
      <x:c r="AE490" s="193" t="b">
        <x:v>1</x:v>
      </x:c>
      <x:c r="AF490" s="193" t="b">
        <x:v>1</x:v>
      </x:c>
      <x:c r="AG490" s="193" t="b">
        <x:v>1</x:v>
      </x:c>
      <x:c r="AH490" s="193" t="b">
        <x:v>1</x:v>
      </x:c>
      <x:c r="AI490" s="193" t="b">
        <x:v>1</x:v>
      </x:c>
      <x:c r="AJ490" s="193" t="b">
        <x:v>1</x:v>
      </x:c>
    </x:row>
    <x:row r="491">
      <x:c r="A491" s="192" t="n">
        <x:v>52646204</x:v>
      </x:c>
      <x:c r="B491" s="192" t="str">
        <x:v>https://www.airbnb.com.br/rooms/52646204</x:v>
      </x:c>
      <x:c r="C491" s="192" t="str">
        <x:v>Apto 4 Suítes 195m2 a 200m do Mar em Meia Praia</x:v>
      </x:c>
      <x:c r="D491" s="192" t="str">
        <x:v>Meia Praia</x:v>
      </x:c>
      <x:c r="E491" s="192" t="n">
        <x:v>-27.12354</x:v>
      </x:c>
      <x:c r="F491" s="192" t="n">
        <x:v>-48.60619</x:v>
      </x:c>
      <x:c r="G491" s="192" t="str">
        <x:v>apartamento</x:v>
      </x:c>
      <x:c r="H491" s="192" t="n">
        <x:v>4</x:v>
      </x:c>
      <x:c r="I491" s="192" t="n">
        <x:v>4</x:v>
      </x:c>
      <x:c r="J491" s="192" t="n">
        <x:v>6</x:v>
      </x:c>
      <x:c r="K491" s="192" t="n">
        <x:v>10</x:v>
      </x:c>
      <x:c r="L491" s="192" t="n">
        <x:v>12</x:v>
      </x:c>
      <x:c r="M491" s="192" t="n">
        <x:v>5</x:v>
      </x:c>
      <x:c r="N491" s="192" t="n">
        <x:v>250</x:v>
      </x:c>
      <x:c r="O491" s="192" t="n">
        <x:v>29</x:v>
      </x:c>
      <x:c r="P491" s="193" t="b">
        <x:v>0</x:v>
      </x:c>
      <x:c r="Q491" s="193" t="b">
        <x:v>0</x:v>
      </x:c>
      <x:c r="R491" s="193" t="b">
        <x:v>1</x:v>
      </x:c>
      <x:c r="S491" s="193" t="b">
        <x:v>1</x:v>
      </x:c>
      <x:c r="T491" s="192" t="n">
        <x:v>66</x:v>
      </x:c>
      <x:c r="U491" s="192" t="n">
        <x:v>24</x:v>
      </x:c>
      <x:c r="V491" s="200" t="n">
        <x:v>0.2666666667</x:v>
      </x:c>
      <x:c r="W491" s="203" t="n">
        <x:v>899</x:v>
      </x:c>
      <x:c r="X491" s="203" t="n">
        <x:v>21441.6421141195</x:v>
      </x:c>
      <x:c r="Y491" s="203" t="n">
        <x:v>55435.5788825464</x:v>
      </x:c>
      <x:c r="Z491" s="193" t="b">
        <x:v>1</x:v>
      </x:c>
      <x:c r="AA491" s="193" t="b">
        <x:v>0</x:v>
      </x:c>
      <x:c r="AB491" s="193" t="b">
        <x:v>1</x:v>
      </x:c>
      <x:c r="AC491" s="193" t="b">
        <x:v>1</x:v>
      </x:c>
      <x:c r="AD491" s="193" t="b">
        <x:v>1</x:v>
      </x:c>
      <x:c r="AE491" s="193" t="b">
        <x:v>1</x:v>
      </x:c>
      <x:c r="AF491" s="193" t="b">
        <x:v>1</x:v>
      </x:c>
      <x:c r="AG491" s="193" t="b">
        <x:v>1</x:v>
      </x:c>
      <x:c r="AH491" s="193" t="b">
        <x:v>1</x:v>
      </x:c>
      <x:c r="AI491" s="193" t="b">
        <x:v>1</x:v>
      </x:c>
      <x:c r="AJ491" s="193" t="b">
        <x:v>1</x:v>
      </x:c>
    </x:row>
    <x:row r="492">
      <x:c r="A492" s="192" t="n">
        <x:v>40560834</x:v>
      </x:c>
      <x:c r="B492" s="192" t="str">
        <x:v>https://www.airbnb.com.br/rooms/40560834</x:v>
      </x:c>
      <x:c r="C492" s="192" t="str">
        <x:v>Nilmare Apart Hotel - Apartamento tipo 1</x:v>
      </x:c>
      <x:c r="D492" s="192" t="str">
        <x:v>Centro</x:v>
      </x:c>
      <x:c r="E492" s="192" t="n">
        <x:v>-27.0914</x:v>
      </x:c>
      <x:c r="F492" s="192" t="n">
        <x:v>-48.61215</x:v>
      </x:c>
      <x:c r="G492" s="192" t="str">
        <x:v>apartamento</x:v>
      </x:c>
      <x:c r="H492" s="192" t="n">
        <x:v>2</x:v>
      </x:c>
      <x:c r="I492" s="192" t="n">
        <x:v>2</x:v>
      </x:c>
      <x:c r="J492" s="192" t="n">
        <x:v>7</x:v>
      </x:c>
      <x:c r="K492" s="192" t="n">
        <x:v>9</x:v>
      </x:c>
      <x:c r="L492" s="192" t="n">
        <x:v>293</x:v>
      </x:c>
      <x:c r="M492" s="192" t="n">
        <x:v>4.8600001335</x:v>
      </x:c>
      <x:c r="N492" s="192" t="n">
        <x:v>60</x:v>
      </x:c>
      <x:c r="O492" s="192" t="n">
        <x:v>16</x:v>
      </x:c>
      <x:c r="P492" s="193" t="b">
        <x:v>1</x:v>
      </x:c>
      <x:c r="Q492" s="193" t="b">
        <x:v>1</x:v>
      </x:c>
      <x:c r="R492" s="193" t="b">
        <x:v>1</x:v>
      </x:c>
      <x:c r="S492" s="193" t="b">
        <x:v>1</x:v>
      </x:c>
      <x:c r="T492" s="192" t="n">
        <x:v>73</x:v>
      </x:c>
      <x:c r="U492" s="192" t="n">
        <x:v>17</x:v>
      </x:c>
      <x:c r="V492" s="200" t="n">
        <x:v>0.1888888889</x:v>
      </x:c>
      <x:c r="W492" s="203" t="n">
        <x:v>558</x:v>
      </x:c>
      <x:c r="X492" s="203" t="n">
        <x:v>9414.1756114881</x:v>
      </x:c>
      <x:c r="Y492" s="203" t="n">
        <x:v>24339.5665288681</x:v>
      </x:c>
      <x:c r="Z492" s="193" t="b">
        <x:v>1</x:v>
      </x:c>
      <x:c r="AA492" s="193" t="b">
        <x:v>1</x:v>
      </x:c>
      <x:c r="AB492" s="193" t="b">
        <x:v>1</x:v>
      </x:c>
      <x:c r="AC492" s="193" t="b">
        <x:v>1</x:v>
      </x:c>
      <x:c r="AD492" s="193" t="b">
        <x:v>1</x:v>
      </x:c>
      <x:c r="AE492" s="193" t="b">
        <x:v>1</x:v>
      </x:c>
      <x:c r="AF492" s="193" t="b">
        <x:v>1</x:v>
      </x:c>
      <x:c r="AG492" s="193" t="b">
        <x:v>1</x:v>
      </x:c>
      <x:c r="AH492" s="193" t="b">
        <x:v>1</x:v>
      </x:c>
      <x:c r="AI492" s="193" t="b">
        <x:v>1</x:v>
      </x:c>
      <x:c r="AJ492" s="193" t="b">
        <x:v>0</x:v>
      </x:c>
    </x:row>
    <x:row r="493">
      <x:c r="A493" s="192" t="n">
        <x:v>1208704132667695600</x:v>
      </x:c>
      <x:c r="B493" s="192" t="str">
        <x:v>https://www.airbnb.com.br/rooms/1208704132667695539</x:v>
      </x:c>
      <x:c r="C493" s="192" t="str">
        <x:v>Apto aconchegante 280m da Praia em Itapema MHF0501</x:v>
      </x:c>
      <x:c r="D493" s="192" t="str">
        <x:v>Centro</x:v>
      </x:c>
      <x:c r="E493" s="192" t="n">
        <x:v>-27.09231</x:v>
      </x:c>
      <x:c r="F493" s="192" t="n">
        <x:v>-48.61455</x:v>
      </x:c>
      <x:c r="G493" s="192" t="str">
        <x:v>apartamento</x:v>
      </x:c>
      <x:c r="H493" s="192" t="n">
        <x:v>1</x:v>
      </x:c>
      <x:c r="I493" s="192" t="n">
        <x:v>1</x:v>
      </x:c>
      <x:c r="J493" s="192" t="n">
        <x:v>1</x:v>
      </x:c>
      <x:c r="K493" s="192" t="n">
        <x:v>2</x:v>
      </x:c>
      <x:c r="L493" s="192" t="n">
        <x:v>0</x:v>
      </x:c>
      <x:c r="M493" s="192"/>
      <x:c r="N493" s="192" t="n">
        <x:v>170</x:v>
      </x:c>
      <x:c r="O493" s="192" t="n">
        <x:v>0</x:v>
      </x:c>
      <x:c r="P493" s="193" t="b">
        <x:v>1</x:v>
      </x:c>
      <x:c r="Q493" s="193" t="b">
        <x:v>1</x:v>
      </x:c>
      <x:c r="R493" s="193" t="b">
        <x:v>0</x:v>
      </x:c>
      <x:c r="S493" s="193" t="b">
        <x:v>0</x:v>
      </x:c>
      <x:c r="T493" s="192" t="n">
        <x:v>90</x:v>
      </x:c>
      <x:c r="U493" s="192" t="n">
        <x:v>0</x:v>
      </x:c>
      <x:c r="V493" s="200" t="n">
        <x:v>0</x:v>
      </x:c>
      <x:c r="W493" s="203" t="n">
        <x:v>564</x:v>
      </x:c>
      <x:c r="X493" s="203" t="n">
        <x:v>0</x:v>
      </x:c>
      <x:c r="Y493" s="203" t="n">
        <x:v>0</x:v>
      </x:c>
      <x:c r="Z493" s="193" t="b">
        <x:v>1</x:v>
      </x:c>
      <x:c r="AA493" s="193" t="b">
        <x:v>1</x:v>
      </x:c>
      <x:c r="AB493" s="193" t="b">
        <x:v>1</x:v>
      </x:c>
      <x:c r="AC493" s="193" t="b">
        <x:v>1</x:v>
      </x:c>
      <x:c r="AD493" s="193" t="b">
        <x:v>1</x:v>
      </x:c>
      <x:c r="AE493" s="193" t="b">
        <x:v>0</x:v>
      </x:c>
      <x:c r="AF493" s="193" t="b">
        <x:v>1</x:v>
      </x:c>
      <x:c r="AG493" s="193" t="b">
        <x:v>1</x:v>
      </x:c>
      <x:c r="AH493" s="193" t="b">
        <x:v>1</x:v>
      </x:c>
      <x:c r="AI493" s="193" t="b">
        <x:v>1</x:v>
      </x:c>
      <x:c r="AJ493" s="193" t="b">
        <x:v>0</x:v>
      </x:c>
    </x:row>
    <x:row r="494">
      <x:c r="A494" s="192" t="n">
        <x:v>1045459185575382000</x:v>
      </x:c>
      <x:c r="B494" s="192" t="str">
        <x:v>https://www.airbnb.com.br/rooms/1045459185575382038</x:v>
      </x:c>
      <x:c r="C494" s="192" t="str">
        <x:v>Apartamento próximo ao mar em Itapema</x:v>
      </x:c>
      <x:c r="D494" s="192" t="str">
        <x:v>Morretes</x:v>
      </x:c>
      <x:c r="E494" s="192" t="n">
        <x:v>-27.1170005798</x:v>
      </x:c>
      <x:c r="F494" s="192" t="n">
        <x:v>-48.6100006104</x:v>
      </x:c>
      <x:c r="G494" s="192" t="str">
        <x:v>apartamento</x:v>
      </x:c>
      <x:c r="H494" s="192" t="n">
        <x:v>2</x:v>
      </x:c>
      <x:c r="I494" s="192" t="n">
        <x:v>2</x:v>
      </x:c>
      <x:c r="J494" s="192" t="n">
        <x:v>2</x:v>
      </x:c>
      <x:c r="K494" s="192" t="n">
        <x:v>5</x:v>
      </x:c>
      <x:c r="L494" s="192" t="n">
        <x:v>15</x:v>
      </x:c>
      <x:c r="M494" s="192" t="n">
        <x:v>5</x:v>
      </x:c>
      <x:c r="N494" s="192" t="n">
        <x:v>200</x:v>
      </x:c>
      <x:c r="O494" s="192" t="n">
        <x:v>34</x:v>
      </x:c>
      <x:c r="P494" s="193" t="b">
        <x:v>0</x:v>
      </x:c>
      <x:c r="Q494" s="193" t="b">
        <x:v>0</x:v>
      </x:c>
      <x:c r="R494" s="193" t="b">
        <x:v>1</x:v>
      </x:c>
      <x:c r="S494" s="193" t="b">
        <x:v>1</x:v>
      </x:c>
      <x:c r="T494" s="192" t="n">
        <x:v>89</x:v>
      </x:c>
      <x:c r="U494" s="192" t="n">
        <x:v>1</x:v>
      </x:c>
      <x:c r="V494" s="200" t="n">
        <x:v>0.0111111111</x:v>
      </x:c>
      <x:c r="W494" s="203" t="n">
        <x:v>450</x:v>
      </x:c>
      <x:c r="X494" s="203" t="n">
        <x:v>452.9293712623</x:v>
      </x:c>
      <x:c r="Y494" s="203" t="n">
        <x:v>1171.0111452843</x:v>
      </x:c>
      <x:c r="Z494" s="193" t="b">
        <x:v>1</x:v>
      </x:c>
      <x:c r="AA494" s="193" t="b">
        <x:v>0</x:v>
      </x:c>
      <x:c r="AB494" s="193" t="b">
        <x:v>1</x:v>
      </x:c>
      <x:c r="AC494" s="193" t="b">
        <x:v>1</x:v>
      </x:c>
      <x:c r="AD494" s="193" t="b">
        <x:v>1</x:v>
      </x:c>
      <x:c r="AE494" s="193" t="b">
        <x:v>1</x:v>
      </x:c>
      <x:c r="AF494" s="193" t="b">
        <x:v>1</x:v>
      </x:c>
      <x:c r="AG494" s="193" t="b">
        <x:v>1</x:v>
      </x:c>
      <x:c r="AH494" s="193" t="b">
        <x:v>1</x:v>
      </x:c>
      <x:c r="AI494" s="193" t="b">
        <x:v>1</x:v>
      </x:c>
      <x:c r="AJ494" s="193" t="b">
        <x:v>0</x:v>
      </x:c>
    </x:row>
    <x:row r="495">
      <x:c r="A495" s="192" t="n">
        <x:v>53669499</x:v>
      </x:c>
      <x:c r="B495" s="192" t="str">
        <x:v>https://www.airbnb.com.br/rooms/53669499</x:v>
      </x:c>
      <x:c r="C495" s="192" t="str">
        <x:v>(248) Na Meia Praia, 200 metros do mar e do Russi</x:v>
      </x:c>
      <x:c r="D495" s="192" t="str">
        <x:v>Meia Praia</x:v>
      </x:c>
      <x:c r="E495" s="192" t="n">
        <x:v>-27.12877</x:v>
      </x:c>
      <x:c r="F495" s="192" t="n">
        <x:v>-48.60177</x:v>
      </x:c>
      <x:c r="G495" s="192" t="str">
        <x:v>apartamento</x:v>
      </x:c>
      <x:c r="H495" s="192" t="n">
        <x:v>3</x:v>
      </x:c>
      <x:c r="I495" s="192" t="n">
        <x:v>3</x:v>
      </x:c>
      <x:c r="J495" s="192" t="n">
        <x:v>3</x:v>
      </x:c>
      <x:c r="K495" s="192" t="n">
        <x:v>6</x:v>
      </x:c>
      <x:c r="L495" s="192" t="n">
        <x:v>58</x:v>
      </x:c>
      <x:c r="M495" s="192" t="n">
        <x:v>4.9000000954</x:v>
      </x:c>
      <x:c r="N495" s="192" t="n">
        <x:v>200</x:v>
      </x:c>
      <x:c r="O495" s="192" t="n">
        <x:v>20</x:v>
      </x:c>
      <x:c r="P495" s="193" t="b">
        <x:v>0</x:v>
      </x:c>
      <x:c r="Q495" s="193" t="b">
        <x:v>1</x:v>
      </x:c>
      <x:c r="R495" s="193" t="b">
        <x:v>1</x:v>
      </x:c>
      <x:c r="S495" s="193" t="b">
        <x:v>1</x:v>
      </x:c>
      <x:c r="T495" s="192" t="n">
        <x:v>58</x:v>
      </x:c>
      <x:c r="U495" s="192" t="n">
        <x:v>32</x:v>
      </x:c>
      <x:c r="V495" s="200" t="n">
        <x:v>0.3555555556</x:v>
      </x:c>
      <x:c r="W495" s="203" t="n">
        <x:v>543</x:v>
      </x:c>
      <x:c r="X495" s="203" t="n">
        <x:v>16423.4484658568</x:v>
      </x:c>
      <x:c r="Y495" s="203" t="n">
        <x:v>42461.4573877672</x:v>
      </x:c>
      <x:c r="Z495" s="193" t="b">
        <x:v>0</x:v>
      </x:c>
      <x:c r="AA495" s="193" t="b">
        <x:v>0</x:v>
      </x:c>
      <x:c r="AB495" s="193" t="b">
        <x:v>1</x:v>
      </x:c>
      <x:c r="AC495" s="193" t="b">
        <x:v>1</x:v>
      </x:c>
      <x:c r="AD495" s="193" t="b">
        <x:v>0</x:v>
      </x:c>
      <x:c r="AE495" s="193" t="b">
        <x:v>0</x:v>
      </x:c>
      <x:c r="AF495" s="193" t="b">
        <x:v>1</x:v>
      </x:c>
      <x:c r="AG495" s="193" t="b">
        <x:v>1</x:v>
      </x:c>
      <x:c r="AH495" s="193" t="b">
        <x:v>1</x:v>
      </x:c>
      <x:c r="AI495" s="193" t="b">
        <x:v>1</x:v>
      </x:c>
      <x:c r="AJ495" s="193" t="b">
        <x:v>1</x:v>
      </x:c>
    </x:row>
    <x:row r="496">
      <x:c r="A496" s="192" t="n">
        <x:v>21607605</x:v>
      </x:c>
      <x:c r="B496" s="192" t="str">
        <x:v>https://www.airbnb.com.br/rooms/21607605</x:v>
      </x:c>
      <x:c r="C496" s="192" t="str">
        <x:v>4 quartos, 2 vagas, quadra mar, 50 mts do mar</x:v>
      </x:c>
      <x:c r="D496" s="192" t="str">
        <x:v>Meia Praia</x:v>
      </x:c>
      <x:c r="E496" s="192" t="n">
        <x:v>-27.1290721893</x:v>
      </x:c>
      <x:c r="F496" s="192" t="n">
        <x:v>-48.6011352539</x:v>
      </x:c>
      <x:c r="G496" s="192" t="str">
        <x:v>apartamento</x:v>
      </x:c>
      <x:c r="H496" s="192" t="n">
        <x:v>4</x:v>
      </x:c>
      <x:c r="I496" s="192" t="n">
        <x:v>3</x:v>
      </x:c>
      <x:c r="J496" s="192" t="n">
        <x:v>5</x:v>
      </x:c>
      <x:c r="K496" s="192" t="n">
        <x:v>11</x:v>
      </x:c>
      <x:c r="L496" s="192" t="n">
        <x:v>13</x:v>
      </x:c>
      <x:c r="M496" s="192" t="n">
        <x:v>4.8499999046</x:v>
      </x:c>
      <x:c r="N496" s="192" t="n">
        <x:v>300</x:v>
      </x:c>
      <x:c r="O496" s="192" t="n">
        <x:v>31</x:v>
      </x:c>
      <x:c r="P496" s="193" t="b">
        <x:v>0</x:v>
      </x:c>
      <x:c r="Q496" s="193" t="b">
        <x:v>0</x:v>
      </x:c>
      <x:c r="R496" s="193" t="b">
        <x:v>0</x:v>
      </x:c>
      <x:c r="S496" s="193" t="b">
        <x:v>0</x:v>
      </x:c>
      <x:c r="T496" s="192" t="n">
        <x:v>47</x:v>
      </x:c>
      <x:c r="U496" s="192" t="n">
        <x:v>43</x:v>
      </x:c>
      <x:c r="V496" s="200" t="n">
        <x:v>0.4777777778</x:v>
      </x:c>
      <x:c r="W496" s="203" t="n">
        <x:v>650</x:v>
      </x:c>
      <x:c r="X496" s="203" t="n">
        <x:v>27657.8797677165</x:v>
      </x:c>
      <x:c r="Y496" s="203" t="n">
        <x:v>71507.1433161171</x:v>
      </x:c>
      <x:c r="Z496" s="193" t="b">
        <x:v>1</x:v>
      </x:c>
      <x:c r="AA496" s="193" t="b">
        <x:v>0</x:v>
      </x:c>
      <x:c r="AB496" s="193" t="b">
        <x:v>1</x:v>
      </x:c>
      <x:c r="AC496" s="193" t="b">
        <x:v>1</x:v>
      </x:c>
      <x:c r="AD496" s="193" t="b">
        <x:v>1</x:v>
      </x:c>
      <x:c r="AE496" s="193" t="b">
        <x:v>0</x:v>
      </x:c>
      <x:c r="AF496" s="193" t="b">
        <x:v>0</x:v>
      </x:c>
      <x:c r="AG496" s="193" t="b">
        <x:v>1</x:v>
      </x:c>
      <x:c r="AH496" s="193" t="b">
        <x:v>1</x:v>
      </x:c>
      <x:c r="AI496" s="193" t="b">
        <x:v>1</x:v>
      </x:c>
      <x:c r="AJ496" s="193" t="b">
        <x:v>0</x:v>
      </x:c>
    </x:row>
    <x:row r="497">
      <x:c r="A497" s="192" t="n">
        <x:v>721635424816164600</x:v>
      </x:c>
      <x:c r="B497" s="192" t="str">
        <x:v>https://www.airbnb.com.br/rooms/721635424816164605</x:v>
      </x:c>
      <x:c r="C497" s="192" t="str">
        <x:v>Apartamento de luxo. Novo. Alto Padrão. Quadra mar</x:v>
      </x:c>
      <x:c r="D497" s="192" t="str">
        <x:v>Meia Praia</x:v>
      </x:c>
      <x:c r="E497" s="192" t="n">
        <x:v>-27.1440118</x:v>
      </x:c>
      <x:c r="F497" s="192" t="n">
        <x:v>-48.5887433</x:v>
      </x:c>
      <x:c r="G497" s="192" t="str">
        <x:v>apartamento</x:v>
      </x:c>
      <x:c r="H497" s="192" t="n">
        <x:v>3</x:v>
      </x:c>
      <x:c r="I497" s="192" t="n">
        <x:v>4</x:v>
      </x:c>
      <x:c r="J497" s="192" t="n">
        <x:v>3</x:v>
      </x:c>
      <x:c r="K497" s="192" t="n">
        <x:v>8</x:v>
      </x:c>
      <x:c r="L497" s="192" t="n">
        <x:v>14</x:v>
      </x:c>
      <x:c r="M497" s="192" t="n">
        <x:v>5</x:v>
      </x:c>
      <x:c r="N497" s="192" t="n">
        <x:v>310</x:v>
      </x:c>
      <x:c r="O497" s="192" t="n">
        <x:v>36</x:v>
      </x:c>
      <x:c r="P497" s="193" t="b">
        <x:v>0</x:v>
      </x:c>
      <x:c r="Q497" s="193" t="b">
        <x:v>0</x:v>
      </x:c>
      <x:c r="R497" s="193" t="b">
        <x:v>1</x:v>
      </x:c>
      <x:c r="S497" s="193" t="b">
        <x:v>1</x:v>
      </x:c>
      <x:c r="T497" s="192" t="n">
        <x:v>52</x:v>
      </x:c>
      <x:c r="U497" s="192" t="n">
        <x:v>38</x:v>
      </x:c>
      <x:c r="V497" s="200" t="n">
        <x:v>0.4222222222</x:v>
      </x:c>
      <x:c r="W497" s="203" t="n">
        <x:v>750</x:v>
      </x:c>
      <x:c r="X497" s="203" t="n">
        <x:v>29594.6796379972</x:v>
      </x:c>
      <x:c r="Y497" s="203" t="n">
        <x:v>76514.5779807385</x:v>
      </x:c>
      <x:c r="Z497" s="193" t="b">
        <x:v>1</x:v>
      </x:c>
      <x:c r="AA497" s="193" t="b">
        <x:v>0</x:v>
      </x:c>
      <x:c r="AB497" s="193" t="b">
        <x:v>1</x:v>
      </x:c>
      <x:c r="AC497" s="193" t="b">
        <x:v>1</x:v>
      </x:c>
      <x:c r="AD497" s="193" t="b">
        <x:v>1</x:v>
      </x:c>
      <x:c r="AE497" s="193" t="b">
        <x:v>1</x:v>
      </x:c>
      <x:c r="AF497" s="193" t="b">
        <x:v>1</x:v>
      </x:c>
      <x:c r="AG497" s="193" t="b">
        <x:v>1</x:v>
      </x:c>
      <x:c r="AH497" s="193" t="b">
        <x:v>1</x:v>
      </x:c>
      <x:c r="AI497" s="193" t="b">
        <x:v>1</x:v>
      </x:c>
      <x:c r="AJ497" s="193" t="b">
        <x:v>0</x:v>
      </x:c>
    </x:row>
    <x:row r="498">
      <x:c r="A498" s="192" t="n">
        <x:v>31284638</x:v>
      </x:c>
      <x:c r="B498" s="192" t="str">
        <x:v>https://www.airbnb.com.br/rooms/31284638</x:v>
      </x:c>
      <x:c r="C498" s="192" t="str">
        <x:v>Vista mar com hidromassagem em Itapema</x:v>
      </x:c>
      <x:c r="D498" s="192" t="str">
        <x:v>Centro</x:v>
      </x:c>
      <x:c r="E498" s="192" t="n">
        <x:v>-27.09808</x:v>
      </x:c>
      <x:c r="F498" s="192" t="n">
        <x:v>-48.61508</x:v>
      </x:c>
      <x:c r="G498" s="192" t="str">
        <x:v>apartamento</x:v>
      </x:c>
      <x:c r="H498" s="192" t="n">
        <x:v>3</x:v>
      </x:c>
      <x:c r="I498" s="192" t="n">
        <x:v>0</x:v>
      </x:c>
      <x:c r="J498" s="192" t="n">
        <x:v>3</x:v>
      </x:c>
      <x:c r="K498" s="192" t="n">
        <x:v>8</x:v>
      </x:c>
      <x:c r="L498" s="192" t="n">
        <x:v>21</x:v>
      </x:c>
      <x:c r="M498" s="192" t="n">
        <x:v>5</x:v>
      </x:c>
      <x:c r="N498" s="192" t="n">
        <x:v>300</x:v>
      </x:c>
      <x:c r="O498" s="192" t="n">
        <x:v>32</x:v>
      </x:c>
      <x:c r="P498" s="193" t="b">
        <x:v>0</x:v>
      </x:c>
      <x:c r="Q498" s="193" t="b">
        <x:v>1</x:v>
      </x:c>
      <x:c r="R498" s="193" t="b">
        <x:v>1</x:v>
      </x:c>
      <x:c r="S498" s="193" t="b">
        <x:v>1</x:v>
      </x:c>
      <x:c r="T498" s="192" t="n">
        <x:v>40</x:v>
      </x:c>
      <x:c r="U498" s="192" t="n">
        <x:v>50</x:v>
      </x:c>
      <x:c r="V498" s="200" t="n">
        <x:v>0.5555555556</x:v>
      </x:c>
      <x:c r="W498" s="203" t="n">
        <x:v>845</x:v>
      </x:c>
      <x:c r="X498" s="203" t="n">
        <x:v>42303.7055733346</x:v>
      </x:c>
      <x:c r="Y498" s="203" t="n">
        <x:v>109372.7054510589</x:v>
      </x:c>
      <x:c r="Z498" s="193" t="b">
        <x:v>1</x:v>
      </x:c>
      <x:c r="AA498" s="193" t="b">
        <x:v>0</x:v>
      </x:c>
      <x:c r="AB498" s="193" t="b">
        <x:v>1</x:v>
      </x:c>
      <x:c r="AC498" s="193" t="b">
        <x:v>1</x:v>
      </x:c>
      <x:c r="AD498" s="193" t="b">
        <x:v>1</x:v>
      </x:c>
      <x:c r="AE498" s="193" t="b">
        <x:v>1</x:v>
      </x:c>
      <x:c r="AF498" s="193" t="b">
        <x:v>1</x:v>
      </x:c>
      <x:c r="AG498" s="193" t="b">
        <x:v>1</x:v>
      </x:c>
      <x:c r="AH498" s="193" t="b">
        <x:v>1</x:v>
      </x:c>
      <x:c r="AI498" s="193" t="b">
        <x:v>1</x:v>
      </x:c>
      <x:c r="AJ498" s="193" t="b">
        <x:v>1</x:v>
      </x:c>
    </x:row>
    <x:row r="499">
      <x:c r="A499" s="192" t="n">
        <x:v>46036384</x:v>
      </x:c>
      <x:c r="B499" s="192" t="str">
        <x:v>https://www.airbnb.com.br/rooms/46036384</x:v>
      </x:c>
      <x:c r="C499" s="192" t="str">
        <x:v>Apto luxo ampla vista mar de Itapema-200m da praia</x:v>
      </x:c>
      <x:c r="D499" s="192" t="str">
        <x:v>Morretes</x:v>
      </x:c>
      <x:c r="E499" s="192" t="n">
        <x:v>-27.11811</x:v>
      </x:c>
      <x:c r="F499" s="192" t="n">
        <x:v>-48.60932</x:v>
      </x:c>
      <x:c r="G499" s="192" t="str">
        <x:v>apartamento</x:v>
      </x:c>
      <x:c r="H499" s="192" t="n">
        <x:v>2</x:v>
      </x:c>
      <x:c r="I499" s="192" t="n">
        <x:v>2</x:v>
      </x:c>
      <x:c r="J499" s="192" t="n">
        <x:v>3</x:v>
      </x:c>
      <x:c r="K499" s="192" t="n">
        <x:v>6</x:v>
      </x:c>
      <x:c r="L499" s="192" t="n">
        <x:v>51</x:v>
      </x:c>
      <x:c r="M499" s="192" t="n">
        <x:v>4.9200000763</x:v>
      </x:c>
      <x:c r="N499" s="192" t="n">
        <x:v>150</x:v>
      </x:c>
      <x:c r="O499" s="192" t="n">
        <x:v>13</x:v>
      </x:c>
      <x:c r="P499" s="193" t="b">
        <x:v>0</x:v>
      </x:c>
      <x:c r="Q499" s="193" t="b">
        <x:v>0</x:v>
      </x:c>
      <x:c r="R499" s="193" t="b">
        <x:v>1</x:v>
      </x:c>
      <x:c r="S499" s="193" t="b">
        <x:v>1</x:v>
      </x:c>
      <x:c r="T499" s="192" t="n">
        <x:v>55</x:v>
      </x:c>
      <x:c r="U499" s="192" t="n">
        <x:v>35</x:v>
      </x:c>
      <x:c r="V499" s="200" t="n">
        <x:v>0.3888888889</x:v>
      </x:c>
      <x:c r="W499" s="203" t="n">
        <x:v>330</x:v>
      </x:c>
      <x:c r="X499" s="203" t="n">
        <x:v>12115.8326939573</x:v>
      </x:c>
      <x:c r="Y499" s="203" t="n">
        <x:v>31324.475777502</x:v>
      </x:c>
      <x:c r="Z499" s="193" t="b">
        <x:v>1</x:v>
      </x:c>
      <x:c r="AA499" s="193" t="b">
        <x:v>0</x:v>
      </x:c>
      <x:c r="AB499" s="193" t="b">
        <x:v>1</x:v>
      </x:c>
      <x:c r="AC499" s="193" t="b">
        <x:v>1</x:v>
      </x:c>
      <x:c r="AD499" s="193" t="b">
        <x:v>1</x:v>
      </x:c>
      <x:c r="AE499" s="193" t="b">
        <x:v>1</x:v>
      </x:c>
      <x:c r="AF499" s="193" t="b">
        <x:v>1</x:v>
      </x:c>
      <x:c r="AG499" s="193" t="b">
        <x:v>1</x:v>
      </x:c>
      <x:c r="AH499" s="193" t="b">
        <x:v>1</x:v>
      </x:c>
      <x:c r="AI499" s="193" t="b">
        <x:v>1</x:v>
      </x:c>
      <x:c r="AJ499" s="193" t="b">
        <x:v>1</x:v>
      </x:c>
    </x:row>
    <x:row r="500">
      <x:c r="A500" s="192" t="n">
        <x:v>53717416</x:v>
      </x:c>
      <x:c r="B500" s="192" t="str">
        <x:v>https://www.airbnb.com.br/rooms/53717416</x:v>
      </x:c>
      <x:c r="C500" s="192" t="str">
        <x:v>Lindo apto 1 quadra do mar Meia Praia EIS305</x:v>
      </x:c>
      <x:c r="D500" s="192" t="str">
        <x:v>Meia Praia</x:v>
      </x:c>
      <x:c r="E500" s="192" t="n">
        <x:v>-27.1319999695</x:v>
      </x:c>
      <x:c r="F500" s="192" t="n">
        <x:v>-48.5999984741</x:v>
      </x:c>
      <x:c r="G500" s="192" t="str">
        <x:v>apartamento</x:v>
      </x:c>
      <x:c r="H500" s="192" t="n">
        <x:v>3</x:v>
      </x:c>
      <x:c r="I500" s="192" t="n">
        <x:v>2</x:v>
      </x:c>
      <x:c r="J500" s="192" t="n">
        <x:v>3</x:v>
      </x:c>
      <x:c r="K500" s="192" t="n">
        <x:v>6</x:v>
      </x:c>
      <x:c r="L500" s="192" t="n">
        <x:v>34</x:v>
      </x:c>
      <x:c r="M500" s="192" t="n">
        <x:v>4.5</x:v>
      </x:c>
      <x:c r="N500" s="192" t="n">
        <x:v>484</x:v>
      </x:c>
      <x:c r="O500" s="192" t="n">
        <x:v>6</x:v>
      </x:c>
      <x:c r="P500" s="193" t="b">
        <x:v>1</x:v>
      </x:c>
      <x:c r="Q500" s="193" t="b">
        <x:v>1</x:v>
      </x:c>
      <x:c r="R500" s="193" t="b">
        <x:v>0</x:v>
      </x:c>
      <x:c r="S500" s="193" t="b">
        <x:v>0</x:v>
      </x:c>
      <x:c r="T500" s="192" t="n">
        <x:v>60</x:v>
      </x:c>
      <x:c r="U500" s="192" t="n">
        <x:v>30</x:v>
      </x:c>
      <x:c r="V500" s="200" t="n">
        <x:v>0.3333333333</x:v>
      </x:c>
      <x:c r="W500" s="203" t="n">
        <x:v>545</x:v>
      </x:c>
      <x:c r="X500" s="203" t="n">
        <x:v>16277.8768791732</x:v>
      </x:c>
      <x:c r="Y500" s="203" t="n">
        <x:v>42085.0941813624</x:v>
      </x:c>
      <x:c r="Z500" s="193" t="b">
        <x:v>0</x:v>
      </x:c>
      <x:c r="AA500" s="193" t="b">
        <x:v>0</x:v>
      </x:c>
      <x:c r="AB500" s="193" t="b">
        <x:v>1</x:v>
      </x:c>
      <x:c r="AC500" s="193" t="b">
        <x:v>1</x:v>
      </x:c>
      <x:c r="AD500" s="193" t="b">
        <x:v>1</x:v>
      </x:c>
      <x:c r="AE500" s="193" t="b">
        <x:v>0</x:v>
      </x:c>
      <x:c r="AF500" s="193" t="b">
        <x:v>1</x:v>
      </x:c>
      <x:c r="AG500" s="193" t="b">
        <x:v>1</x:v>
      </x:c>
      <x:c r="AH500" s="193" t="b">
        <x:v>1</x:v>
      </x:c>
      <x:c r="AI500" s="193" t="b">
        <x:v>1</x:v>
      </x:c>
      <x:c r="AJ500" s="193" t="b">
        <x:v>1</x:v>
      </x:c>
    </x:row>
    <x:row r="501">
      <x:c r="A501" s="192" t="n">
        <x:v>21324331</x:v>
      </x:c>
      <x:c r="B501" s="192" t="str">
        <x:v>https://www.airbnb.com.br/rooms/21324331</x:v>
      </x:c>
      <x:c r="C501" s="192" t="str">
        <x:v>⚡Apto CENTRAL a 40m da PRAIA #TUDO PERTO #Ar+WiFi</x:v>
      </x:c>
      <x:c r="D501" s="192" t="str">
        <x:v>Meia Praia</x:v>
      </x:c>
      <x:c r="E501" s="192" t="n">
        <x:v>-27.13354</x:v>
      </x:c>
      <x:c r="F501" s="192" t="n">
        <x:v>-48.59698</x:v>
      </x:c>
      <x:c r="G501" s="192" t="str">
        <x:v>apartamento</x:v>
      </x:c>
      <x:c r="H501" s="192" t="n">
        <x:v>2</x:v>
      </x:c>
      <x:c r="I501" s="192" t="n">
        <x:v>1</x:v>
      </x:c>
      <x:c r="J501" s="192" t="n">
        <x:v>4</x:v>
      </x:c>
      <x:c r="K501" s="192" t="n">
        <x:v>6</x:v>
      </x:c>
      <x:c r="L501" s="192" t="n">
        <x:v>195</x:v>
      </x:c>
      <x:c r="M501" s="192" t="n">
        <x:v>4.9000000954</x:v>
      </x:c>
      <x:c r="N501" s="192" t="n">
        <x:v>100</x:v>
      </x:c>
      <x:c r="O501" s="192" t="n">
        <x:v>42</x:v>
      </x:c>
      <x:c r="P501" s="193" t="b">
        <x:v>1</x:v>
      </x:c>
      <x:c r="Q501" s="193" t="b">
        <x:v>0</x:v>
      </x:c>
      <x:c r="R501" s="193" t="b">
        <x:v>1</x:v>
      </x:c>
      <x:c r="S501" s="193" t="b">
        <x:v>1</x:v>
      </x:c>
      <x:c r="T501" s="192" t="n">
        <x:v>25</x:v>
      </x:c>
      <x:c r="U501" s="192" t="n">
        <x:v>65</x:v>
      </x:c>
      <x:c r="V501" s="200" t="n">
        <x:v>0.7222222222</x:v>
      </x:c>
      <x:c r="W501" s="203" t="n">
        <x:v>810</x:v>
      </x:c>
      <x:c r="X501" s="203" t="n">
        <x:v>51528.6744655424</x:v>
      </x:c>
      <x:c r="Y501" s="203" t="n">
        <x:v>133223.0937744543</x:v>
      </x:c>
      <x:c r="Z501" s="193" t="b">
        <x:v>1</x:v>
      </x:c>
      <x:c r="AA501" s="193" t="b">
        <x:v>0</x:v>
      </x:c>
      <x:c r="AB501" s="193" t="b">
        <x:v>1</x:v>
      </x:c>
      <x:c r="AC501" s="193" t="b">
        <x:v>1</x:v>
      </x:c>
      <x:c r="AD501" s="193" t="b">
        <x:v>1</x:v>
      </x:c>
      <x:c r="AE501" s="193" t="b">
        <x:v>1</x:v>
      </x:c>
      <x:c r="AF501" s="193" t="b">
        <x:v>1</x:v>
      </x:c>
      <x:c r="AG501" s="193" t="b">
        <x:v>1</x:v>
      </x:c>
      <x:c r="AH501" s="193" t="b">
        <x:v>1</x:v>
      </x:c>
      <x:c r="AI501" s="193" t="b">
        <x:v>1</x:v>
      </x:c>
      <x:c r="AJ501" s="193" t="b">
        <x:v>1</x:v>
      </x:c>
    </x:row>
    <x:row r="502">
      <x:c r="A502" s="192" t="n">
        <x:v>27022969</x:v>
      </x:c>
      <x:c r="B502" s="192" t="str">
        <x:v>https://www.airbnb.com.br/rooms/27022969</x:v>
      </x:c>
      <x:c r="C502" s="192" t="str">
        <x:v>Apartamento cobertura 4 quartos , 3 vagas garagem</x:v>
      </x:c>
      <x:c r="D502" s="192" t="str">
        <x:v>Meia Praia</x:v>
      </x:c>
      <x:c r="E502" s="192" t="n">
        <x:v>-27.13995</x:v>
      </x:c>
      <x:c r="F502" s="192" t="n">
        <x:v>-48.59131</x:v>
      </x:c>
      <x:c r="G502" s="192" t="str">
        <x:v>apartamento</x:v>
      </x:c>
      <x:c r="H502" s="192" t="n">
        <x:v>4</x:v>
      </x:c>
      <x:c r="I502" s="192" t="n">
        <x:v>4</x:v>
      </x:c>
      <x:c r="J502" s="192" t="n">
        <x:v>6</x:v>
      </x:c>
      <x:c r="K502" s="192" t="n">
        <x:v>8</x:v>
      </x:c>
      <x:c r="L502" s="192" t="n">
        <x:v>2</x:v>
      </x:c>
      <x:c r="M502" s="192" t="n">
        <x:v>5</x:v>
      </x:c>
      <x:c r="N502" s="192" t="n">
        <x:v>365</x:v>
      </x:c>
      <x:c r="O502" s="192" t="n">
        <x:v>23</x:v>
      </x:c>
      <x:c r="P502" s="193" t="b">
        <x:v>0</x:v>
      </x:c>
      <x:c r="Q502" s="193" t="b">
        <x:v>0</x:v>
      </x:c>
      <x:c r="R502" s="193" t="b">
        <x:v>0</x:v>
      </x:c>
      <x:c r="S502" s="193" t="b">
        <x:v>0</x:v>
      </x:c>
      <x:c r="T502" s="192" t="n">
        <x:v>47</x:v>
      </x:c>
      <x:c r="U502" s="192" t="n">
        <x:v>43</x:v>
      </x:c>
      <x:c r="V502" s="200" t="n">
        <x:v>0.4777777778</x:v>
      </x:c>
      <x:c r="W502" s="203" t="n">
        <x:v>1450</x:v>
      </x:c>
      <x:c r="X502" s="203" t="n">
        <x:v>59086.9107053747</x:v>
      </x:c>
      <x:c r="Y502" s="203" t="n">
        <x:v>152764.2837195207</x:v>
      </x:c>
      <x:c r="Z502" s="193" t="b">
        <x:v>0</x:v>
      </x:c>
      <x:c r="AA502" s="193" t="b">
        <x:v>0</x:v>
      </x:c>
      <x:c r="AB502" s="193" t="b">
        <x:v>1</x:v>
      </x:c>
      <x:c r="AC502" s="193" t="b">
        <x:v>1</x:v>
      </x:c>
      <x:c r="AD502" s="193" t="b">
        <x:v>1</x:v>
      </x:c>
      <x:c r="AE502" s="193" t="b">
        <x:v>1</x:v>
      </x:c>
      <x:c r="AF502" s="193" t="b">
        <x:v>1</x:v>
      </x:c>
      <x:c r="AG502" s="193" t="b">
        <x:v>1</x:v>
      </x:c>
      <x:c r="AH502" s="193" t="b">
        <x:v>1</x:v>
      </x:c>
      <x:c r="AI502" s="193" t="b">
        <x:v>1</x:v>
      </x:c>
      <x:c r="AJ502" s="193" t="b">
        <x:v>0</x:v>
      </x:c>
    </x:row>
    <x:row r="503">
      <x:c r="A503" s="192" t="n">
        <x:v>782548209247570700</x:v>
      </x:c>
      <x:c r="B503" s="192" t="str">
        <x:v>https://www.airbnb.com.br/rooms/782548209247570691</x:v>
      </x:c>
      <x:c r="C503" s="192" t="str">
        <x:v>03 suítes Meia Praia Vista Mar! ÓTIMA Localização!</x:v>
      </x:c>
      <x:c r="D503" s="192" t="str">
        <x:v>Meia Praia</x:v>
      </x:c>
      <x:c r="E503" s="192" t="n">
        <x:v>-27.13207</x:v>
      </x:c>
      <x:c r="F503" s="192" t="n">
        <x:v>-48.60261</x:v>
      </x:c>
      <x:c r="G503" s="192" t="str">
        <x:v>apartamento</x:v>
      </x:c>
      <x:c r="H503" s="192" t="n">
        <x:v>3</x:v>
      </x:c>
      <x:c r="I503" s="192" t="n">
        <x:v>3</x:v>
      </x:c>
      <x:c r="J503" s="192" t="n">
        <x:v>6</x:v>
      </x:c>
      <x:c r="K503" s="192" t="n">
        <x:v>8</x:v>
      </x:c>
      <x:c r="L503" s="192" t="n">
        <x:v>32</x:v>
      </x:c>
      <x:c r="M503" s="192" t="n">
        <x:v>4.9400000572</x:v>
      </x:c>
      <x:c r="N503" s="192" t="n">
        <x:v>300</x:v>
      </x:c>
      <x:c r="O503" s="192" t="n">
        <x:v>14</x:v>
      </x:c>
      <x:c r="P503" s="193" t="b">
        <x:v>1</x:v>
      </x:c>
      <x:c r="Q503" s="193" t="b">
        <x:v>0</x:v>
      </x:c>
      <x:c r="R503" s="193" t="b">
        <x:v>1</x:v>
      </x:c>
      <x:c r="S503" s="193" t="b">
        <x:v>1</x:v>
      </x:c>
      <x:c r="T503" s="192" t="n">
        <x:v>51</x:v>
      </x:c>
      <x:c r="U503" s="192" t="n">
        <x:v>39</x:v>
      </x:c>
      <x:c r="V503" s="200" t="n">
        <x:v>0.4333333333</x:v>
      </x:c>
      <x:c r="W503" s="203" t="n">
        <x:v>700</x:v>
      </x:c>
      <x:c r="X503" s="203" t="n">
        <x:v>28858.9874057432</x:v>
      </x:c>
      <x:c r="Y503" s="203" t="n">
        <x:v>74612.5070219318</x:v>
      </x:c>
      <x:c r="Z503" s="193" t="b">
        <x:v>1</x:v>
      </x:c>
      <x:c r="AA503" s="193" t="b">
        <x:v>0</x:v>
      </x:c>
      <x:c r="AB503" s="193" t="b">
        <x:v>1</x:v>
      </x:c>
      <x:c r="AC503" s="193" t="b">
        <x:v>1</x:v>
      </x:c>
      <x:c r="AD503" s="193" t="b">
        <x:v>1</x:v>
      </x:c>
      <x:c r="AE503" s="193" t="b">
        <x:v>1</x:v>
      </x:c>
      <x:c r="AF503" s="193" t="b">
        <x:v>1</x:v>
      </x:c>
      <x:c r="AG503" s="193" t="b">
        <x:v>1</x:v>
      </x:c>
      <x:c r="AH503" s="193" t="b">
        <x:v>1</x:v>
      </x:c>
      <x:c r="AI503" s="193" t="b">
        <x:v>1</x:v>
      </x:c>
      <x:c r="AJ503" s="193" t="b">
        <x:v>0</x:v>
      </x:c>
    </x:row>
    <x:row r="504">
      <x:c r="A504" s="192" t="n">
        <x:v>799251513158018600</x:v>
      </x:c>
      <x:c r="B504" s="192" t="str">
        <x:v>https://www.airbnb.com.br/rooms/799251513158018593</x:v>
      </x:c>
      <x:c r="C504" s="192" t="str">
        <x:v>Apartamento Itapema pé na areia</x:v>
      </x:c>
      <x:c r="D504" s="192" t="str">
        <x:v>Morretes</x:v>
      </x:c>
      <x:c r="E504" s="192" t="n">
        <x:v>-27.1149997711</x:v>
      </x:c>
      <x:c r="F504" s="192" t="n">
        <x:v>-48.6090011597</x:v>
      </x:c>
      <x:c r="G504" s="192" t="str">
        <x:v>apartamento</x:v>
      </x:c>
      <x:c r="H504" s="192" t="n">
        <x:v>3</x:v>
      </x:c>
      <x:c r="I504" s="192" t="n">
        <x:v>2</x:v>
      </x:c>
      <x:c r="J504" s="192" t="n">
        <x:v>4</x:v>
      </x:c>
      <x:c r="K504" s="192" t="n">
        <x:v>6</x:v>
      </x:c>
      <x:c r="L504" s="192" t="n">
        <x:v>26</x:v>
      </x:c>
      <x:c r="M504" s="192" t="n">
        <x:v>4.9600000381</x:v>
      </x:c>
      <x:c r="N504" s="192" t="n">
        <x:v>250</x:v>
      </x:c>
      <x:c r="O504" s="192" t="n">
        <x:v>33</x:v>
      </x:c>
      <x:c r="P504" s="193" t="b">
        <x:v>0</x:v>
      </x:c>
      <x:c r="Q504" s="193" t="b">
        <x:v>0</x:v>
      </x:c>
      <x:c r="R504" s="193" t="b">
        <x:v>1</x:v>
      </x:c>
      <x:c r="S504" s="193" t="b">
        <x:v>1</x:v>
      </x:c>
      <x:c r="T504" s="192" t="n">
        <x:v>51</x:v>
      </x:c>
      <x:c r="U504" s="192" t="n">
        <x:v>39</x:v>
      </x:c>
      <x:c r="V504" s="200" t="n">
        <x:v>0.4333333333</x:v>
      </x:c>
      <x:c r="W504" s="203" t="n">
        <x:v>500</x:v>
      </x:c>
      <x:c r="X504" s="203" t="n">
        <x:v>19803.8526664226</x:v>
      </x:c>
      <x:c r="Y504" s="203" t="n">
        <x:v>51201.2107479802</x:v>
      </x:c>
      <x:c r="Z504" s="193" t="b">
        <x:v>0</x:v>
      </x:c>
      <x:c r="AA504" s="193" t="b">
        <x:v>0</x:v>
      </x:c>
      <x:c r="AB504" s="193" t="b">
        <x:v>1</x:v>
      </x:c>
      <x:c r="AC504" s="193" t="b">
        <x:v>1</x:v>
      </x:c>
      <x:c r="AD504" s="193" t="b">
        <x:v>0</x:v>
      </x:c>
      <x:c r="AE504" s="193" t="b">
        <x:v>1</x:v>
      </x:c>
      <x:c r="AF504" s="193" t="b">
        <x:v>1</x:v>
      </x:c>
      <x:c r="AG504" s="193" t="b">
        <x:v>1</x:v>
      </x:c>
      <x:c r="AH504" s="193" t="b">
        <x:v>1</x:v>
      </x:c>
      <x:c r="AI504" s="193" t="b">
        <x:v>1</x:v>
      </x:c>
      <x:c r="AJ504" s="193" t="b">
        <x:v>1</x:v>
      </x:c>
    </x:row>
    <x:row r="505">
      <x:c r="A505" s="192" t="n">
        <x:v>1153552657765472300</x:v>
      </x:c>
      <x:c r="B505" s="192" t="str">
        <x:v>https://www.airbnb.com.br/rooms/1153552657765472365</x:v>
      </x:c>
      <x:c r="C505" s="192" t="str">
        <x:v>A 2 quadras da praia em Itapema Vm7682</x:v>
      </x:c>
      <x:c r="D505" s="192" t="str">
        <x:v>Centro</x:v>
      </x:c>
      <x:c r="E505" s="192" t="n">
        <x:v>-27.0998145892</x:v>
      </x:c>
      <x:c r="F505" s="192" t="n">
        <x:v>-48.6161954122</x:v>
      </x:c>
      <x:c r="G505" s="192" t="str">
        <x:v>apartamento</x:v>
      </x:c>
      <x:c r="H505" s="192" t="n">
        <x:v>2</x:v>
      </x:c>
      <x:c r="I505" s="192" t="n">
        <x:v>2</x:v>
      </x:c>
      <x:c r="J505" s="192" t="n">
        <x:v>3</x:v>
      </x:c>
      <x:c r="K505" s="192" t="n">
        <x:v>4</x:v>
      </x:c>
      <x:c r="L505" s="192" t="n">
        <x:v>5</x:v>
      </x:c>
      <x:c r="M505" s="192" t="n">
        <x:v>5</x:v>
      </x:c>
      <x:c r="N505" s="192" t="n">
        <x:v>324</x:v>
      </x:c>
      <x:c r="O505" s="192" t="n">
        <x:v>0</x:v>
      </x:c>
      <x:c r="P505" s="193" t="b">
        <x:v>1</x:v>
      </x:c>
      <x:c r="Q505" s="193" t="b">
        <x:v>1</x:v>
      </x:c>
      <x:c r="R505" s="193" t="b">
        <x:v>1</x:v>
      </x:c>
      <x:c r="S505" s="193" t="b">
        <x:v>0</x:v>
      </x:c>
      <x:c r="T505" s="192" t="n">
        <x:v>35</x:v>
      </x:c>
      <x:c r="U505" s="192" t="n">
        <x:v>55</x:v>
      </x:c>
      <x:c r="V505" s="200" t="n">
        <x:v>0.6111111111</x:v>
      </x:c>
      <x:c r="W505" s="203" t="n">
        <x:v>337.75</x:v>
      </x:c>
      <x:c r="X505" s="203" t="n">
        <x:v>18681.088913697</x:v>
      </x:c>
      <x:c r="Y505" s="203" t="n">
        <x:v>48298.3986289541</x:v>
      </x:c>
      <x:c r="Z505" s="193" t="b">
        <x:v>1</x:v>
      </x:c>
      <x:c r="AA505" s="193" t="b">
        <x:v>0</x:v>
      </x:c>
      <x:c r="AB505" s="193" t="b">
        <x:v>1</x:v>
      </x:c>
      <x:c r="AC505" s="193" t="b">
        <x:v>1</x:v>
      </x:c>
      <x:c r="AD505" s="193" t="b">
        <x:v>1</x:v>
      </x:c>
      <x:c r="AE505" s="193" t="b">
        <x:v>0</x:v>
      </x:c>
      <x:c r="AF505" s="193" t="b">
        <x:v>1</x:v>
      </x:c>
      <x:c r="AG505" s="193" t="b">
        <x:v>0</x:v>
      </x:c>
      <x:c r="AH505" s="193" t="b">
        <x:v>1</x:v>
      </x:c>
      <x:c r="AI505" s="193" t="b">
        <x:v>1</x:v>
      </x:c>
      <x:c r="AJ505" s="193" t="b">
        <x:v>0</x:v>
      </x:c>
    </x:row>
    <x:row r="506">
      <x:c r="A506" s="192" t="n">
        <x:v>633809099013662500</x:v>
      </x:c>
      <x:c r="B506" s="192" t="str">
        <x:v>https://www.airbnb.com.br/rooms/633809099013662442</x:v>
      </x:c>
      <x:c r="C506" s="192" t="str">
        <x:v>Ap super aconchegante à beira mar Meia Praia</x:v>
      </x:c>
      <x:c r="D506" s="192" t="str">
        <x:v>Meia Praia</x:v>
      </x:c>
      <x:c r="E506" s="192" t="n">
        <x:v>-27.1323795319</x:v>
      </x:c>
      <x:c r="F506" s="192" t="n">
        <x:v>-48.5981407166</x:v>
      </x:c>
      <x:c r="G506" s="192" t="str">
        <x:v>apartamento</x:v>
      </x:c>
      <x:c r="H506" s="192" t="n">
        <x:v>3</x:v>
      </x:c>
      <x:c r="I506" s="192" t="n">
        <x:v>2</x:v>
      </x:c>
      <x:c r="J506" s="192" t="n">
        <x:v>3</x:v>
      </x:c>
      <x:c r="K506" s="192" t="n">
        <x:v>7</x:v>
      </x:c>
      <x:c r="L506" s="192" t="n">
        <x:v>40</x:v>
      </x:c>
      <x:c r="M506" s="192" t="n">
        <x:v>4.9800000191</x:v>
      </x:c>
      <x:c r="N506" s="192" t="n">
        <x:v>250</x:v>
      </x:c>
      <x:c r="O506" s="192" t="n">
        <x:v>14</x:v>
      </x:c>
      <x:c r="P506" s="193" t="b">
        <x:v>0</x:v>
      </x:c>
      <x:c r="Q506" s="193" t="b">
        <x:v>0</x:v>
      </x:c>
      <x:c r="R506" s="193" t="b">
        <x:v>1</x:v>
      </x:c>
      <x:c r="S506" s="193" t="b">
        <x:v>1</x:v>
      </x:c>
      <x:c r="T506" s="192" t="n">
        <x:v>42</x:v>
      </x:c>
      <x:c r="U506" s="192" t="n">
        <x:v>48</x:v>
      </x:c>
      <x:c r="V506" s="200" t="n">
        <x:v>0.5333333333</x:v>
      </x:c>
      <x:c r="W506" s="203" t="n">
        <x:v>450</x:v>
      </x:c>
      <x:c r="X506" s="203" t="n">
        <x:v>22404.2552219141</x:v>
      </x:c>
      <x:c r="Y506" s="203" t="n">
        <x:v>57924.3348549904</x:v>
      </x:c>
      <x:c r="Z506" s="193" t="b">
        <x:v>1</x:v>
      </x:c>
      <x:c r="AA506" s="193" t="b">
        <x:v>0</x:v>
      </x:c>
      <x:c r="AB506" s="193" t="b">
        <x:v>1</x:v>
      </x:c>
      <x:c r="AC506" s="193" t="b">
        <x:v>1</x:v>
      </x:c>
      <x:c r="AD506" s="193" t="b">
        <x:v>0</x:v>
      </x:c>
      <x:c r="AE506" s="193" t="b">
        <x:v>1</x:v>
      </x:c>
      <x:c r="AF506" s="193" t="b">
        <x:v>1</x:v>
      </x:c>
      <x:c r="AG506" s="193" t="b">
        <x:v>1</x:v>
      </x:c>
      <x:c r="AH506" s="193" t="b">
        <x:v>1</x:v>
      </x:c>
      <x:c r="AI506" s="193" t="b">
        <x:v>1</x:v>
      </x:c>
      <x:c r="AJ506" s="193" t="b">
        <x:v>0</x:v>
      </x:c>
    </x:row>
    <x:row r="507">
      <x:c r="A507" s="192" t="n">
        <x:v>1139831117529014400</x:v>
      </x:c>
      <x:c r="B507" s="192" t="str">
        <x:v>https://www.airbnb.com.br/rooms/1139831117529014384</x:v>
      </x:c>
      <x:c r="C507" s="192" t="str">
        <x:v>Fantástico Apto vista para o Mar</x:v>
      </x:c>
      <x:c r="D507" s="192" t="str">
        <x:v>Tabuleiro dos Oliveiras</x:v>
      </x:c>
      <x:c r="E507" s="192" t="n">
        <x:v>-27.1081562042</x:v>
      </x:c>
      <x:c r="F507" s="192" t="n">
        <x:v>-48.6141777039</x:v>
      </x:c>
      <x:c r="G507" s="192" t="str">
        <x:v>apartamento</x:v>
      </x:c>
      <x:c r="H507" s="192" t="n">
        <x:v>3</x:v>
      </x:c>
      <x:c r="I507" s="192" t="n">
        <x:v>2</x:v>
      </x:c>
      <x:c r="J507" s="192" t="n">
        <x:v>4</x:v>
      </x:c>
      <x:c r="K507" s="192" t="n">
        <x:v>6</x:v>
      </x:c>
      <x:c r="L507" s="192" t="n">
        <x:v>11</x:v>
      </x:c>
      <x:c r="M507" s="192" t="n">
        <x:v>5</x:v>
      </x:c>
      <x:c r="N507" s="192" t="n">
        <x:v>220</x:v>
      </x:c>
      <x:c r="O507" s="192" t="n">
        <x:v>14</x:v>
      </x:c>
      <x:c r="P507" s="193" t="b">
        <x:v>0</x:v>
      </x:c>
      <x:c r="Q507" s="193" t="b">
        <x:v>0</x:v>
      </x:c>
      <x:c r="R507" s="193" t="b">
        <x:v>1</x:v>
      </x:c>
      <x:c r="S507" s="193" t="b">
        <x:v>1</x:v>
      </x:c>
      <x:c r="T507" s="192" t="n">
        <x:v>78</x:v>
      </x:c>
      <x:c r="U507" s="192" t="n">
        <x:v>12</x:v>
      </x:c>
      <x:c r="V507" s="200" t="n">
        <x:v>0.1333333333</x:v>
      </x:c>
      <x:c r="W507" s="203" t="n">
        <x:v>530</x:v>
      </x:c>
      <x:c r="X507" s="203" t="n">
        <x:v>6371.1428882327</x:v>
      </x:c>
      <x:c r="Y507" s="203" t="n">
        <x:v>16472.0590089517</x:v>
      </x:c>
      <x:c r="Z507" s="193" t="b">
        <x:v>1</x:v>
      </x:c>
      <x:c r="AA507" s="193" t="b">
        <x:v>0</x:v>
      </x:c>
      <x:c r="AB507" s="193" t="b">
        <x:v>1</x:v>
      </x:c>
      <x:c r="AC507" s="193" t="b">
        <x:v>1</x:v>
      </x:c>
      <x:c r="AD507" s="193" t="b">
        <x:v>1</x:v>
      </x:c>
      <x:c r="AE507" s="193" t="b">
        <x:v>0</x:v>
      </x:c>
      <x:c r="AF507" s="193" t="b">
        <x:v>1</x:v>
      </x:c>
      <x:c r="AG507" s="193" t="b">
        <x:v>1</x:v>
      </x:c>
      <x:c r="AH507" s="193" t="b">
        <x:v>1</x:v>
      </x:c>
      <x:c r="AI507" s="193" t="b">
        <x:v>1</x:v>
      </x:c>
      <x:c r="AJ507" s="193" t="b">
        <x:v>0</x:v>
      </x:c>
    </x:row>
    <x:row r="508">
      <x:c r="A508" s="192" t="n">
        <x:v>708045427082372100</x:v>
      </x:c>
      <x:c r="B508" s="192" t="str">
        <x:v>https://www.airbnb.com.br/rooms/708045427082372124</x:v>
      </x:c>
      <x:c r="C508" s="192" t="str">
        <x:v>Frente Mar em Itapema</x:v>
      </x:c>
      <x:c r="D508" s="192" t="str">
        <x:v>Centro</x:v>
      </x:c>
      <x:c r="E508" s="192" t="n">
        <x:v>-27.0943841485</x:v>
      </x:c>
      <x:c r="F508" s="192" t="n">
        <x:v>-48.6122039706</x:v>
      </x:c>
      <x:c r="G508" s="192" t="str">
        <x:v>apartamento</x:v>
      </x:c>
      <x:c r="H508" s="192" t="n">
        <x:v>2</x:v>
      </x:c>
      <x:c r="I508" s="192" t="n">
        <x:v>2</x:v>
      </x:c>
      <x:c r="J508" s="192" t="n">
        <x:v>3</x:v>
      </x:c>
      <x:c r="K508" s="192" t="n">
        <x:v>5</x:v>
      </x:c>
      <x:c r="L508" s="192" t="n">
        <x:v>8</x:v>
      </x:c>
      <x:c r="M508" s="192" t="n">
        <x:v>5</x:v>
      </x:c>
      <x:c r="N508" s="192" t="n">
        <x:v>250</x:v>
      </x:c>
      <x:c r="O508" s="192" t="n">
        <x:v>15</x:v>
      </x:c>
      <x:c r="P508" s="193" t="b">
        <x:v>0</x:v>
      </x:c>
      <x:c r="Q508" s="193" t="b">
        <x:v>0</x:v>
      </x:c>
      <x:c r="R508" s="193" t="b">
        <x:v>1</x:v>
      </x:c>
      <x:c r="S508" s="193" t="b">
        <x:v>0</x:v>
      </x:c>
      <x:c r="T508" s="192" t="n">
        <x:v>90</x:v>
      </x:c>
      <x:c r="U508" s="192" t="n">
        <x:v>0</x:v>
      </x:c>
      <x:c r="V508" s="200" t="n">
        <x:v>0</x:v>
      </x:c>
      <x:c r="W508" s="203" t="n">
        <x:v>1250</x:v>
      </x:c>
      <x:c r="X508" s="203" t="n">
        <x:v>0</x:v>
      </x:c>
      <x:c r="Y508" s="203" t="n">
        <x:v>0</x:v>
      </x:c>
      <x:c r="Z508" s="193" t="b">
        <x:v>1</x:v>
      </x:c>
      <x:c r="AA508" s="193" t="b">
        <x:v>0</x:v>
      </x:c>
      <x:c r="AB508" s="193" t="b">
        <x:v>1</x:v>
      </x:c>
      <x:c r="AC508" s="193" t="b">
        <x:v>1</x:v>
      </x:c>
      <x:c r="AD508" s="193" t="b">
        <x:v>1</x:v>
      </x:c>
      <x:c r="AE508" s="193" t="b">
        <x:v>1</x:v>
      </x:c>
      <x:c r="AF508" s="193" t="b">
        <x:v>1</x:v>
      </x:c>
      <x:c r="AG508" s="193" t="b">
        <x:v>1</x:v>
      </x:c>
      <x:c r="AH508" s="193" t="b">
        <x:v>1</x:v>
      </x:c>
      <x:c r="AI508" s="193" t="b">
        <x:v>1</x:v>
      </x:c>
      <x:c r="AJ508" s="193" t="b">
        <x:v>1</x:v>
      </x:c>
    </x:row>
    <x:row r="509">
      <x:c r="A509" s="192" t="n">
        <x:v>1213824251801309400</x:v>
      </x:c>
      <x:c r="B509" s="192" t="str">
        <x:v>https://www.airbnb.com.br/rooms/1213824251801309412</x:v>
      </x:c>
      <x:c r="C509" s="192" t="str">
        <x:v>Apartamento Charmoso com Churrasqueira SEO0702</x:v>
      </x:c>
      <x:c r="D509" s="192" t="str">
        <x:v>Meia Praia</x:v>
      </x:c>
      <x:c r="E509" s="192" t="n">
        <x:v>-27.1287625</x:v>
      </x:c>
      <x:c r="F509" s="192" t="n">
        <x:v>-48.6023649</x:v>
      </x:c>
      <x:c r="G509" s="192" t="str">
        <x:v>apartamento</x:v>
      </x:c>
      <x:c r="H509" s="192" t="n">
        <x:v>3</x:v>
      </x:c>
      <x:c r="I509" s="192" t="n">
        <x:v>3</x:v>
      </x:c>
      <x:c r="J509" s="192" t="n">
        <x:v>4</x:v>
      </x:c>
      <x:c r="K509" s="192" t="n">
        <x:v>6</x:v>
      </x:c>
      <x:c r="L509" s="192" t="n">
        <x:v>6</x:v>
      </x:c>
      <x:c r="M509" s="192" t="n">
        <x:v>4.5</x:v>
      </x:c>
      <x:c r="N509" s="192" t="n">
        <x:v>456</x:v>
      </x:c>
      <x:c r="O509" s="192" t="n">
        <x:v>0</x:v>
      </x:c>
      <x:c r="P509" s="193" t="b">
        <x:v>1</x:v>
      </x:c>
      <x:c r="Q509" s="193" t="b">
        <x:v>1</x:v>
      </x:c>
      <x:c r="R509" s="193" t="b">
        <x:v>0</x:v>
      </x:c>
      <x:c r="S509" s="193" t="b">
        <x:v>0</x:v>
      </x:c>
      <x:c r="T509" s="192" t="n">
        <x:v>70</x:v>
      </x:c>
      <x:c r="U509" s="192" t="n">
        <x:v>20</x:v>
      </x:c>
      <x:c r="V509" s="200" t="n">
        <x:v>0.2222222222</x:v>
      </x:c>
      <x:c r="W509" s="203" t="n">
        <x:v>941</x:v>
      </x:c>
      <x:c r="X509" s="203" t="n">
        <x:v>18749.3876624287</x:v>
      </x:c>
      <x:c r="Y509" s="203" t="n">
        <x:v>48474.9793522375</x:v>
      </x:c>
      <x:c r="Z509" s="193" t="b">
        <x:v>1</x:v>
      </x:c>
      <x:c r="AA509" s="193" t="b">
        <x:v>0</x:v>
      </x:c>
      <x:c r="AB509" s="193" t="b">
        <x:v>1</x:v>
      </x:c>
      <x:c r="AC509" s="193" t="b">
        <x:v>1</x:v>
      </x:c>
      <x:c r="AD509" s="193" t="b">
        <x:v>1</x:v>
      </x:c>
      <x:c r="AE509" s="193" t="b">
        <x:v>1</x:v>
      </x:c>
      <x:c r="AF509" s="193" t="b">
        <x:v>1</x:v>
      </x:c>
      <x:c r="AG509" s="193" t="b">
        <x:v>1</x:v>
      </x:c>
      <x:c r="AH509" s="193" t="b">
        <x:v>1</x:v>
      </x:c>
      <x:c r="AI509" s="193" t="b">
        <x:v>1</x:v>
      </x:c>
      <x:c r="AJ509" s="193" t="b">
        <x:v>1</x:v>
      </x:c>
    </x:row>
    <x:row r="510">
      <x:c r="A510" s="192" t="n">
        <x:v>1030981527494825000</x:v>
      </x:c>
      <x:c r="B510" s="192" t="str">
        <x:v>https://www.airbnb.com.br/rooms/1030981527494824971</x:v>
      </x:c>
      <x:c r="C510" s="192" t="str">
        <x:v>Marga Rizzon 2 quartos 5 pessoas- Lucas Rizzon</x:v>
      </x:c>
      <x:c r="D510" s="192" t="str">
        <x:v>Morretes</x:v>
      </x:c>
      <x:c r="E510" s="192" t="n">
        <x:v>-27.1189994812</x:v>
      </x:c>
      <x:c r="F510" s="192" t="n">
        <x:v>-48.6160011292</x:v>
      </x:c>
      <x:c r="G510" s="192" t="str">
        <x:v>apartamento</x:v>
      </x:c>
      <x:c r="H510" s="192" t="n">
        <x:v>2</x:v>
      </x:c>
      <x:c r="I510" s="192" t="n">
        <x:v>2</x:v>
      </x:c>
      <x:c r="J510" s="192" t="n">
        <x:v>2</x:v>
      </x:c>
      <x:c r="K510" s="192" t="n">
        <x:v>5</x:v>
      </x:c>
      <x:c r="L510" s="192" t="n">
        <x:v>21</x:v>
      </x:c>
      <x:c r="M510" s="192" t="n">
        <x:v>5</x:v>
      </x:c>
      <x:c r="N510" s="192" t="n">
        <x:v>150</x:v>
      </x:c>
      <x:c r="O510" s="192" t="n">
        <x:v>20</x:v>
      </x:c>
      <x:c r="P510" s="193" t="b">
        <x:v>0</x:v>
      </x:c>
      <x:c r="Q510" s="193" t="b">
        <x:v>0</x:v>
      </x:c>
      <x:c r="R510" s="193" t="b">
        <x:v>1</x:v>
      </x:c>
      <x:c r="S510" s="193" t="b">
        <x:v>1</x:v>
      </x:c>
      <x:c r="T510" s="192" t="n">
        <x:v>27</x:v>
      </x:c>
      <x:c r="U510" s="192" t="n">
        <x:v>63</x:v>
      </x:c>
      <x:c r="V510" s="200" t="n">
        <x:v>0.7</x:v>
      </x:c>
      <x:c r="W510" s="203" t="n">
        <x:v>250</x:v>
      </x:c>
      <x:c r="X510" s="203" t="n">
        <x:v>16074.8234721097</x:v>
      </x:c>
      <x:c r="Y510" s="203" t="n">
        <x:v>41560.116518517</x:v>
      </x:c>
      <x:c r="Z510" s="193" t="b">
        <x:v>1</x:v>
      </x:c>
      <x:c r="AA510" s="193" t="b">
        <x:v>0</x:v>
      </x:c>
      <x:c r="AB510" s="193" t="b">
        <x:v>1</x:v>
      </x:c>
      <x:c r="AC510" s="193" t="b">
        <x:v>1</x:v>
      </x:c>
      <x:c r="AD510" s="193" t="b">
        <x:v>1</x:v>
      </x:c>
      <x:c r="AE510" s="193" t="b">
        <x:v>1</x:v>
      </x:c>
      <x:c r="AF510" s="193" t="b">
        <x:v>0</x:v>
      </x:c>
      <x:c r="AG510" s="193" t="b">
        <x:v>1</x:v>
      </x:c>
      <x:c r="AH510" s="193" t="b">
        <x:v>1</x:v>
      </x:c>
      <x:c r="AI510" s="193" t="b">
        <x:v>1</x:v>
      </x:c>
      <x:c r="AJ510" s="193" t="b">
        <x:v>0</x:v>
      </x:c>
    </x:row>
    <x:row r="511">
      <x:c r="A511" s="192" t="n">
        <x:v>18505349</x:v>
      </x:c>
      <x:c r="B511" s="192" t="str">
        <x:v>https://www.airbnb.com.br/rooms/18505349</x:v>
      </x:c>
      <x:c r="C511" s="192" t="str">
        <x:v>Frente Para Mar - Apto todo Reformado</x:v>
      </x:c>
      <x:c r="D511" s="192" t="str">
        <x:v>Centro</x:v>
      </x:c>
      <x:c r="E511" s="192" t="n">
        <x:v>-27.10681</x:v>
      </x:c>
      <x:c r="F511" s="192" t="n">
        <x:v>-48.61325</x:v>
      </x:c>
      <x:c r="G511" s="192" t="str">
        <x:v>apartamento</x:v>
      </x:c>
      <x:c r="H511" s="192" t="n">
        <x:v>3</x:v>
      </x:c>
      <x:c r="I511" s="192" t="n">
        <x:v>2</x:v>
      </x:c>
      <x:c r="J511" s="192" t="n">
        <x:v>4</x:v>
      </x:c>
      <x:c r="K511" s="192" t="n">
        <x:v>6</x:v>
      </x:c>
      <x:c r="L511" s="192" t="n">
        <x:v>23</x:v>
      </x:c>
      <x:c r="M511" s="192" t="n">
        <x:v>4.8299999237</x:v>
      </x:c>
      <x:c r="N511" s="192" t="n">
        <x:v>380</x:v>
      </x:c>
      <x:c r="O511" s="192" t="n">
        <x:v>27</x:v>
      </x:c>
      <x:c r="P511" s="193" t="b">
        <x:v>0</x:v>
      </x:c>
      <x:c r="Q511" s="193" t="b">
        <x:v>0</x:v>
      </x:c>
      <x:c r="R511" s="193" t="b">
        <x:v>1</x:v>
      </x:c>
      <x:c r="S511" s="193" t="b">
        <x:v>1</x:v>
      </x:c>
      <x:c r="T511" s="192" t="n">
        <x:v>30</x:v>
      </x:c>
      <x:c r="U511" s="192" t="n">
        <x:v>60</x:v>
      </x:c>
      <x:c r="V511" s="200" t="n">
        <x:v>0.6666666667</x:v>
      </x:c>
      <x:c r="W511" s="203" t="n">
        <x:v>628.5</x:v>
      </x:c>
      <x:c r="X511" s="203" t="n">
        <x:v>38726.9306268544</x:v>
      </x:c>
      <x:c r="Y511" s="203" t="n">
        <x:v>100125.2518915132</x:v>
      </x:c>
      <x:c r="Z511" s="193" t="b">
        <x:v>0</x:v>
      </x:c>
      <x:c r="AA511" s="193" t="b">
        <x:v>0</x:v>
      </x:c>
      <x:c r="AB511" s="193" t="b">
        <x:v>1</x:v>
      </x:c>
      <x:c r="AC511" s="193" t="b">
        <x:v>1</x:v>
      </x:c>
      <x:c r="AD511" s="193" t="b">
        <x:v>1</x:v>
      </x:c>
      <x:c r="AE511" s="193" t="b">
        <x:v>1</x:v>
      </x:c>
      <x:c r="AF511" s="193" t="b">
        <x:v>1</x:v>
      </x:c>
      <x:c r="AG511" s="193" t="b">
        <x:v>1</x:v>
      </x:c>
      <x:c r="AH511" s="193" t="b">
        <x:v>1</x:v>
      </x:c>
      <x:c r="AI511" s="193" t="b">
        <x:v>1</x:v>
      </x:c>
      <x:c r="AJ511" s="193" t="b">
        <x:v>1</x:v>
      </x:c>
    </x:row>
    <x:row r="512">
      <x:c r="A512" s="192" t="n">
        <x:v>980310639590708900</x:v>
      </x:c>
      <x:c r="B512" s="192" t="str">
        <x:v>https://www.airbnb.com.br/rooms/980310639590708922</x:v>
      </x:c>
      <x:c r="C512" s="192" t="str">
        <x:v>Apto aconchegante e próx a praia em Itapema RGO702</x:v>
      </x:c>
      <x:c r="D512" s="192" t="str">
        <x:v>Meia Praia</x:v>
      </x:c>
      <x:c r="E512" s="192" t="n">
        <x:v>-27.1399993896</x:v>
      </x:c>
      <x:c r="F512" s="192" t="n">
        <x:v>-48.5979995728</x:v>
      </x:c>
      <x:c r="G512" s="192" t="str">
        <x:v>apartamento</x:v>
      </x:c>
      <x:c r="H512" s="192" t="n">
        <x:v>2</x:v>
      </x:c>
      <x:c r="I512" s="192" t="n">
        <x:v>2</x:v>
      </x:c>
      <x:c r="J512" s="192" t="n">
        <x:v>2</x:v>
      </x:c>
      <x:c r="K512" s="192" t="n">
        <x:v>4</x:v>
      </x:c>
      <x:c r="L512" s="192" t="n">
        <x:v>21</x:v>
      </x:c>
      <x:c r="M512" s="192" t="n">
        <x:v>4.8600001335</x:v>
      </x:c>
      <x:c r="N512" s="192" t="n">
        <x:v>400</x:v>
      </x:c>
      <x:c r="O512" s="192" t="n">
        <x:v>18</x:v>
      </x:c>
      <x:c r="P512" s="193" t="b">
        <x:v>1</x:v>
      </x:c>
      <x:c r="Q512" s="193" t="b">
        <x:v>1</x:v>
      </x:c>
      <x:c r="R512" s="193" t="b">
        <x:v>1</x:v>
      </x:c>
      <x:c r="S512" s="193" t="b">
        <x:v>0</x:v>
      </x:c>
      <x:c r="T512" s="192" t="n">
        <x:v>68</x:v>
      </x:c>
      <x:c r="U512" s="192" t="n">
        <x:v>22</x:v>
      </x:c>
      <x:c r="V512" s="200" t="n">
        <x:v>0.2444444444</x:v>
      </x:c>
      <x:c r="W512" s="203" t="n">
        <x:v>534</x:v>
      </x:c>
      <x:c r="X512" s="203" t="n">
        <x:v>11667.5996473432</x:v>
      </x:c>
      <x:c r="Y512" s="203" t="n">
        <x:v>30165.6065882353</x:v>
      </x:c>
      <x:c r="Z512" s="193" t="b">
        <x:v>1</x:v>
      </x:c>
      <x:c r="AA512" s="193" t="b">
        <x:v>0</x:v>
      </x:c>
      <x:c r="AB512" s="193" t="b">
        <x:v>1</x:v>
      </x:c>
      <x:c r="AC512" s="193" t="b">
        <x:v>1</x:v>
      </x:c>
      <x:c r="AD512" s="193" t="b">
        <x:v>1</x:v>
      </x:c>
      <x:c r="AE512" s="193" t="b">
        <x:v>1</x:v>
      </x:c>
      <x:c r="AF512" s="193" t="b">
        <x:v>1</x:v>
      </x:c>
      <x:c r="AG512" s="193" t="b">
        <x:v>1</x:v>
      </x:c>
      <x:c r="AH512" s="193" t="b">
        <x:v>1</x:v>
      </x:c>
      <x:c r="AI512" s="193" t="b">
        <x:v>1</x:v>
      </x:c>
      <x:c r="AJ512" s="193" t="b">
        <x:v>1</x:v>
      </x:c>
    </x:row>
    <x:row r="513">
      <x:c r="A513" s="192" t="n">
        <x:v>841394344184198000</x:v>
      </x:c>
      <x:c r="B513" s="192" t="str">
        <x:v>https://www.airbnb.com.br/rooms/841394344184198064</x:v>
      </x:c>
      <x:c r="C513" s="192" t="str">
        <x:v>Piscina Privativa &amp; Vista P/ Praia | 3 Suítes</x:v>
      </x:c>
      <x:c r="D513" s="192" t="str">
        <x:v>Centro</x:v>
      </x:c>
      <x:c r="E513" s="192" t="n">
        <x:v>-27.1019992828</x:v>
      </x:c>
      <x:c r="F513" s="192" t="n">
        <x:v>-48.6150016785</x:v>
      </x:c>
      <x:c r="G513" s="192" t="str">
        <x:v>apartamento</x:v>
      </x:c>
      <x:c r="H513" s="192" t="n">
        <x:v>3</x:v>
      </x:c>
      <x:c r="I513" s="192" t="n">
        <x:v>4</x:v>
      </x:c>
      <x:c r="J513" s="192" t="n">
        <x:v>3</x:v>
      </x:c>
      <x:c r="K513" s="192" t="n">
        <x:v>8</x:v>
      </x:c>
      <x:c r="L513" s="192" t="n">
        <x:v>39</x:v>
      </x:c>
      <x:c r="M513" s="192" t="n">
        <x:v>4.9000000954</x:v>
      </x:c>
      <x:c r="N513" s="192" t="n">
        <x:v>290</x:v>
      </x:c>
      <x:c r="O513" s="192" t="n">
        <x:v>31</x:v>
      </x:c>
      <x:c r="P513" s="193" t="b">
        <x:v>0</x:v>
      </x:c>
      <x:c r="Q513" s="193" t="b">
        <x:v>0</x:v>
      </x:c>
      <x:c r="R513" s="193" t="b">
        <x:v>1</x:v>
      </x:c>
      <x:c r="S513" s="193" t="b">
        <x:v>0</x:v>
      </x:c>
      <x:c r="T513" s="192" t="n">
        <x:v>27</x:v>
      </x:c>
      <x:c r="U513" s="192" t="n">
        <x:v>63</x:v>
      </x:c>
      <x:c r="V513" s="200" t="n">
        <x:v>0.7</x:v>
      </x:c>
      <x:c r="W513" s="203" t="n">
        <x:v>600</x:v>
      </x:c>
      <x:c r="X513" s="203" t="n">
        <x:v>37566.7059070893</x:v>
      </x:c>
      <x:c r="Y513" s="203" t="n">
        <x:v>97125.5875639539</x:v>
      </x:c>
      <x:c r="Z513" s="193" t="b">
        <x:v>1</x:v>
      </x:c>
      <x:c r="AA513" s="193" t="b">
        <x:v>1</x:v>
      </x:c>
      <x:c r="AB513" s="193" t="b">
        <x:v>1</x:v>
      </x:c>
      <x:c r="AC513" s="193" t="b">
        <x:v>1</x:v>
      </x:c>
      <x:c r="AD513" s="193" t="b">
        <x:v>1</x:v>
      </x:c>
      <x:c r="AE513" s="193" t="b">
        <x:v>1</x:v>
      </x:c>
      <x:c r="AF513" s="193" t="b">
        <x:v>1</x:v>
      </x:c>
      <x:c r="AG513" s="193" t="b">
        <x:v>1</x:v>
      </x:c>
      <x:c r="AH513" s="193" t="b">
        <x:v>1</x:v>
      </x:c>
      <x:c r="AI513" s="193" t="b">
        <x:v>1</x:v>
      </x:c>
      <x:c r="AJ513" s="193" t="b">
        <x:v>1</x:v>
      </x:c>
    </x:row>
    <x:row r="514">
      <x:c r="A514" s="192" t="n">
        <x:v>12931525</x:v>
      </x:c>
      <x:c r="B514" s="192" t="str">
        <x:v>https://www.airbnb.com.br/rooms/12931525</x:v>
      </x:c>
      <x:c r="C514" s="192" t="str">
        <x:v>Amplo apto e ótima localização Meia Praia Itapema</x:v>
      </x:c>
      <x:c r="D514" s="192" t="str">
        <x:v>Meia Praia</x:v>
      </x:c>
      <x:c r="E514" s="192" t="n">
        <x:v>-27.12938</x:v>
      </x:c>
      <x:c r="F514" s="192" t="n">
        <x:v>-48.602</x:v>
      </x:c>
      <x:c r="G514" s="192" t="str">
        <x:v>apartamento</x:v>
      </x:c>
      <x:c r="H514" s="192" t="n">
        <x:v>3</x:v>
      </x:c>
      <x:c r="I514" s="192" t="n">
        <x:v>1</x:v>
      </x:c>
      <x:c r="J514" s="192" t="n">
        <x:v>3</x:v>
      </x:c>
      <x:c r="K514" s="192" t="n">
        <x:v>6</x:v>
      </x:c>
      <x:c r="L514" s="192" t="n">
        <x:v>20</x:v>
      </x:c>
      <x:c r="M514" s="192" t="n">
        <x:v>4.8499999046</x:v>
      </x:c>
      <x:c r="N514" s="192" t="n">
        <x:v>300</x:v>
      </x:c>
      <x:c r="O514" s="192" t="n">
        <x:v>23</x:v>
      </x:c>
      <x:c r="P514" s="193" t="b">
        <x:v>0</x:v>
      </x:c>
      <x:c r="Q514" s="193" t="b">
        <x:v>1</x:v>
      </x:c>
      <x:c r="R514" s="193" t="b">
        <x:v>0</x:v>
      </x:c>
      <x:c r="S514" s="193" t="b">
        <x:v>0</x:v>
      </x:c>
      <x:c r="T514" s="192" t="n">
        <x:v>45</x:v>
      </x:c>
      <x:c r="U514" s="192" t="n">
        <x:v>45</x:v>
      </x:c>
      <x:c r="V514" s="200" t="n">
        <x:v>0.5</x:v>
      </x:c>
      <x:c r="W514" s="203" t="n">
        <x:v>383.33334</x:v>
      </x:c>
      <x:c r="X514" s="203" t="n">
        <x:v>18138.6495002134</x:v>
      </x:c>
      <x:c r="Y514" s="203" t="n">
        <x:v>46895.9667286767</x:v>
      </x:c>
      <x:c r="Z514" s="193" t="b">
        <x:v>0</x:v>
      </x:c>
      <x:c r="AA514" s="193" t="b">
        <x:v>0</x:v>
      </x:c>
      <x:c r="AB514" s="193" t="b">
        <x:v>1</x:v>
      </x:c>
      <x:c r="AC514" s="193" t="b">
        <x:v>1</x:v>
      </x:c>
      <x:c r="AD514" s="193" t="b">
        <x:v>1</x:v>
      </x:c>
      <x:c r="AE514" s="193" t="b">
        <x:v>1</x:v>
      </x:c>
      <x:c r="AF514" s="193" t="b">
        <x:v>1</x:v>
      </x:c>
      <x:c r="AG514" s="193" t="b">
        <x:v>1</x:v>
      </x:c>
      <x:c r="AH514" s="193" t="b">
        <x:v>1</x:v>
      </x:c>
      <x:c r="AI514" s="193" t="b">
        <x:v>1</x:v>
      </x:c>
      <x:c r="AJ514" s="193" t="b">
        <x:v>1</x:v>
      </x:c>
    </x:row>
    <x:row r="515">
      <x:c r="A515" s="192" t="n">
        <x:v>1283982403734255400</x:v>
      </x:c>
      <x:c r="B515" s="192" t="str">
        <x:v>https://www.airbnb.com.br/rooms/1283982403734255309</x:v>
      </x:c>
      <x:c r="C515" s="192" t="str">
        <x:v>Charmoso apto vista mar 280m da Praia MHF1907</x:v>
      </x:c>
      <x:c r="D515" s="192" t="str">
        <x:v>Centro</x:v>
      </x:c>
      <x:c r="E515" s="192" t="n">
        <x:v>-27.09364394</x:v>
      </x:c>
      <x:c r="F515" s="192" t="n">
        <x:v>-48.6130949487</x:v>
      </x:c>
      <x:c r="G515" s="192" t="str">
        <x:v>apartamento</x:v>
      </x:c>
      <x:c r="H515" s="192" t="n">
        <x:v>1</x:v>
      </x:c>
      <x:c r="I515" s="192" t="n">
        <x:v>1</x:v>
      </x:c>
      <x:c r="J515" s="192" t="n">
        <x:v>2</x:v>
      </x:c>
      <x:c r="K515" s="192" t="n">
        <x:v>4</x:v>
      </x:c>
      <x:c r="L515" s="192" t="n">
        <x:v>11</x:v>
      </x:c>
      <x:c r="M515" s="192" t="n">
        <x:v>4.9099998474</x:v>
      </x:c>
      <x:c r="N515" s="192" t="n">
        <x:v>190</x:v>
      </x:c>
      <x:c r="O515" s="192" t="n">
        <x:v>0</x:v>
      </x:c>
      <x:c r="P515" s="193" t="b">
        <x:v>1</x:v>
      </x:c>
      <x:c r="Q515" s="193" t="b">
        <x:v>1</x:v>
      </x:c>
      <x:c r="R515" s="193" t="b">
        <x:v>1</x:v>
      </x:c>
      <x:c r="S515" s="193" t="b">
        <x:v>0</x:v>
      </x:c>
      <x:c r="T515" s="192" t="n">
        <x:v>62</x:v>
      </x:c>
      <x:c r="U515" s="192" t="n">
        <x:v>28</x:v>
      </x:c>
      <x:c r="V515" s="200" t="n">
        <x:v>0.3111111111</x:v>
      </x:c>
      <x:c r="W515" s="203" t="n">
        <x:v>471</x:v>
      </x:c>
      <x:c r="X515" s="203" t="n">
        <x:v>13916.810606647</x:v>
      </x:c>
      <x:c r="Y515" s="203" t="n">
        <x:v>35980.7540892686</x:v>
      </x:c>
      <x:c r="Z515" s="193" t="b">
        <x:v>1</x:v>
      </x:c>
      <x:c r="AA515" s="193" t="b">
        <x:v>1</x:v>
      </x:c>
      <x:c r="AB515" s="193" t="b">
        <x:v>1</x:v>
      </x:c>
      <x:c r="AC515" s="193" t="b">
        <x:v>1</x:v>
      </x:c>
      <x:c r="AD515" s="193" t="b">
        <x:v>1</x:v>
      </x:c>
      <x:c r="AE515" s="193" t="b">
        <x:v>1</x:v>
      </x:c>
      <x:c r="AF515" s="193" t="b">
        <x:v>1</x:v>
      </x:c>
      <x:c r="AG515" s="193" t="b">
        <x:v>1</x:v>
      </x:c>
      <x:c r="AH515" s="193" t="b">
        <x:v>1</x:v>
      </x:c>
      <x:c r="AI515" s="193" t="b">
        <x:v>1</x:v>
      </x:c>
      <x:c r="AJ515" s="193" t="b">
        <x:v>0</x:v>
      </x:c>
    </x:row>
    <x:row r="516">
      <x:c r="A516" s="192" t="n">
        <x:v>599368528094352800</x:v>
      </x:c>
      <x:c r="B516" s="192" t="str">
        <x:v>https://www.airbnb.com.br/rooms/599368528094352718</x:v>
      </x:c>
      <x:c r="C516" s="192" t="str">
        <x:v>80% Desc TOP 3 Suítes finamente decorado próx  mar</x:v>
      </x:c>
      <x:c r="D516" s="192" t="str">
        <x:v>Meia Praia</x:v>
      </x:c>
      <x:c r="E516" s="192" t="n">
        <x:v>-27.136614</x:v>
      </x:c>
      <x:c r="F516" s="192" t="n">
        <x:v>-48.596977</x:v>
      </x:c>
      <x:c r="G516" s="192" t="str">
        <x:v>apartamento</x:v>
      </x:c>
      <x:c r="H516" s="192" t="n">
        <x:v>3</x:v>
      </x:c>
      <x:c r="I516" s="192" t="n">
        <x:v>0</x:v>
      </x:c>
      <x:c r="J516" s="192" t="n">
        <x:v>3</x:v>
      </x:c>
      <x:c r="K516" s="192" t="n">
        <x:v>6</x:v>
      </x:c>
      <x:c r="L516" s="192" t="n">
        <x:v>48</x:v>
      </x:c>
      <x:c r="M516" s="192" t="n">
        <x:v>4.9600000381</x:v>
      </x:c>
      <x:c r="N516" s="192" t="n">
        <x:v>300</x:v>
      </x:c>
      <x:c r="O516" s="192" t="n">
        <x:v>73</x:v>
      </x:c>
      <x:c r="P516" s="193" t="b">
        <x:v>1</x:v>
      </x:c>
      <x:c r="Q516" s="193" t="b">
        <x:v>0</x:v>
      </x:c>
      <x:c r="R516" s="193" t="b">
        <x:v>1</x:v>
      </x:c>
      <x:c r="S516" s="193" t="b">
        <x:v>1</x:v>
      </x:c>
      <x:c r="T516" s="192" t="n">
        <x:v>22</x:v>
      </x:c>
      <x:c r="U516" s="192" t="n">
        <x:v>68</x:v>
      </x:c>
      <x:c r="V516" s="200" t="n">
        <x:v>0.7555555556</x:v>
      </x:c>
      <x:c r="W516" s="203" t="n">
        <x:v>299.5</x:v>
      </x:c>
      <x:c r="X516" s="203" t="n">
        <x:v>20553.0114436968</x:v>
      </x:c>
      <x:c r="Y516" s="203" t="n">
        <x:v>53138.0983367245</x:v>
      </x:c>
      <x:c r="Z516" s="193" t="b">
        <x:v>0</x:v>
      </x:c>
      <x:c r="AA516" s="193" t="b">
        <x:v>1</x:v>
      </x:c>
      <x:c r="AB516" s="193" t="b">
        <x:v>1</x:v>
      </x:c>
      <x:c r="AC516" s="193" t="b">
        <x:v>1</x:v>
      </x:c>
      <x:c r="AD516" s="193" t="b">
        <x:v>1</x:v>
      </x:c>
      <x:c r="AE516" s="193" t="b">
        <x:v>1</x:v>
      </x:c>
      <x:c r="AF516" s="193" t="b">
        <x:v>1</x:v>
      </x:c>
      <x:c r="AG516" s="193" t="b">
        <x:v>1</x:v>
      </x:c>
      <x:c r="AH516" s="193" t="b">
        <x:v>1</x:v>
      </x:c>
      <x:c r="AI516" s="193" t="b">
        <x:v>1</x:v>
      </x:c>
      <x:c r="AJ516" s="193" t="b">
        <x:v>1</x:v>
      </x:c>
    </x:row>
    <x:row r="517">
      <x:c r="A517" s="192" t="n">
        <x:v>628340205412932100</x:v>
      </x:c>
      <x:c r="B517" s="192" t="str">
        <x:v>https://www.airbnb.com.br/rooms/628340205412932131</x:v>
      </x:c>
      <x:c r="C517" s="192" t="str">
        <x:v>Apartamento Encantador com vista para o Mar!</x:v>
      </x:c>
      <x:c r="D517" s="192" t="str">
        <x:v>Morretes</x:v>
      </x:c>
      <x:c r="E517" s="192" t="n">
        <x:v>-27.115776</x:v>
      </x:c>
      <x:c r="F517" s="192" t="n">
        <x:v>-48.610996</x:v>
      </x:c>
      <x:c r="G517" s="192" t="str">
        <x:v>apartamento</x:v>
      </x:c>
      <x:c r="H517" s="192" t="n">
        <x:v>1</x:v>
      </x:c>
      <x:c r="I517" s="192" t="n">
        <x:v>1</x:v>
      </x:c>
      <x:c r="J517" s="192" t="n">
        <x:v>2</x:v>
      </x:c>
      <x:c r="K517" s="192" t="n">
        <x:v>4</x:v>
      </x:c>
      <x:c r="L517" s="192" t="n">
        <x:v>27</x:v>
      </x:c>
      <x:c r="M517" s="192" t="n">
        <x:v>4.9600000381</x:v>
      </x:c>
      <x:c r="N517" s="192" t="n">
        <x:v>60</x:v>
      </x:c>
      <x:c r="O517" s="192" t="n">
        <x:v>34</x:v>
      </x:c>
      <x:c r="P517" s="193" t="b">
        <x:v>0</x:v>
      </x:c>
      <x:c r="Q517" s="193" t="b">
        <x:v>0</x:v>
      </x:c>
      <x:c r="R517" s="193" t="b">
        <x:v>1</x:v>
      </x:c>
      <x:c r="S517" s="193" t="b">
        <x:v>1</x:v>
      </x:c>
      <x:c r="T517" s="192" t="n">
        <x:v>10</x:v>
      </x:c>
      <x:c r="U517" s="192" t="n">
        <x:v>80</x:v>
      </x:c>
      <x:c r="V517" s="200" t="n">
        <x:v>0.8888888889</x:v>
      </x:c>
      <x:c r="W517" s="203" t="n">
        <x:v>400</x:v>
      </x:c>
      <x:c r="X517" s="203" t="n">
        <x:v>31347.4495568079</x:v>
      </x:c>
      <x:c r="Y517" s="203" t="n">
        <x:v>81046.2185416638</x:v>
      </x:c>
      <x:c r="Z517" s="193" t="b">
        <x:v>0</x:v>
      </x:c>
      <x:c r="AA517" s="193" t="b">
        <x:v>0</x:v>
      </x:c>
      <x:c r="AB517" s="193" t="b">
        <x:v>1</x:v>
      </x:c>
      <x:c r="AC517" s="193" t="b">
        <x:v>1</x:v>
      </x:c>
      <x:c r="AD517" s="193" t="b">
        <x:v>1</x:v>
      </x:c>
      <x:c r="AE517" s="193" t="b">
        <x:v>1</x:v>
      </x:c>
      <x:c r="AF517" s="193" t="b">
        <x:v>0</x:v>
      </x:c>
      <x:c r="AG517" s="193" t="b">
        <x:v>1</x:v>
      </x:c>
      <x:c r="AH517" s="193" t="b">
        <x:v>1</x:v>
      </x:c>
      <x:c r="AI517" s="193" t="b">
        <x:v>1</x:v>
      </x:c>
      <x:c r="AJ517" s="193" t="b">
        <x:v>1</x:v>
      </x:c>
    </x:row>
    <x:row r="518">
      <x:c r="A518" s="192" t="n">
        <x:v>739015384619300200</x:v>
      </x:c>
      <x:c r="B518" s="192" t="str">
        <x:v>https://www.airbnb.com.br/rooms/739015384619300207</x:v>
      </x:c>
      <x:c r="C518" s="192" t="str">
        <x:v>(220) Vista para o mar com 4 amplas suítes</x:v>
      </x:c>
      <x:c r="D518" s="192" t="str">
        <x:v>Meia Praia</x:v>
      </x:c>
      <x:c r="E518" s="192" t="n">
        <x:v>-27.12201</x:v>
      </x:c>
      <x:c r="F518" s="192" t="n">
        <x:v>-48.60579</x:v>
      </x:c>
      <x:c r="G518" s="192" t="str">
        <x:v>apartamento</x:v>
      </x:c>
      <x:c r="H518" s="192" t="n">
        <x:v>4</x:v>
      </x:c>
      <x:c r="I518" s="192" t="n">
        <x:v>5</x:v>
      </x:c>
      <x:c r="J518" s="192" t="n">
        <x:v>5</x:v>
      </x:c>
      <x:c r="K518" s="192" t="n">
        <x:v>12</x:v>
      </x:c>
      <x:c r="L518" s="192" t="n">
        <x:v>45</x:v>
      </x:c>
      <x:c r="M518" s="192" t="n">
        <x:v>4.8699998856</x:v>
      </x:c>
      <x:c r="N518" s="192" t="n">
        <x:v>300</x:v>
      </x:c>
      <x:c r="O518" s="192" t="n">
        <x:v>66</x:v>
      </x:c>
      <x:c r="P518" s="193" t="b">
        <x:v>0</x:v>
      </x:c>
      <x:c r="Q518" s="193" t="b">
        <x:v>1</x:v>
      </x:c>
      <x:c r="R518" s="193" t="b">
        <x:v>1</x:v>
      </x:c>
      <x:c r="S518" s="193" t="b">
        <x:v>1</x:v>
      </x:c>
      <x:c r="T518" s="192" t="n">
        <x:v>58</x:v>
      </x:c>
      <x:c r="U518" s="192" t="n">
        <x:v>32</x:v>
      </x:c>
      <x:c r="V518" s="200" t="n">
        <x:v>0.3555555556</x:v>
      </x:c>
      <x:c r="W518" s="203" t="n">
        <x:v>1604</x:v>
      </x:c>
      <x:c r="X518" s="203" t="n">
        <x:v>49619.7595097065</x:v>
      </x:c>
      <x:c r="Y518" s="203" t="n">
        <x:v>128287.753232387</x:v>
      </x:c>
      <x:c r="Z518" s="193" t="b">
        <x:v>1</x:v>
      </x:c>
      <x:c r="AA518" s="193" t="b">
        <x:v>0</x:v>
      </x:c>
      <x:c r="AB518" s="193" t="b">
        <x:v>1</x:v>
      </x:c>
      <x:c r="AC518" s="193" t="b">
        <x:v>1</x:v>
      </x:c>
      <x:c r="AD518" s="193" t="b">
        <x:v>0</x:v>
      </x:c>
      <x:c r="AE518" s="193" t="b">
        <x:v>0</x:v>
      </x:c>
      <x:c r="AF518" s="193" t="b">
        <x:v>1</x:v>
      </x:c>
      <x:c r="AG518" s="193" t="b">
        <x:v>1</x:v>
      </x:c>
      <x:c r="AH518" s="193" t="b">
        <x:v>1</x:v>
      </x:c>
      <x:c r="AI518" s="193" t="b">
        <x:v>1</x:v>
      </x:c>
      <x:c r="AJ518" s="193" t="b">
        <x:v>1</x:v>
      </x:c>
    </x:row>
    <x:row r="519">
      <x:c r="A519" s="192" t="n">
        <x:v>1259534245145609000</x:v>
      </x:c>
      <x:c r="B519" s="192" t="str">
        <x:v>https://www.airbnb.com.br/rooms/1259534245145609058</x:v>
      </x:c>
      <x:c r="C519" s="192" t="str">
        <x:v>Studio Sofisticado Vista Mar e Lazer! MHFA1607</x:v>
      </x:c>
      <x:c r="D519" s="192" t="str">
        <x:v>Centro</x:v>
      </x:c>
      <x:c r="E519" s="192" t="n">
        <x:v>-27.0927395</x:v>
      </x:c>
      <x:c r="F519" s="192" t="n">
        <x:v>-48.6133933</x:v>
      </x:c>
      <x:c r="G519" s="192" t="str">
        <x:v>apartamento</x:v>
      </x:c>
      <x:c r="H519" s="192" t="n">
        <x:v>1</x:v>
      </x:c>
      <x:c r="I519" s="192" t="n">
        <x:v>1</x:v>
      </x:c>
      <x:c r="J519" s="192" t="n">
        <x:v>1</x:v>
      </x:c>
      <x:c r="K519" s="192" t="n">
        <x:v>2</x:v>
      </x:c>
      <x:c r="L519" s="192" t="n">
        <x:v>10</x:v>
      </x:c>
      <x:c r="M519" s="192" t="n">
        <x:v>5</x:v>
      </x:c>
      <x:c r="N519" s="192" t="n">
        <x:v>150</x:v>
      </x:c>
      <x:c r="O519" s="192" t="n">
        <x:v>0</x:v>
      </x:c>
      <x:c r="P519" s="193" t="b">
        <x:v>1</x:v>
      </x:c>
      <x:c r="Q519" s="193" t="b">
        <x:v>1</x:v>
      </x:c>
      <x:c r="R519" s="193" t="b">
        <x:v>1</x:v>
      </x:c>
      <x:c r="S519" s="193" t="b">
        <x:v>0</x:v>
      </x:c>
      <x:c r="T519" s="192" t="n">
        <x:v>54</x:v>
      </x:c>
      <x:c r="U519" s="192" t="n">
        <x:v>36</x:v>
      </x:c>
      <x:c r="V519" s="200" t="n">
        <x:v>0.4</x:v>
      </x:c>
      <x:c r="W519" s="203" t="n">
        <x:v>377.5</x:v>
      </x:c>
      <x:c r="X519" s="203" t="n">
        <x:v>13705.3627884746</x:v>
      </x:c>
      <x:c r="Y519" s="203" t="n">
        <x:v>35434.0733760353</x:v>
      </x:c>
      <x:c r="Z519" s="193" t="b">
        <x:v>1</x:v>
      </x:c>
      <x:c r="AA519" s="193" t="b">
        <x:v>1</x:v>
      </x:c>
      <x:c r="AB519" s="193" t="b">
        <x:v>1</x:v>
      </x:c>
      <x:c r="AC519" s="193" t="b">
        <x:v>1</x:v>
      </x:c>
      <x:c r="AD519" s="193" t="b">
        <x:v>1</x:v>
      </x:c>
      <x:c r="AE519" s="193" t="b">
        <x:v>1</x:v>
      </x:c>
      <x:c r="AF519" s="193" t="b">
        <x:v>1</x:v>
      </x:c>
      <x:c r="AG519" s="193" t="b">
        <x:v>1</x:v>
      </x:c>
      <x:c r="AH519" s="193" t="b">
        <x:v>1</x:v>
      </x:c>
      <x:c r="AI519" s="193" t="b">
        <x:v>1</x:v>
      </x:c>
      <x:c r="AJ519" s="193" t="b">
        <x:v>0</x:v>
      </x:c>
    </x:row>
    <x:row r="520">
      <x:c r="A520" s="192" t="n">
        <x:v>894985131313802000</x:v>
      </x:c>
      <x:c r="B520" s="192" t="str">
        <x:v>https://www.airbnb.com.br/rooms/894985131313802009</x:v>
      </x:c>
      <x:c r="C520" s="192" t="str">
        <x:v>Amplo apto 7 min do mar na Meia Praia EIO203</x:v>
      </x:c>
      <x:c r="D520" s="192" t="str">
        <x:v>Meia Praia</x:v>
      </x:c>
      <x:c r="E520" s="192" t="n">
        <x:v>-27.1320209503</x:v>
      </x:c>
      <x:c r="F520" s="192" t="n">
        <x:v>-48.600151062</x:v>
      </x:c>
      <x:c r="G520" s="192" t="str">
        <x:v>apartamento</x:v>
      </x:c>
      <x:c r="H520" s="192" t="n">
        <x:v>3</x:v>
      </x:c>
      <x:c r="I520" s="192" t="n">
        <x:v>2</x:v>
      </x:c>
      <x:c r="J520" s="192" t="n">
        <x:v>3</x:v>
      </x:c>
      <x:c r="K520" s="192" t="n">
        <x:v>8</x:v>
      </x:c>
      <x:c r="L520" s="192" t="n">
        <x:v>6</x:v>
      </x:c>
      <x:c r="M520" s="192" t="n">
        <x:v>4.3299999237</x:v>
      </x:c>
      <x:c r="N520" s="192" t="n">
        <x:v>484</x:v>
      </x:c>
      <x:c r="O520" s="192" t="n">
        <x:v>35</x:v>
      </x:c>
      <x:c r="P520" s="193" t="b">
        <x:v>1</x:v>
      </x:c>
      <x:c r="Q520" s="193" t="b">
        <x:v>1</x:v>
      </x:c>
      <x:c r="R520" s="193" t="b">
        <x:v>0</x:v>
      </x:c>
      <x:c r="S520" s="193" t="b">
        <x:v>0</x:v>
      </x:c>
      <x:c r="T520" s="192" t="n">
        <x:v>64</x:v>
      </x:c>
      <x:c r="U520" s="192" t="n">
        <x:v>26</x:v>
      </x:c>
      <x:c r="V520" s="200" t="n">
        <x:v>0.2888888889</x:v>
      </x:c>
      <x:c r="W520" s="203" t="n">
        <x:v>560</x:v>
      </x:c>
      <x:c r="X520" s="203" t="n">
        <x:v>14522.3642199482</x:v>
      </x:c>
      <x:c r="Y520" s="203" t="n">
        <x:v>37546.3624936578</x:v>
      </x:c>
      <x:c r="Z520" s="193" t="b">
        <x:v>1</x:v>
      </x:c>
      <x:c r="AA520" s="193" t="b">
        <x:v>0</x:v>
      </x:c>
      <x:c r="AB520" s="193" t="b">
        <x:v>1</x:v>
      </x:c>
      <x:c r="AC520" s="193" t="b">
        <x:v>1</x:v>
      </x:c>
      <x:c r="AD520" s="193" t="b">
        <x:v>1</x:v>
      </x:c>
      <x:c r="AE520" s="193" t="b">
        <x:v>1</x:v>
      </x:c>
      <x:c r="AF520" s="193" t="b">
        <x:v>1</x:v>
      </x:c>
      <x:c r="AG520" s="193" t="b">
        <x:v>1</x:v>
      </x:c>
      <x:c r="AH520" s="193" t="b">
        <x:v>1</x:v>
      </x:c>
      <x:c r="AI520" s="193" t="b">
        <x:v>1</x:v>
      </x:c>
      <x:c r="AJ520" s="193" t="b">
        <x:v>1</x:v>
      </x:c>
    </x:row>
    <x:row r="521">
      <x:c r="A521" s="192" t="n">
        <x:v>53337464</x:v>
      </x:c>
      <x:c r="B521" s="192" t="str">
        <x:v>https://www.airbnb.com.br/rooms/53337464</x:v>
      </x:c>
      <x:c r="C521" s="192" t="str">
        <x:v>Apartamento pertíssimo da praia!</x:v>
      </x:c>
      <x:c r="D521" s="192" t="str">
        <x:v>Meia Praia</x:v>
      </x:c>
      <x:c r="E521" s="192" t="n">
        <x:v>-27.14161</x:v>
      </x:c>
      <x:c r="F521" s="192" t="n">
        <x:v>-48.58837</x:v>
      </x:c>
      <x:c r="G521" s="192" t="str">
        <x:v>apartamento</x:v>
      </x:c>
      <x:c r="H521" s="192" t="n">
        <x:v>2</x:v>
      </x:c>
      <x:c r="I521" s="192" t="n">
        <x:v>2</x:v>
      </x:c>
      <x:c r="J521" s="192" t="n">
        <x:v>3</x:v>
      </x:c>
      <x:c r="K521" s="192" t="n">
        <x:v>6</x:v>
      </x:c>
      <x:c r="L521" s="192" t="n">
        <x:v>14</x:v>
      </x:c>
      <x:c r="M521" s="192" t="n">
        <x:v>5</x:v>
      </x:c>
      <x:c r="N521" s="192" t="n">
        <x:v>250</x:v>
      </x:c>
      <x:c r="O521" s="192" t="n">
        <x:v>11</x:v>
      </x:c>
      <x:c r="P521" s="193" t="b">
        <x:v>0</x:v>
      </x:c>
      <x:c r="Q521" s="193" t="b">
        <x:v>0</x:v>
      </x:c>
      <x:c r="R521" s="193" t="b">
        <x:v>1</x:v>
      </x:c>
      <x:c r="S521" s="193" t="b">
        <x:v>0</x:v>
      </x:c>
      <x:c r="T521" s="192" t="n">
        <x:v>89</x:v>
      </x:c>
      <x:c r="U521" s="192" t="n">
        <x:v>1</x:v>
      </x:c>
      <x:c r="V521" s="200" t="n">
        <x:v>0.0111111111</x:v>
      </x:c>
      <x:c r="W521" s="203" t="n">
        <x:v>550</x:v>
      </x:c>
      <x:c r="X521" s="203" t="n">
        <x:v>553.5803426539</x:v>
      </x:c>
      <x:c r="Y521" s="203" t="n">
        <x:v>1431.2358442364</x:v>
      </x:c>
      <x:c r="Z521" s="193" t="b">
        <x:v>1</x:v>
      </x:c>
      <x:c r="AA521" s="193" t="b">
        <x:v>0</x:v>
      </x:c>
      <x:c r="AB521" s="193" t="b">
        <x:v>1</x:v>
      </x:c>
      <x:c r="AC521" s="193" t="b">
        <x:v>1</x:v>
      </x:c>
      <x:c r="AD521" s="193" t="b">
        <x:v>1</x:v>
      </x:c>
      <x:c r="AE521" s="193" t="b">
        <x:v>1</x:v>
      </x:c>
      <x:c r="AF521" s="193" t="b">
        <x:v>1</x:v>
      </x:c>
      <x:c r="AG521" s="193" t="b">
        <x:v>1</x:v>
      </x:c>
      <x:c r="AH521" s="193" t="b">
        <x:v>1</x:v>
      </x:c>
      <x:c r="AI521" s="193" t="b">
        <x:v>1</x:v>
      </x:c>
      <x:c r="AJ521" s="193" t="b">
        <x:v>1</x:v>
      </x:c>
    </x:row>
    <x:row r="522">
      <x:c r="A522" s="192" t="n">
        <x:v>1238321506456104000</x:v>
      </x:c>
      <x:c r="B522" s="192" t="str">
        <x:v>https://www.airbnb.com.br/rooms/1238321506456103932</x:v>
      </x:c>
      <x:c r="C522" s="192" t="str">
        <x:v>Apto a apenas 280m da Praia em Itapema MHF1609</x:v>
      </x:c>
      <x:c r="D522" s="192" t="str">
        <x:v>Centro</x:v>
      </x:c>
      <x:c r="E522" s="192" t="n">
        <x:v>-27.0936893</x:v>
      </x:c>
      <x:c r="F522" s="192" t="n">
        <x:v>-48.6131638</x:v>
      </x:c>
      <x:c r="G522" s="192" t="str">
        <x:v>apartamento</x:v>
      </x:c>
      <x:c r="H522" s="192" t="n">
        <x:v>2</x:v>
      </x:c>
      <x:c r="I522" s="192" t="n">
        <x:v>2</x:v>
      </x:c>
      <x:c r="J522" s="192" t="n">
        <x:v>3</x:v>
      </x:c>
      <x:c r="K522" s="192" t="n">
        <x:v>6</x:v>
      </x:c>
      <x:c r="L522" s="192" t="n">
        <x:v>9</x:v>
      </x:c>
      <x:c r="M522" s="192" t="n">
        <x:v>4.6700000763</x:v>
      </x:c>
      <x:c r="N522" s="192" t="n">
        <x:v>240</x:v>
      </x:c>
      <x:c r="O522" s="192" t="n">
        <x:v>0</x:v>
      </x:c>
      <x:c r="P522" s="193" t="b">
        <x:v>1</x:v>
      </x:c>
      <x:c r="Q522" s="193" t="b">
        <x:v>1</x:v>
      </x:c>
      <x:c r="R522" s="193" t="b">
        <x:v>0</x:v>
      </x:c>
      <x:c r="S522" s="193" t="b">
        <x:v>0</x:v>
      </x:c>
      <x:c r="T522" s="192" t="n">
        <x:v>76</x:v>
      </x:c>
      <x:c r="U522" s="192" t="n">
        <x:v>14</x:v>
      </x:c>
      <x:c r="V522" s="200" t="n">
        <x:v>0.1555555556</x:v>
      </x:c>
      <x:c r="W522" s="203" t="n">
        <x:v>715</x:v>
      </x:c>
      <x:c r="X522" s="203" t="n">
        <x:v>10060.6117265522</x:v>
      </x:c>
      <x:c r="Y522" s="203" t="n">
        <x:v>26010.8732346903</x:v>
      </x:c>
      <x:c r="Z522" s="193" t="b">
        <x:v>1</x:v>
      </x:c>
      <x:c r="AA522" s="193" t="b">
        <x:v>1</x:v>
      </x:c>
      <x:c r="AB522" s="193" t="b">
        <x:v>1</x:v>
      </x:c>
      <x:c r="AC522" s="193" t="b">
        <x:v>1</x:v>
      </x:c>
      <x:c r="AD522" s="193" t="b">
        <x:v>1</x:v>
      </x:c>
      <x:c r="AE522" s="193" t="b">
        <x:v>1</x:v>
      </x:c>
      <x:c r="AF522" s="193" t="b">
        <x:v>1</x:v>
      </x:c>
      <x:c r="AG522" s="193" t="b">
        <x:v>1</x:v>
      </x:c>
      <x:c r="AH522" s="193" t="b">
        <x:v>1</x:v>
      </x:c>
      <x:c r="AI522" s="193" t="b">
        <x:v>1</x:v>
      </x:c>
      <x:c r="AJ522" s="193" t="b">
        <x:v>0</x:v>
      </x:c>
    </x:row>
    <x:row r="523">
      <x:c r="A523" s="192" t="n">
        <x:v>986407426689940400</x:v>
      </x:c>
      <x:c r="B523" s="192" t="str">
        <x:v>https://www.airbnb.com.br/rooms/986407426689940399</x:v>
      </x:c>
      <x:c r="C523" s="192" t="str">
        <x:v>Apartamento a 350m da praia - Morretes/Meia Praia</x:v>
      </x:c>
      <x:c r="D523" s="192" t="str">
        <x:v>Meia Praia</x:v>
      </x:c>
      <x:c r="E523" s="192" t="n">
        <x:v>-27.1203022003</x:v>
      </x:c>
      <x:c r="F523" s="192" t="n">
        <x:v>-48.6092529297</x:v>
      </x:c>
      <x:c r="G523" s="192" t="str">
        <x:v>apartamento</x:v>
      </x:c>
      <x:c r="H523" s="192" t="n">
        <x:v>2</x:v>
      </x:c>
      <x:c r="I523" s="192" t="n">
        <x:v>2</x:v>
      </x:c>
      <x:c r="J523" s="192" t="n">
        <x:v>3</x:v>
      </x:c>
      <x:c r="K523" s="192" t="n">
        <x:v>5</x:v>
      </x:c>
      <x:c r="L523" s="192" t="n">
        <x:v>25</x:v>
      </x:c>
      <x:c r="M523" s="192" t="n">
        <x:v>4.8400001526</x:v>
      </x:c>
      <x:c r="N523" s="192" t="n">
        <x:v>300</x:v>
      </x:c>
      <x:c r="O523" s="192" t="n">
        <x:v>21</x:v>
      </x:c>
      <x:c r="P523" s="193" t="b">
        <x:v>0</x:v>
      </x:c>
      <x:c r="Q523" s="193" t="b">
        <x:v>1</x:v>
      </x:c>
      <x:c r="R523" s="193" t="b">
        <x:v>1</x:v>
      </x:c>
      <x:c r="S523" s="193" t="b">
        <x:v>1</x:v>
      </x:c>
      <x:c r="T523" s="192" t="n">
        <x:v>35</x:v>
      </x:c>
      <x:c r="U523" s="192" t="n">
        <x:v>55</x:v>
      </x:c>
      <x:c r="V523" s="200" t="n">
        <x:v>0.6111111111</x:v>
      </x:c>
      <x:c r="W523" s="203" t="n">
        <x:v>275</x:v>
      </x:c>
      <x:c r="X523" s="203" t="n">
        <x:v>15574.9509443057</x:v>
      </x:c>
      <x:c r="Y523" s="203" t="n">
        <x:v>40267.7377539236</x:v>
      </x:c>
      <x:c r="Z523" s="193" t="b">
        <x:v>0</x:v>
      </x:c>
      <x:c r="AA523" s="193" t="b">
        <x:v>0</x:v>
      </x:c>
      <x:c r="AB523" s="193" t="b">
        <x:v>1</x:v>
      </x:c>
      <x:c r="AC523" s="193" t="b">
        <x:v>1</x:v>
      </x:c>
      <x:c r="AD523" s="193" t="b">
        <x:v>1</x:v>
      </x:c>
      <x:c r="AE523" s="193" t="b">
        <x:v>1</x:v>
      </x:c>
      <x:c r="AF523" s="193" t="b">
        <x:v>1</x:v>
      </x:c>
      <x:c r="AG523" s="193" t="b">
        <x:v>1</x:v>
      </x:c>
      <x:c r="AH523" s="193" t="b">
        <x:v>1</x:v>
      </x:c>
      <x:c r="AI523" s="193" t="b">
        <x:v>1</x:v>
      </x:c>
      <x:c r="AJ523" s="193" t="b">
        <x:v>1</x:v>
      </x:c>
    </x:row>
    <x:row r="524">
      <x:c r="A524" s="192" t="n">
        <x:v>963040775940890100</x:v>
      </x:c>
      <x:c r="B524" s="192" t="str">
        <x:v>https://www.airbnb.com.br/rooms/963040775940890055</x:v>
      </x:c>
      <x:c r="C524" s="192" t="str">
        <x:v>Apto próximo a praia em Itapema-SC SEM501</x:v>
      </x:c>
      <x:c r="D524" s="192" t="str">
        <x:v>Tabuleiro dos Oliveiras</x:v>
      </x:c>
      <x:c r="E524" s="192" t="n">
        <x:v>-27.1140003204</x:v>
      </x:c>
      <x:c r="F524" s="192" t="n">
        <x:v>-48.611000061</x:v>
      </x:c>
      <x:c r="G524" s="192" t="str">
        <x:v>apartamento</x:v>
      </x:c>
      <x:c r="H524" s="192" t="n">
        <x:v>2</x:v>
      </x:c>
      <x:c r="I524" s="192" t="n">
        <x:v>2</x:v>
      </x:c>
      <x:c r="J524" s="192" t="n">
        <x:v>2</x:v>
      </x:c>
      <x:c r="K524" s="192" t="n">
        <x:v>5</x:v>
      </x:c>
      <x:c r="L524" s="192" t="n">
        <x:v>37</x:v>
      </x:c>
      <x:c r="M524" s="192" t="n">
        <x:v>4.9200000763</x:v>
      </x:c>
      <x:c r="N524" s="192" t="n">
        <x:v>400</x:v>
      </x:c>
      <x:c r="O524" s="192" t="n">
        <x:v>12</x:v>
      </x:c>
      <x:c r="P524" s="193" t="b">
        <x:v>1</x:v>
      </x:c>
      <x:c r="Q524" s="193" t="b">
        <x:v>1</x:v>
      </x:c>
      <x:c r="R524" s="193" t="b">
        <x:v>1</x:v>
      </x:c>
      <x:c r="S524" s="193" t="b">
        <x:v>0</x:v>
      </x:c>
      <x:c r="T524" s="192" t="n">
        <x:v>80</x:v>
      </x:c>
      <x:c r="U524" s="192" t="n">
        <x:v>10</x:v>
      </x:c>
      <x:c r="V524" s="200" t="n">
        <x:v>0.1111111111</x:v>
      </x:c>
      <x:c r="W524" s="203" t="n">
        <x:v>644</x:v>
      </x:c>
      <x:c r="X524" s="203" t="n">
        <x:v>6520.8116659295</x:v>
      </x:c>
      <x:c r="Y524" s="203" t="n">
        <x:v>16859.0151612885</x:v>
      </x:c>
      <x:c r="Z524" s="193" t="b">
        <x:v>1</x:v>
      </x:c>
      <x:c r="AA524" s="193" t="b">
        <x:v>0</x:v>
      </x:c>
      <x:c r="AB524" s="193" t="b">
        <x:v>1</x:v>
      </x:c>
      <x:c r="AC524" s="193" t="b">
        <x:v>1</x:v>
      </x:c>
      <x:c r="AD524" s="193" t="b">
        <x:v>1</x:v>
      </x:c>
      <x:c r="AE524" s="193" t="b">
        <x:v>0</x:v>
      </x:c>
      <x:c r="AF524" s="193" t="b">
        <x:v>1</x:v>
      </x:c>
      <x:c r="AG524" s="193" t="b">
        <x:v>1</x:v>
      </x:c>
      <x:c r="AH524" s="193" t="b">
        <x:v>1</x:v>
      </x:c>
      <x:c r="AI524" s="193" t="b">
        <x:v>1</x:v>
      </x:c>
      <x:c r="AJ524" s="193" t="b">
        <x:v>0</x:v>
      </x:c>
    </x:row>
    <x:row r="525">
      <x:c r="A525" s="192" t="n">
        <x:v>38693604</x:v>
      </x:c>
      <x:c r="B525" s="192" t="str">
        <x:v>https://www.airbnb.com.br/rooms/38693604</x:v>
      </x:c>
      <x:c r="C525" s="192" t="str">
        <x:v>Cobertura Meia Praia/Itapema 50 metros do mar.</x:v>
      </x:c>
      <x:c r="D525" s="192" t="str">
        <x:v>Meia Praia</x:v>
      </x:c>
      <x:c r="E525" s="192" t="n">
        <x:v>-27.1358795166</x:v>
      </x:c>
      <x:c r="F525" s="192" t="n">
        <x:v>-48.5955085754</x:v>
      </x:c>
      <x:c r="G525" s="192" t="str">
        <x:v>apartamento</x:v>
      </x:c>
      <x:c r="H525" s="192" t="n">
        <x:v>3</x:v>
      </x:c>
      <x:c r="I525" s="192" t="n">
        <x:v>2</x:v>
      </x:c>
      <x:c r="J525" s="192" t="n">
        <x:v>7</x:v>
      </x:c>
      <x:c r="K525" s="192" t="n">
        <x:v>8</x:v>
      </x:c>
      <x:c r="L525" s="192" t="n">
        <x:v>20</x:v>
      </x:c>
      <x:c r="M525" s="192" t="n">
        <x:v>4.8499999046</x:v>
      </x:c>
      <x:c r="N525" s="192" t="n">
        <x:v>300</x:v>
      </x:c>
      <x:c r="O525" s="192" t="n">
        <x:v>17</x:v>
      </x:c>
      <x:c r="P525" s="193" t="b">
        <x:v>1</x:v>
      </x:c>
      <x:c r="Q525" s="193" t="b">
        <x:v>0</x:v>
      </x:c>
      <x:c r="R525" s="193" t="b">
        <x:v>1</x:v>
      </x:c>
      <x:c r="S525" s="193" t="b">
        <x:v>0</x:v>
      </x:c>
      <x:c r="T525" s="192" t="n">
        <x:v>54</x:v>
      </x:c>
      <x:c r="U525" s="192" t="n">
        <x:v>36</x:v>
      </x:c>
      <x:c r="V525" s="200" t="n">
        <x:v>0.4</x:v>
      </x:c>
      <x:c r="W525" s="203" t="n">
        <x:v>450</x:v>
      </x:c>
      <x:c r="X525" s="203" t="n">
        <x:v>16802.8397121728</x:v>
      </x:c>
      <x:c r="Y525" s="203" t="n">
        <x:v>43442.3418391801</x:v>
      </x:c>
      <x:c r="Z525" s="193" t="b">
        <x:v>1</x:v>
      </x:c>
      <x:c r="AA525" s="193" t="b">
        <x:v>0</x:v>
      </x:c>
      <x:c r="AB525" s="193" t="b">
        <x:v>1</x:v>
      </x:c>
      <x:c r="AC525" s="193" t="b">
        <x:v>1</x:v>
      </x:c>
      <x:c r="AD525" s="193" t="b">
        <x:v>0</x:v>
      </x:c>
      <x:c r="AE525" s="193" t="b">
        <x:v>0</x:v>
      </x:c>
      <x:c r="AF525" s="193" t="b">
        <x:v>1</x:v>
      </x:c>
      <x:c r="AG525" s="193" t="b">
        <x:v>1</x:v>
      </x:c>
      <x:c r="AH525" s="193" t="b">
        <x:v>1</x:v>
      </x:c>
      <x:c r="AI525" s="193" t="b">
        <x:v>1</x:v>
      </x:c>
      <x:c r="AJ525" s="193" t="b">
        <x:v>1</x:v>
      </x:c>
    </x:row>
    <x:row r="526">
      <x:c r="A526" s="192" t="n">
        <x:v>20618105</x:v>
      </x:c>
      <x:c r="B526" s="192" t="str">
        <x:v>https://www.airbnb.com.br/rooms/20618105</x:v>
      </x:c>
      <x:c r="C526" s="192" t="str">
        <x:v>Apto quadra mar Meia Praia - Itapema/SC</x:v>
      </x:c>
      <x:c r="D526" s="192" t="str">
        <x:v>Meia Praia</x:v>
      </x:c>
      <x:c r="E526" s="192" t="n">
        <x:v>-27.13683</x:v>
      </x:c>
      <x:c r="F526" s="192" t="n">
        <x:v>-48.59712</x:v>
      </x:c>
      <x:c r="G526" s="192" t="str">
        <x:v>apartamento</x:v>
      </x:c>
      <x:c r="H526" s="192" t="n">
        <x:v>2</x:v>
      </x:c>
      <x:c r="I526" s="192" t="n">
        <x:v>2</x:v>
      </x:c>
      <x:c r="J526" s="192" t="n">
        <x:v>2</x:v>
      </x:c>
      <x:c r="K526" s="192" t="n">
        <x:v>5</x:v>
      </x:c>
      <x:c r="L526" s="192" t="n">
        <x:v>15</x:v>
      </x:c>
      <x:c r="M526" s="192" t="n">
        <x:v>4.7300000191</x:v>
      </x:c>
      <x:c r="N526" s="192" t="n">
        <x:v>300</x:v>
      </x:c>
      <x:c r="O526" s="192" t="n">
        <x:v>31</x:v>
      </x:c>
      <x:c r="P526" s="193" t="b">
        <x:v>0</x:v>
      </x:c>
      <x:c r="Q526" s="193" t="b">
        <x:v>0</x:v>
      </x:c>
      <x:c r="R526" s="193" t="b">
        <x:v>0</x:v>
      </x:c>
      <x:c r="S526" s="193" t="b">
        <x:v>0</x:v>
      </x:c>
      <x:c r="T526" s="192" t="n">
        <x:v>39</x:v>
      </x:c>
      <x:c r="U526" s="192" t="n">
        <x:v>51</x:v>
      </x:c>
      <x:c r="V526" s="200" t="n">
        <x:v>0.5666666667</x:v>
      </x:c>
      <x:c r="W526" s="203" t="n">
        <x:v>612.2857</x:v>
      </x:c>
      <x:c r="X526" s="203" t="n">
        <x:v>29898.8734610128</x:v>
      </x:c>
      <x:c r="Y526" s="203" t="n">
        <x:v>77301.0457606603</x:v>
      </x:c>
      <x:c r="Z526" s="193" t="b">
        <x:v>0</x:v>
      </x:c>
      <x:c r="AA526" s="193" t="b">
        <x:v>0</x:v>
      </x:c>
      <x:c r="AB526" s="193" t="b">
        <x:v>1</x:v>
      </x:c>
      <x:c r="AC526" s="193" t="b">
        <x:v>1</x:v>
      </x:c>
      <x:c r="AD526" s="193" t="b">
        <x:v>1</x:v>
      </x:c>
      <x:c r="AE526" s="193" t="b">
        <x:v>1</x:v>
      </x:c>
      <x:c r="AF526" s="193" t="b">
        <x:v>1</x:v>
      </x:c>
      <x:c r="AG526" s="193" t="b">
        <x:v>1</x:v>
      </x:c>
      <x:c r="AH526" s="193" t="b">
        <x:v>1</x:v>
      </x:c>
      <x:c r="AI526" s="193" t="b">
        <x:v>1</x:v>
      </x:c>
      <x:c r="AJ526" s="193" t="b">
        <x:v>1</x:v>
      </x:c>
    </x:row>
    <x:row r="527">
      <x:c r="A527" s="192" t="n">
        <x:v>35826155</x:v>
      </x:c>
      <x:c r="B527" s="192" t="str">
        <x:v>https://www.airbnb.com.br/rooms/35826155</x:v>
      </x:c>
      <x:c r="C527" s="192" t="str">
        <x:v>Sua casa fora de casa em Itapema/SC, o ano todo!!</x:v>
      </x:c>
      <x:c r="D527" s="192" t="str">
        <x:v>Meia Praia</x:v>
      </x:c>
      <x:c r="E527" s="192" t="n">
        <x:v>-27.1379108429</x:v>
      </x:c>
      <x:c r="F527" s="192" t="n">
        <x:v>-48.6029586792</x:v>
      </x:c>
      <x:c r="G527" s="192" t="str">
        <x:v>apartamento</x:v>
      </x:c>
      <x:c r="H527" s="192" t="n">
        <x:v>2</x:v>
      </x:c>
      <x:c r="I527" s="192" t="n">
        <x:v>2</x:v>
      </x:c>
      <x:c r="J527" s="192" t="n">
        <x:v>3</x:v>
      </x:c>
      <x:c r="K527" s="192" t="n">
        <x:v>6</x:v>
      </x:c>
      <x:c r="L527" s="192" t="n">
        <x:v>32</x:v>
      </x:c>
      <x:c r="M527" s="192" t="n">
        <x:v>4.9099998474</x:v>
      </x:c>
      <x:c r="N527" s="192" t="n">
        <x:v>250</x:v>
      </x:c>
      <x:c r="O527" s="192" t="n">
        <x:v>44</x:v>
      </x:c>
      <x:c r="P527" s="193" t="b">
        <x:v>0</x:v>
      </x:c>
      <x:c r="Q527" s="193" t="b">
        <x:v>0</x:v>
      </x:c>
      <x:c r="R527" s="193" t="b">
        <x:v>0</x:v>
      </x:c>
      <x:c r="S527" s="193" t="b">
        <x:v>1</x:v>
      </x:c>
      <x:c r="T527" s="192" t="n">
        <x:v>20</x:v>
      </x:c>
      <x:c r="U527" s="192" t="n">
        <x:v>70</x:v>
      </x:c>
      <x:c r="V527" s="200" t="n">
        <x:v>0.7777777778</x:v>
      </x:c>
      <x:c r="W527" s="203" t="n">
        <x:v>590</x:v>
      </x:c>
      <x:c r="X527" s="203" t="n">
        <x:v>42015.6490706732</x:v>
      </x:c>
      <x:c r="Y527" s="203" t="n">
        <x:v>108627.9593681363</x:v>
      </x:c>
      <x:c r="Z527" s="193" t="b">
        <x:v>0</x:v>
      </x:c>
      <x:c r="AA527" s="193" t="b">
        <x:v>0</x:v>
      </x:c>
      <x:c r="AB527" s="193" t="b">
        <x:v>1</x:v>
      </x:c>
      <x:c r="AC527" s="193" t="b">
        <x:v>1</x:v>
      </x:c>
      <x:c r="AD527" s="193" t="b">
        <x:v>0</x:v>
      </x:c>
      <x:c r="AE527" s="193" t="b">
        <x:v>1</x:v>
      </x:c>
      <x:c r="AF527" s="193" t="b">
        <x:v>1</x:v>
      </x:c>
      <x:c r="AG527" s="193" t="b">
        <x:v>1</x:v>
      </x:c>
      <x:c r="AH527" s="193" t="b">
        <x:v>1</x:v>
      </x:c>
      <x:c r="AI527" s="193" t="b">
        <x:v>1</x:v>
      </x:c>
      <x:c r="AJ527" s="193" t="b">
        <x:v>1</x:v>
      </x:c>
    </x:row>
    <x:row r="528">
      <x:c r="A528" s="192" t="n">
        <x:v>45531969</x:v>
      </x:c>
      <x:c r="B528" s="192" t="str">
        <x:v>https://www.airbnb.com.br/rooms/45531969</x:v>
      </x:c>
      <x:c r="C528" s="192" t="str">
        <x:v>Apartamento com Lareira e  Linda vista para o mar</x:v>
      </x:c>
      <x:c r="D528" s="192" t="str">
        <x:v>Meia Praia</x:v>
      </x:c>
      <x:c r="E528" s="192" t="n">
        <x:v>-27.1375198364</x:v>
      </x:c>
      <x:c r="F528" s="192" t="n">
        <x:v>-48.5933990479</x:v>
      </x:c>
      <x:c r="G528" s="192" t="str">
        <x:v>apartamento</x:v>
      </x:c>
      <x:c r="H528" s="192" t="n">
        <x:v>3</x:v>
      </x:c>
      <x:c r="I528" s="192" t="n">
        <x:v>2</x:v>
      </x:c>
      <x:c r="J528" s="192" t="n">
        <x:v>6</x:v>
      </x:c>
      <x:c r="K528" s="192" t="n">
        <x:v>8</x:v>
      </x:c>
      <x:c r="L528" s="192" t="n">
        <x:v>31</x:v>
      </x:c>
      <x:c r="M528" s="192" t="n">
        <x:v>5</x:v>
      </x:c>
      <x:c r="N528" s="192" t="n">
        <x:v>300</x:v>
      </x:c>
      <x:c r="O528" s="192" t="n">
        <x:v>40</x:v>
      </x:c>
      <x:c r="P528" s="193" t="b">
        <x:v>0</x:v>
      </x:c>
      <x:c r="Q528" s="193" t="b">
        <x:v>0</x:v>
      </x:c>
      <x:c r="R528" s="193" t="b">
        <x:v>1</x:v>
      </x:c>
      <x:c r="S528" s="193" t="b">
        <x:v>1</x:v>
      </x:c>
      <x:c r="T528" s="192" t="n">
        <x:v>26</x:v>
      </x:c>
      <x:c r="U528" s="192" t="n">
        <x:v>64</x:v>
      </x:c>
      <x:c r="V528" s="200" t="n">
        <x:v>0.7111111111</x:v>
      </x:c>
      <x:c r="W528" s="203" t="n">
        <x:v>650</x:v>
      </x:c>
      <x:c r="X528" s="203" t="n">
        <x:v>42194.7370238173</x:v>
      </x:c>
      <x:c r="Y528" s="203" t="n">
        <x:v>109090.9763469942</x:v>
      </x:c>
      <x:c r="Z528" s="193" t="b">
        <x:v>1</x:v>
      </x:c>
      <x:c r="AA528" s="193" t="b">
        <x:v>0</x:v>
      </x:c>
      <x:c r="AB528" s="193" t="b">
        <x:v>1</x:v>
      </x:c>
      <x:c r="AC528" s="193" t="b">
        <x:v>1</x:v>
      </x:c>
      <x:c r="AD528" s="193" t="b">
        <x:v>1</x:v>
      </x:c>
      <x:c r="AE528" s="193" t="b">
        <x:v>1</x:v>
      </x:c>
      <x:c r="AF528" s="193" t="b">
        <x:v>1</x:v>
      </x:c>
      <x:c r="AG528" s="193" t="b">
        <x:v>1</x:v>
      </x:c>
      <x:c r="AH528" s="193" t="b">
        <x:v>1</x:v>
      </x:c>
      <x:c r="AI528" s="193" t="b">
        <x:v>1</x:v>
      </x:c>
      <x:c r="AJ528" s="193" t="b">
        <x:v>1</x:v>
      </x:c>
    </x:row>
    <x:row r="529">
      <x:c r="A529" s="192" t="n">
        <x:v>1060712994513047000</x:v>
      </x:c>
      <x:c r="B529" s="192" t="str">
        <x:v>https://www.airbnb.com.br/rooms/1060712994513047104</x:v>
      </x:c>
      <x:c r="C529" s="192" t="str">
        <x:v>Conforto em Itapema</x:v>
      </x:c>
      <x:c r="D529" s="192" t="str">
        <x:v>Morretes</x:v>
      </x:c>
      <x:c r="E529" s="192" t="n">
        <x:v>-27.1159992218</x:v>
      </x:c>
      <x:c r="F529" s="192" t="n">
        <x:v>-48.6119995117</x:v>
      </x:c>
      <x:c r="G529" s="192" t="str">
        <x:v>apartamento</x:v>
      </x:c>
      <x:c r="H529" s="192" t="n">
        <x:v>2</x:v>
      </x:c>
      <x:c r="I529" s="192" t="n">
        <x:v>2</x:v>
      </x:c>
      <x:c r="J529" s="192" t="n">
        <x:v>3</x:v>
      </x:c>
      <x:c r="K529" s="192" t="n">
        <x:v>5</x:v>
      </x:c>
      <x:c r="L529" s="192" t="n">
        <x:v>10</x:v>
      </x:c>
      <x:c r="M529" s="192" t="n">
        <x:v>4.9000000954</x:v>
      </x:c>
      <x:c r="N529" s="192" t="n">
        <x:v>250</x:v>
      </x:c>
      <x:c r="O529" s="192" t="n">
        <x:v>20</x:v>
      </x:c>
      <x:c r="P529" s="193" t="b">
        <x:v>1</x:v>
      </x:c>
      <x:c r="Q529" s="193" t="b">
        <x:v>0</x:v>
      </x:c>
      <x:c r="R529" s="193" t="b">
        <x:v>0</x:v>
      </x:c>
      <x:c r="S529" s="193" t="b">
        <x:v>1</x:v>
      </x:c>
      <x:c r="T529" s="192" t="n">
        <x:v>59</x:v>
      </x:c>
      <x:c r="U529" s="192" t="n">
        <x:v>31</x:v>
      </x:c>
      <x:c r="V529" s="200" t="n">
        <x:v>0.3444444444</x:v>
      </x:c>
      <x:c r="W529" s="203" t="n">
        <x:v>416.5</x:v>
      </x:c>
      <x:c r="X529" s="203" t="n">
        <x:v>13014.2405242914</x:v>
      </x:c>
      <x:c r="Y529" s="203" t="n">
        <x:v>33647.2343555117</x:v>
      </x:c>
      <x:c r="Z529" s="193" t="b">
        <x:v>1</x:v>
      </x:c>
      <x:c r="AA529" s="193" t="b">
        <x:v>0</x:v>
      </x:c>
      <x:c r="AB529" s="193" t="b">
        <x:v>1</x:v>
      </x:c>
      <x:c r="AC529" s="193" t="b">
        <x:v>1</x:v>
      </x:c>
      <x:c r="AD529" s="193" t="b">
        <x:v>1</x:v>
      </x:c>
      <x:c r="AE529" s="193" t="b">
        <x:v>1</x:v>
      </x:c>
      <x:c r="AF529" s="193" t="b">
        <x:v>1</x:v>
      </x:c>
      <x:c r="AG529" s="193" t="b">
        <x:v>1</x:v>
      </x:c>
      <x:c r="AH529" s="193" t="b">
        <x:v>1</x:v>
      </x:c>
      <x:c r="AI529" s="193" t="b">
        <x:v>1</x:v>
      </x:c>
      <x:c r="AJ529" s="193" t="b">
        <x:v>1</x:v>
      </x:c>
    </x:row>
    <x:row r="530">
      <x:c r="A530" s="192" t="n">
        <x:v>1274679812745645600</x:v>
      </x:c>
      <x:c r="B530" s="192" t="str">
        <x:v>https://www.airbnb.com.br/rooms/1274679812745645557</x:v>
      </x:c>
      <x:c r="C530" s="192" t="str">
        <x:v>Apto aconchegante vista mar 280m da Praia MHF0807</x:v>
      </x:c>
      <x:c r="D530" s="192" t="str">
        <x:v>Centro</x:v>
      </x:c>
      <x:c r="E530" s="192" t="n">
        <x:v>-27.09364394</x:v>
      </x:c>
      <x:c r="F530" s="192" t="n">
        <x:v>-48.6130949487</x:v>
      </x:c>
      <x:c r="G530" s="192" t="str">
        <x:v>apartamento</x:v>
      </x:c>
      <x:c r="H530" s="192" t="n">
        <x:v>1</x:v>
      </x:c>
      <x:c r="I530" s="192" t="n">
        <x:v>1</x:v>
      </x:c>
      <x:c r="J530" s="192" t="n">
        <x:v>2</x:v>
      </x:c>
      <x:c r="K530" s="192" t="n">
        <x:v>4</x:v>
      </x:c>
      <x:c r="L530" s="192" t="n">
        <x:v>7</x:v>
      </x:c>
      <x:c r="M530" s="192" t="n">
        <x:v>4.8600001335</x:v>
      </x:c>
      <x:c r="N530" s="192" t="n">
        <x:v>195</x:v>
      </x:c>
      <x:c r="O530" s="192" t="n">
        <x:v>0</x:v>
      </x:c>
      <x:c r="P530" s="193" t="b">
        <x:v>1</x:v>
      </x:c>
      <x:c r="Q530" s="193" t="b">
        <x:v>1</x:v>
      </x:c>
      <x:c r="R530" s="193" t="b">
        <x:v>1</x:v>
      </x:c>
      <x:c r="S530" s="193" t="b">
        <x:v>0</x:v>
      </x:c>
      <x:c r="T530" s="192" t="n">
        <x:v>68</x:v>
      </x:c>
      <x:c r="U530" s="192" t="n">
        <x:v>22</x:v>
      </x:c>
      <x:c r="V530" s="200" t="n">
        <x:v>0.2444444444</x:v>
      </x:c>
      <x:c r="W530" s="203" t="n">
        <x:v>471</x:v>
      </x:c>
      <x:c r="X530" s="203" t="n">
        <x:v>10426.8202331103</x:v>
      </x:c>
      <x:c r="Y530" s="203" t="n">
        <x:v>26957.6748110206</x:v>
      </x:c>
      <x:c r="Z530" s="193" t="b">
        <x:v>1</x:v>
      </x:c>
      <x:c r="AA530" s="193" t="b">
        <x:v>1</x:v>
      </x:c>
      <x:c r="AB530" s="193" t="b">
        <x:v>1</x:v>
      </x:c>
      <x:c r="AC530" s="193" t="b">
        <x:v>1</x:v>
      </x:c>
      <x:c r="AD530" s="193" t="b">
        <x:v>1</x:v>
      </x:c>
      <x:c r="AE530" s="193" t="b">
        <x:v>0</x:v>
      </x:c>
      <x:c r="AF530" s="193" t="b">
        <x:v>1</x:v>
      </x:c>
      <x:c r="AG530" s="193" t="b">
        <x:v>1</x:v>
      </x:c>
      <x:c r="AH530" s="193" t="b">
        <x:v>1</x:v>
      </x:c>
      <x:c r="AI530" s="193" t="b">
        <x:v>1</x:v>
      </x:c>
      <x:c r="AJ530" s="193" t="b">
        <x:v>0</x:v>
      </x:c>
    </x:row>
    <x:row r="531">
      <x:c r="A531" s="192" t="n">
        <x:v>16253828</x:v>
      </x:c>
      <x:c r="B531" s="192" t="str">
        <x:v>https://www.airbnb.com.br/rooms/16253828</x:v>
      </x:c>
      <x:c r="C531" s="192" t="str">
        <x:v>Apartamento Família Beira-Mar</x:v>
      </x:c>
      <x:c r="D531" s="192" t="str">
        <x:v>Meia Praia</x:v>
      </x:c>
      <x:c r="E531" s="192" t="n">
        <x:v>-27.13702</x:v>
      </x:c>
      <x:c r="F531" s="192" t="n">
        <x:v>-48.59192</x:v>
      </x:c>
      <x:c r="G531" s="192" t="str">
        <x:v>apartamento</x:v>
      </x:c>
      <x:c r="H531" s="192" t="n">
        <x:v>3</x:v>
      </x:c>
      <x:c r="I531" s="192" t="n">
        <x:v>2</x:v>
      </x:c>
      <x:c r="J531" s="192" t="n">
        <x:v>4</x:v>
      </x:c>
      <x:c r="K531" s="192" t="n">
        <x:v>7</x:v>
      </x:c>
      <x:c r="L531" s="192" t="n">
        <x:v>24</x:v>
      </x:c>
      <x:c r="M531" s="192" t="n">
        <x:v>4.9600000381</x:v>
      </x:c>
      <x:c r="N531" s="192" t="n">
        <x:v>420</x:v>
      </x:c>
      <x:c r="O531" s="192" t="n">
        <x:v>22</x:v>
      </x:c>
      <x:c r="P531" s="193" t="b">
        <x:v>0</x:v>
      </x:c>
      <x:c r="Q531" s="193" t="b">
        <x:v>0</x:v>
      </x:c>
      <x:c r="R531" s="193" t="b">
        <x:v>0</x:v>
      </x:c>
      <x:c r="S531" s="193" t="b">
        <x:v>0</x:v>
      </x:c>
      <x:c r="T531" s="192" t="n">
        <x:v>73</x:v>
      </x:c>
      <x:c r="U531" s="192" t="n">
        <x:v>17</x:v>
      </x:c>
      <x:c r="V531" s="200" t="n">
        <x:v>0.1888888889</x:v>
      </x:c>
      <x:c r="W531" s="203" t="n">
        <x:v>1610.6666</x:v>
      </x:c>
      <x:c r="X531" s="203" t="n">
        <x:v>27406.29873256</x:v>
      </x:c>
      <x:c r="Y531" s="203" t="n">
        <x:v>70856.7015148061</x:v>
      </x:c>
      <x:c r="Z531" s="193" t="b">
        <x:v>1</x:v>
      </x:c>
      <x:c r="AA531" s="193" t="b">
        <x:v>0</x:v>
      </x:c>
      <x:c r="AB531" s="193" t="b">
        <x:v>1</x:v>
      </x:c>
      <x:c r="AC531" s="193" t="b">
        <x:v>1</x:v>
      </x:c>
      <x:c r="AD531" s="193" t="b">
        <x:v>1</x:v>
      </x:c>
      <x:c r="AE531" s="193" t="b">
        <x:v>1</x:v>
      </x:c>
      <x:c r="AF531" s="193" t="b">
        <x:v>1</x:v>
      </x:c>
      <x:c r="AG531" s="193" t="b">
        <x:v>1</x:v>
      </x:c>
      <x:c r="AH531" s="193" t="b">
        <x:v>1</x:v>
      </x:c>
      <x:c r="AI531" s="193" t="b">
        <x:v>1</x:v>
      </x:c>
      <x:c r="AJ531" s="193" t="b">
        <x:v>1</x:v>
      </x:c>
    </x:row>
    <x:row r="532">
      <x:c r="A532" s="192" t="n">
        <x:v>790431243381422800</x:v>
      </x:c>
      <x:c r="B532" s="192" t="str">
        <x:v>https://www.airbnb.com.br/rooms/790431243381422888</x:v>
      </x:c>
      <x:c r="C532" s="192" t="str">
        <x:v>Apartamento em Meia Praia</x:v>
      </x:c>
      <x:c r="D532" s="192" t="str">
        <x:v>Meia Praia</x:v>
      </x:c>
      <x:c r="E532" s="192" t="n">
        <x:v>-27.13396</x:v>
      </x:c>
      <x:c r="F532" s="192" t="n">
        <x:v>-48.59889</x:v>
      </x:c>
      <x:c r="G532" s="192" t="str">
        <x:v>apartamento</x:v>
      </x:c>
      <x:c r="H532" s="192" t="n">
        <x:v>3</x:v>
      </x:c>
      <x:c r="I532" s="192" t="n">
        <x:v>3</x:v>
      </x:c>
      <x:c r="J532" s="192" t="n">
        <x:v>3</x:v>
      </x:c>
      <x:c r="K532" s="192" t="n">
        <x:v>8</x:v>
      </x:c>
      <x:c r="L532" s="192" t="n">
        <x:v>7</x:v>
      </x:c>
      <x:c r="M532" s="192" t="n">
        <x:v>5</x:v>
      </x:c>
      <x:c r="N532" s="192" t="n">
        <x:v>300</x:v>
      </x:c>
      <x:c r="O532" s="192" t="n">
        <x:v>16</x:v>
      </x:c>
      <x:c r="P532" s="193" t="b">
        <x:v>0</x:v>
      </x:c>
      <x:c r="Q532" s="193" t="b">
        <x:v>0</x:v>
      </x:c>
      <x:c r="R532" s="193" t="b">
        <x:v>1</x:v>
      </x:c>
      <x:c r="S532" s="193" t="b">
        <x:v>0</x:v>
      </x:c>
      <x:c r="T532" s="192" t="n">
        <x:v>90</x:v>
      </x:c>
      <x:c r="U532" s="192" t="n">
        <x:v>0</x:v>
      </x:c>
      <x:c r="V532" s="200" t="n">
        <x:v>0</x:v>
      </x:c>
      <x:c r="W532" s="203" t="n">
        <x:v>1000</x:v>
      </x:c>
      <x:c r="X532" s="203" t="n">
        <x:v>0</x:v>
      </x:c>
      <x:c r="Y532" s="203" t="n">
        <x:v>0</x:v>
      </x:c>
      <x:c r="Z532" s="193" t="b">
        <x:v>1</x:v>
      </x:c>
      <x:c r="AA532" s="193" t="b">
        <x:v>0</x:v>
      </x:c>
      <x:c r="AB532" s="193" t="b">
        <x:v>1</x:v>
      </x:c>
      <x:c r="AC532" s="193" t="b">
        <x:v>1</x:v>
      </x:c>
      <x:c r="AD532" s="193" t="b">
        <x:v>1</x:v>
      </x:c>
      <x:c r="AE532" s="193" t="b">
        <x:v>1</x:v>
      </x:c>
      <x:c r="AF532" s="193" t="b">
        <x:v>1</x:v>
      </x:c>
      <x:c r="AG532" s="193" t="b">
        <x:v>1</x:v>
      </x:c>
      <x:c r="AH532" s="193" t="b">
        <x:v>1</x:v>
      </x:c>
      <x:c r="AI532" s="193" t="b">
        <x:v>1</x:v>
      </x:c>
      <x:c r="AJ532" s="193" t="b">
        <x:v>0</x:v>
      </x:c>
    </x:row>
    <x:row r="533">
      <x:c r="A533" s="192" t="n">
        <x:v>17570590</x:v>
      </x:c>
      <x:c r="B533" s="192" t="str">
        <x:v>https://www.airbnb.com.br/rooms/17570590</x:v>
      </x:c>
      <x:c r="C533" s="192" t="str">
        <x:v>Beira Mar Paradisíaco</x:v>
      </x:c>
      <x:c r="D533" s="192" t="str">
        <x:v>Meia Praia</x:v>
      </x:c>
      <x:c r="E533" s="192" t="n">
        <x:v>-27.13766</x:v>
      </x:c>
      <x:c r="F533" s="192" t="n">
        <x:v>-48.59209</x:v>
      </x:c>
      <x:c r="G533" s="192" t="str">
        <x:v>apartamento</x:v>
      </x:c>
      <x:c r="H533" s="192" t="n">
        <x:v>4</x:v>
      </x:c>
      <x:c r="I533" s="192" t="n">
        <x:v>3</x:v>
      </x:c>
      <x:c r="J533" s="192" t="n">
        <x:v>6</x:v>
      </x:c>
      <x:c r="K533" s="192" t="n">
        <x:v>10</x:v>
      </x:c>
      <x:c r="L533" s="192" t="n">
        <x:v>45</x:v>
      </x:c>
      <x:c r="M533" s="192" t="n">
        <x:v>4.8200001717</x:v>
      </x:c>
      <x:c r="N533" s="192" t="n">
        <x:v>420</x:v>
      </x:c>
      <x:c r="O533" s="192" t="n">
        <x:v>32</x:v>
      </x:c>
      <x:c r="P533" s="193" t="b">
        <x:v>0</x:v>
      </x:c>
      <x:c r="Q533" s="193" t="b">
        <x:v>1</x:v>
      </x:c>
      <x:c r="R533" s="193" t="b">
        <x:v>1</x:v>
      </x:c>
      <x:c r="S533" s="193" t="b">
        <x:v>1</x:v>
      </x:c>
      <x:c r="T533" s="192" t="n">
        <x:v>60</x:v>
      </x:c>
      <x:c r="U533" s="192" t="n">
        <x:v>30</x:v>
      </x:c>
      <x:c r="V533" s="200" t="n">
        <x:v>0.3333333333</x:v>
      </x:c>
      <x:c r="W533" s="203" t="n">
        <x:v>1574</x:v>
      </x:c>
      <x:c r="X533" s="203" t="n">
        <x:v>47191.8097374163</x:v>
      </x:c>
      <x:c r="Y533" s="203" t="n">
        <x:v>122010.4914252785</x:v>
      </x:c>
      <x:c r="Z533" s="193" t="b">
        <x:v>1</x:v>
      </x:c>
      <x:c r="AA533" s="193" t="b">
        <x:v>0</x:v>
      </x:c>
      <x:c r="AB533" s="193" t="b">
        <x:v>1</x:v>
      </x:c>
      <x:c r="AC533" s="193" t="b">
        <x:v>1</x:v>
      </x:c>
      <x:c r="AD533" s="193" t="b">
        <x:v>1</x:v>
      </x:c>
      <x:c r="AE533" s="193" t="b">
        <x:v>1</x:v>
      </x:c>
      <x:c r="AF533" s="193" t="b">
        <x:v>1</x:v>
      </x:c>
      <x:c r="AG533" s="193" t="b">
        <x:v>1</x:v>
      </x:c>
      <x:c r="AH533" s="193" t="b">
        <x:v>1</x:v>
      </x:c>
      <x:c r="AI533" s="193" t="b">
        <x:v>1</x:v>
      </x:c>
      <x:c r="AJ533" s="193" t="b">
        <x:v>1</x:v>
      </x:c>
    </x:row>
    <x:row r="534">
      <x:c r="A534" s="192" t="n">
        <x:v>577333685681759900</x:v>
      </x:c>
      <x:c r="B534" s="192" t="str">
        <x:v>https://www.airbnb.com.br/rooms/577333685681759877</x:v>
      </x:c>
      <x:c r="C534" s="192" t="str">
        <x:v>Apto Pertinho do Mar em Meia Praia/Itapena</x:v>
      </x:c>
      <x:c r="D534" s="192" t="str">
        <x:v>Meia Praia</x:v>
      </x:c>
      <x:c r="E534" s="192" t="n">
        <x:v>-27.13742</x:v>
      </x:c>
      <x:c r="F534" s="192" t="n">
        <x:v>-48.59424</x:v>
      </x:c>
      <x:c r="G534" s="192" t="str">
        <x:v>apartamento</x:v>
      </x:c>
      <x:c r="H534" s="192" t="n">
        <x:v>2</x:v>
      </x:c>
      <x:c r="I534" s="192" t="n">
        <x:v>2</x:v>
      </x:c>
      <x:c r="J534" s="192" t="n">
        <x:v>4</x:v>
      </x:c>
      <x:c r="K534" s="192" t="n">
        <x:v>6</x:v>
      </x:c>
      <x:c r="L534" s="192" t="n">
        <x:v>55</x:v>
      </x:c>
      <x:c r="M534" s="192" t="n">
        <x:v>4.8499999046</x:v>
      </x:c>
      <x:c r="N534" s="192" t="n">
        <x:v>200</x:v>
      </x:c>
      <x:c r="O534" s="192" t="n">
        <x:v>33</x:v>
      </x:c>
      <x:c r="P534" s="193" t="b">
        <x:v>1</x:v>
      </x:c>
      <x:c r="Q534" s="193" t="b">
        <x:v>0</x:v>
      </x:c>
      <x:c r="R534" s="193" t="b">
        <x:v>1</x:v>
      </x:c>
      <x:c r="S534" s="193" t="b">
        <x:v>1</x:v>
      </x:c>
      <x:c r="T534" s="192" t="n">
        <x:v>37</x:v>
      </x:c>
      <x:c r="U534" s="192" t="n">
        <x:v>53</x:v>
      </x:c>
      <x:c r="V534" s="200" t="n">
        <x:v>0.5888888889</x:v>
      </x:c>
      <x:c r="W534" s="203" t="n">
        <x:v>498</x:v>
      </x:c>
      <x:c r="X534" s="203" t="n">
        <x:v>26536.1664990668</x:v>
      </x:c>
      <x:c r="Y534" s="203" t="n">
        <x:v>68607.047136129</x:v>
      </x:c>
      <x:c r="Z534" s="193" t="b">
        <x:v>1</x:v>
      </x:c>
      <x:c r="AA534" s="193" t="b">
        <x:v>0</x:v>
      </x:c>
      <x:c r="AB534" s="193" t="b">
        <x:v>1</x:v>
      </x:c>
      <x:c r="AC534" s="193" t="b">
        <x:v>1</x:v>
      </x:c>
      <x:c r="AD534" s="193" t="b">
        <x:v>1</x:v>
      </x:c>
      <x:c r="AE534" s="193" t="b">
        <x:v>1</x:v>
      </x:c>
      <x:c r="AF534" s="193" t="b">
        <x:v>1</x:v>
      </x:c>
      <x:c r="AG534" s="193" t="b">
        <x:v>1</x:v>
      </x:c>
      <x:c r="AH534" s="193" t="b">
        <x:v>1</x:v>
      </x:c>
      <x:c r="AI534" s="193" t="b">
        <x:v>1</x:v>
      </x:c>
      <x:c r="AJ534" s="193" t="b">
        <x:v>1</x:v>
      </x:c>
    </x:row>
    <x:row r="535">
      <x:c r="A535" s="192" t="n">
        <x:v>1285538056394050600</x:v>
      </x:c>
      <x:c r="B535" s="192" t="str">
        <x:v>https://www.airbnb.com.br/rooms/1285538056394050628</x:v>
      </x:c>
      <x:c r="C535" s="192" t="str">
        <x:v>Apto elegante vista mar 280m da Praia MHF1509</x:v>
      </x:c>
      <x:c r="D535" s="192" t="str">
        <x:v>Centro</x:v>
      </x:c>
      <x:c r="E535" s="192" t="n">
        <x:v>-27.0947671098</x:v>
      </x:c>
      <x:c r="F535" s="192" t="n">
        <x:v>-48.6127532198</x:v>
      </x:c>
      <x:c r="G535" s="192" t="str">
        <x:v>apartamento</x:v>
      </x:c>
      <x:c r="H535" s="192" t="n">
        <x:v>2</x:v>
      </x:c>
      <x:c r="I535" s="192" t="n">
        <x:v>2</x:v>
      </x:c>
      <x:c r="J535" s="192" t="n">
        <x:v>5</x:v>
      </x:c>
      <x:c r="K535" s="192" t="n">
        <x:v>7</x:v>
      </x:c>
      <x:c r="L535" s="192" t="n">
        <x:v>3</x:v>
      </x:c>
      <x:c r="M535" s="192" t="n">
        <x:v>4.6700000763</x:v>
      </x:c>
      <x:c r="N535" s="192" t="n">
        <x:v>240</x:v>
      </x:c>
      <x:c r="O535" s="192" t="n">
        <x:v>0</x:v>
      </x:c>
      <x:c r="P535" s="193" t="b">
        <x:v>1</x:v>
      </x:c>
      <x:c r="Q535" s="193" t="b">
        <x:v>1</x:v>
      </x:c>
      <x:c r="R535" s="193" t="b">
        <x:v>0</x:v>
      </x:c>
      <x:c r="S535" s="193" t="b">
        <x:v>0</x:v>
      </x:c>
      <x:c r="T535" s="192" t="n">
        <x:v>83</x:v>
      </x:c>
      <x:c r="U535" s="192" t="n">
        <x:v>7</x:v>
      </x:c>
      <x:c r="V535" s="200" t="n">
        <x:v>0.0777777778</x:v>
      </x:c>
      <x:c r="W535" s="203" t="n">
        <x:v>784</x:v>
      </x:c>
      <x:c r="X535" s="203" t="n">
        <x:v>7030.2359945721</x:v>
      </x:c>
      <x:c r="Y535" s="203" t="n">
        <x:v>18176.0893109666</x:v>
      </x:c>
      <x:c r="Z535" s="193" t="b">
        <x:v>1</x:v>
      </x:c>
      <x:c r="AA535" s="193" t="b">
        <x:v>1</x:v>
      </x:c>
      <x:c r="AB535" s="193" t="b">
        <x:v>1</x:v>
      </x:c>
      <x:c r="AC535" s="193" t="b">
        <x:v>1</x:v>
      </x:c>
      <x:c r="AD535" s="193" t="b">
        <x:v>1</x:v>
      </x:c>
      <x:c r="AE535" s="193" t="b">
        <x:v>1</x:v>
      </x:c>
      <x:c r="AF535" s="193" t="b">
        <x:v>1</x:v>
      </x:c>
      <x:c r="AG535" s="193" t="b">
        <x:v>1</x:v>
      </x:c>
      <x:c r="AH535" s="193" t="b">
        <x:v>1</x:v>
      </x:c>
      <x:c r="AI535" s="193" t="b">
        <x:v>1</x:v>
      </x:c>
      <x:c r="AJ535" s="193" t="b">
        <x:v>0</x:v>
      </x:c>
    </x:row>
    <x:row r="536">
      <x:c r="A536" s="192" t="n">
        <x:v>45711835</x:v>
      </x:c>
      <x:c r="B536" s="192" t="str">
        <x:v>https://www.airbnb.com.br/rooms/45711835</x:v>
      </x:c>
      <x:c r="C536" s="192" t="str">
        <x:v>Apto amplo com excelente localização na Meia Praia</x:v>
      </x:c>
      <x:c r="D536" s="192" t="str">
        <x:v>Meia Praia</x:v>
      </x:c>
      <x:c r="E536" s="192" t="n">
        <x:v>-27.12329</x:v>
      </x:c>
      <x:c r="F536" s="192" t="n">
        <x:v>-48.60572</x:v>
      </x:c>
      <x:c r="G536" s="192" t="str">
        <x:v>apartamento</x:v>
      </x:c>
      <x:c r="H536" s="192" t="n">
        <x:v>4</x:v>
      </x:c>
      <x:c r="I536" s="192" t="n">
        <x:v>2</x:v>
      </x:c>
      <x:c r="J536" s="192" t="n">
        <x:v>6</x:v>
      </x:c>
      <x:c r="K536" s="192" t="n">
        <x:v>10</x:v>
      </x:c>
      <x:c r="L536" s="192" t="n">
        <x:v>17</x:v>
      </x:c>
      <x:c r="M536" s="192" t="n">
        <x:v>4.9400000572</x:v>
      </x:c>
      <x:c r="N536" s="192" t="n">
        <x:v>280</x:v>
      </x:c>
      <x:c r="O536" s="192" t="n">
        <x:v>33</x:v>
      </x:c>
      <x:c r="P536" s="193" t="b">
        <x:v>1</x:v>
      </x:c>
      <x:c r="Q536" s="193" t="b">
        <x:v>0</x:v>
      </x:c>
      <x:c r="R536" s="193" t="b">
        <x:v>1</x:v>
      </x:c>
      <x:c r="S536" s="193" t="b">
        <x:v>0</x:v>
      </x:c>
      <x:c r="T536" s="192" t="n">
        <x:v>3</x:v>
      </x:c>
      <x:c r="U536" s="192" t="n">
        <x:v>87</x:v>
      </x:c>
      <x:c r="V536" s="200" t="n">
        <x:v>0.9666666667</x:v>
      </x:c>
      <x:c r="W536" s="203" t="n">
        <x:v>850</x:v>
      </x:c>
      <x:c r="X536" s="203" t="n">
        <x:v>74018.230932838</x:v>
      </x:c>
      <x:c r="Y536" s="203" t="n">
        <x:v>191367.9678909415</x:v>
      </x:c>
      <x:c r="Z536" s="193" t="b">
        <x:v>0</x:v>
      </x:c>
      <x:c r="AA536" s="193" t="b">
        <x:v>0</x:v>
      </x:c>
      <x:c r="AB536" s="193" t="b">
        <x:v>1</x:v>
      </x:c>
      <x:c r="AC536" s="193" t="b">
        <x:v>1</x:v>
      </x:c>
      <x:c r="AD536" s="193" t="b">
        <x:v>1</x:v>
      </x:c>
      <x:c r="AE536" s="193" t="b">
        <x:v>1</x:v>
      </x:c>
      <x:c r="AF536" s="193" t="b">
        <x:v>1</x:v>
      </x:c>
      <x:c r="AG536" s="193" t="b">
        <x:v>1</x:v>
      </x:c>
      <x:c r="AH536" s="193" t="b">
        <x:v>1</x:v>
      </x:c>
      <x:c r="AI536" s="193" t="b">
        <x:v>1</x:v>
      </x:c>
      <x:c r="AJ536" s="193" t="b">
        <x:v>0</x:v>
      </x:c>
    </x:row>
    <x:row r="537">
      <x:c r="A537" s="192" t="n">
        <x:v>17294276</x:v>
      </x:c>
      <x:c r="B537" s="192" t="str">
        <x:v>https://www.airbnb.com.br/rooms/17294276</x:v>
      </x:c>
      <x:c r="C537" s="192" t="str">
        <x:v>Ap. R. 260 Vista do Mar/04 suítes  Meia Praia</x:v>
      </x:c>
      <x:c r="D537" s="192" t="str">
        <x:v>Meia Praia</x:v>
      </x:c>
      <x:c r="E537" s="192" t="n">
        <x:v>-27.13113</x:v>
      </x:c>
      <x:c r="F537" s="192" t="n">
        <x:v>-48.59911</x:v>
      </x:c>
      <x:c r="G537" s="192" t="str">
        <x:v>apartamento</x:v>
      </x:c>
      <x:c r="H537" s="192" t="n">
        <x:v>4</x:v>
      </x:c>
      <x:c r="I537" s="192" t="n">
        <x:v>4</x:v>
      </x:c>
      <x:c r="J537" s="192" t="n">
        <x:v>5</x:v>
      </x:c>
      <x:c r="K537" s="192" t="n">
        <x:v>9</x:v>
      </x:c>
      <x:c r="L537" s="192" t="n">
        <x:v>21</x:v>
      </x:c>
      <x:c r="M537" s="192" t="n">
        <x:v>4.9499998093</x:v>
      </x:c>
      <x:c r="N537" s="192" t="n">
        <x:v>300</x:v>
      </x:c>
      <x:c r="O537" s="192" t="n">
        <x:v>27</x:v>
      </x:c>
      <x:c r="P537" s="193" t="b">
        <x:v>0</x:v>
      </x:c>
      <x:c r="Q537" s="193" t="b">
        <x:v>0</x:v>
      </x:c>
      <x:c r="R537" s="193" t="b">
        <x:v>0</x:v>
      </x:c>
      <x:c r="S537" s="193" t="b">
        <x:v>0</x:v>
      </x:c>
      <x:c r="T537" s="192" t="n">
        <x:v>10</x:v>
      </x:c>
      <x:c r="U537" s="192" t="n">
        <x:v>80</x:v>
      </x:c>
      <x:c r="V537" s="200" t="n">
        <x:v>0.8888888889</x:v>
      </x:c>
      <x:c r="W537" s="203" t="n">
        <x:v>700</x:v>
      </x:c>
      <x:c r="X537" s="203" t="n">
        <x:v>56227.2717433482</x:v>
      </x:c>
      <x:c r="Y537" s="203" t="n">
        <x:v>145370.9254864481</x:v>
      </x:c>
      <x:c r="Z537" s="193" t="b">
        <x:v>0</x:v>
      </x:c>
      <x:c r="AA537" s="193" t="b">
        <x:v>0</x:v>
      </x:c>
      <x:c r="AB537" s="193" t="b">
        <x:v>1</x:v>
      </x:c>
      <x:c r="AC537" s="193" t="b">
        <x:v>1</x:v>
      </x:c>
      <x:c r="AD537" s="193" t="b">
        <x:v>1</x:v>
      </x:c>
      <x:c r="AE537" s="193" t="b">
        <x:v>1</x:v>
      </x:c>
      <x:c r="AF537" s="193" t="b">
        <x:v>0</x:v>
      </x:c>
      <x:c r="AG537" s="193" t="b">
        <x:v>1</x:v>
      </x:c>
      <x:c r="AH537" s="193" t="b">
        <x:v>1</x:v>
      </x:c>
      <x:c r="AI537" s="193" t="b">
        <x:v>1</x:v>
      </x:c>
      <x:c r="AJ537" s="193" t="b">
        <x:v>1</x:v>
      </x:c>
    </x:row>
    <x:row r="538">
      <x:c r="A538" s="192" t="n">
        <x:v>29761442</x:v>
      </x:c>
      <x:c r="B538" s="192" t="str">
        <x:v>https://www.airbnb.com.br/rooms/29761442</x:v>
      </x:c>
      <x:c r="C538" s="192" t="str">
        <x:v>Apto 3 quartos em Meia Praia</x:v>
      </x:c>
      <x:c r="D538" s="192" t="str">
        <x:v>Meia Praia</x:v>
      </x:c>
      <x:c r="E538" s="192" t="n">
        <x:v>-27.13813</x:v>
      </x:c>
      <x:c r="F538" s="192" t="n">
        <x:v>-48.59385</x:v>
      </x:c>
      <x:c r="G538" s="192" t="str">
        <x:v>apartamento</x:v>
      </x:c>
      <x:c r="H538" s="192" t="n">
        <x:v>3</x:v>
      </x:c>
      <x:c r="I538" s="192" t="n">
        <x:v>2</x:v>
      </x:c>
      <x:c r="J538" s="192" t="n">
        <x:v>3</x:v>
      </x:c>
      <x:c r="K538" s="192" t="n">
        <x:v>7</x:v>
      </x:c>
      <x:c r="L538" s="192" t="n">
        <x:v>28</x:v>
      </x:c>
      <x:c r="M538" s="192" t="n">
        <x:v>4.9600000381</x:v>
      </x:c>
      <x:c r="N538" s="192" t="n">
        <x:v>200</x:v>
      </x:c>
      <x:c r="O538" s="192" t="n">
        <x:v>24</x:v>
      </x:c>
      <x:c r="P538" s="193" t="b">
        <x:v>0</x:v>
      </x:c>
      <x:c r="Q538" s="193" t="b">
        <x:v>0</x:v>
      </x:c>
      <x:c r="R538" s="193" t="b">
        <x:v>1</x:v>
      </x:c>
      <x:c r="S538" s="193" t="b">
        <x:v>0</x:v>
      </x:c>
      <x:c r="T538" s="192" t="n">
        <x:v>6</x:v>
      </x:c>
      <x:c r="U538" s="192" t="n">
        <x:v>84</x:v>
      </x:c>
      <x:c r="V538" s="200" t="n">
        <x:v>0.9333333333</x:v>
      </x:c>
      <x:c r="W538" s="203" t="n">
        <x:v>380</x:v>
      </x:c>
      <x:c r="X538" s="203" t="n">
        <x:v>31997.0759938807</x:v>
      </x:c>
      <x:c r="Y538" s="203" t="n">
        <x:v>82725.7735591792</x:v>
      </x:c>
      <x:c r="Z538" s="193" t="b">
        <x:v>0</x:v>
      </x:c>
      <x:c r="AA538" s="193" t="b">
        <x:v>0</x:v>
      </x:c>
      <x:c r="AB538" s="193" t="b">
        <x:v>1</x:v>
      </x:c>
      <x:c r="AC538" s="193" t="b">
        <x:v>1</x:v>
      </x:c>
      <x:c r="AD538" s="193" t="b">
        <x:v>1</x:v>
      </x:c>
      <x:c r="AE538" s="193" t="b">
        <x:v>1</x:v>
      </x:c>
      <x:c r="AF538" s="193" t="b">
        <x:v>1</x:v>
      </x:c>
      <x:c r="AG538" s="193" t="b">
        <x:v>1</x:v>
      </x:c>
      <x:c r="AH538" s="193" t="b">
        <x:v>1</x:v>
      </x:c>
      <x:c r="AI538" s="193" t="b">
        <x:v>1</x:v>
      </x:c>
      <x:c r="AJ538" s="193" t="b">
        <x:v>1</x:v>
      </x:c>
    </x:row>
    <x:row r="539">
      <x:c r="A539" s="192" t="n">
        <x:v>734774611454860200</x:v>
      </x:c>
      <x:c r="B539" s="192" t="str">
        <x:v>https://www.airbnb.com.br/rooms/734774611454860165</x:v>
      </x:c>
      <x:c r="C539" s="192" t="str">
        <x:v>Lindo apartamento vista mar</x:v>
      </x:c>
      <x:c r="D539" s="192" t="str">
        <x:v>Meia Praia</x:v>
      </x:c>
      <x:c r="E539" s="192" t="n">
        <x:v>-27.1380004883</x:v>
      </x:c>
      <x:c r="F539" s="192" t="n">
        <x:v>-48.5929985046</x:v>
      </x:c>
      <x:c r="G539" s="192" t="str">
        <x:v>apartamento</x:v>
      </x:c>
      <x:c r="H539" s="192" t="n">
        <x:v>4</x:v>
      </x:c>
      <x:c r="I539" s="192" t="n">
        <x:v>3</x:v>
      </x:c>
      <x:c r="J539" s="192" t="n">
        <x:v>4</x:v>
      </x:c>
      <x:c r="K539" s="192" t="n">
        <x:v>8</x:v>
      </x:c>
      <x:c r="L539" s="192" t="n">
        <x:v>10</x:v>
      </x:c>
      <x:c r="M539" s="192" t="n">
        <x:v>4.9000000954</x:v>
      </x:c>
      <x:c r="N539" s="192" t="n">
        <x:v>300</x:v>
      </x:c>
      <x:c r="O539" s="192" t="n">
        <x:v>29</x:v>
      </x:c>
      <x:c r="P539" s="193" t="b">
        <x:v>1</x:v>
      </x:c>
      <x:c r="Q539" s="193" t="b">
        <x:v>0</x:v>
      </x:c>
      <x:c r="R539" s="193" t="b">
        <x:v>1</x:v>
      </x:c>
      <x:c r="S539" s="193" t="b">
        <x:v>0</x:v>
      </x:c>
      <x:c r="T539" s="192" t="n">
        <x:v>52</x:v>
      </x:c>
      <x:c r="U539" s="192" t="n">
        <x:v>38</x:v>
      </x:c>
      <x:c r="V539" s="200" t="n">
        <x:v>0.4222222222</x:v>
      </x:c>
      <x:c r="W539" s="203" t="n">
        <x:v>604.16665</x:v>
      </x:c>
      <x:c r="X539" s="203" t="n">
        <x:v>23828.4652959434</x:v>
      </x:c>
      <x:c r="Y539" s="203" t="n">
        <x:v>61606.5113172204</x:v>
      </x:c>
      <x:c r="Z539" s="193" t="b">
        <x:v>1</x:v>
      </x:c>
      <x:c r="AA539" s="193" t="b">
        <x:v>0</x:v>
      </x:c>
      <x:c r="AB539" s="193" t="b">
        <x:v>1</x:v>
      </x:c>
      <x:c r="AC539" s="193" t="b">
        <x:v>1</x:v>
      </x:c>
      <x:c r="AD539" s="193" t="b">
        <x:v>1</x:v>
      </x:c>
      <x:c r="AE539" s="193" t="b">
        <x:v>1</x:v>
      </x:c>
      <x:c r="AF539" s="193" t="b">
        <x:v>1</x:v>
      </x:c>
      <x:c r="AG539" s="193" t="b">
        <x:v>1</x:v>
      </x:c>
      <x:c r="AH539" s="193" t="b">
        <x:v>1</x:v>
      </x:c>
      <x:c r="AI539" s="193" t="b">
        <x:v>1</x:v>
      </x:c>
      <x:c r="AJ539" s="193" t="b">
        <x:v>1</x:v>
      </x:c>
    </x:row>
    <x:row r="540">
      <x:c r="A540" s="192" t="n">
        <x:v>1058193595817353200</x:v>
      </x:c>
      <x:c r="B540" s="192" t="str">
        <x:v>https://www.airbnb.com.br/rooms/1058193595817353204</x:v>
      </x:c>
      <x:c r="C540" s="192" t="str">
        <x:v>Precioso apto a estrenar</x:v>
      </x:c>
      <x:c r="D540" s="192" t="str">
        <x:v>Tabuleiro dos Oliveiras</x:v>
      </x:c>
      <x:c r="E540" s="192" t="n">
        <x:v>-27.1079998016</x:v>
      </x:c>
      <x:c r="F540" s="192" t="n">
        <x:v>-48.6139984131</x:v>
      </x:c>
      <x:c r="G540" s="192" t="str">
        <x:v>apartamento</x:v>
      </x:c>
      <x:c r="H540" s="192" t="n">
        <x:v>2</x:v>
      </x:c>
      <x:c r="I540" s="192" t="n">
        <x:v>2</x:v>
      </x:c>
      <x:c r="J540" s="192" t="n">
        <x:v>5</x:v>
      </x:c>
      <x:c r="K540" s="192" t="n">
        <x:v>6</x:v>
      </x:c>
      <x:c r="L540" s="192" t="n">
        <x:v>11</x:v>
      </x:c>
      <x:c r="M540" s="192" t="n">
        <x:v>5</x:v>
      </x:c>
      <x:c r="N540" s="192" t="n">
        <x:v>200</x:v>
      </x:c>
      <x:c r="O540" s="192" t="n">
        <x:v>24</x:v>
      </x:c>
      <x:c r="P540" s="193" t="b">
        <x:v>1</x:v>
      </x:c>
      <x:c r="Q540" s="193" t="b">
        <x:v>0</x:v>
      </x:c>
      <x:c r="R540" s="193" t="b">
        <x:v>1</x:v>
      </x:c>
      <x:c r="S540" s="193" t="b">
        <x:v>1</x:v>
      </x:c>
      <x:c r="T540" s="192" t="n">
        <x:v>33</x:v>
      </x:c>
      <x:c r="U540" s="192" t="n">
        <x:v>57</x:v>
      </x:c>
      <x:c r="V540" s="200" t="n">
        <x:v>0.6333333333</x:v>
      </x:c>
      <x:c r="W540" s="203" t="n">
        <x:v>400</x:v>
      </x:c>
      <x:c r="X540" s="203" t="n">
        <x:v>23209.4961274053</x:v>
      </x:c>
      <x:c r="Y540" s="203" t="n">
        <x:v>60006.2181127292</x:v>
      </x:c>
      <x:c r="Z540" s="193" t="b">
        <x:v>1</x:v>
      </x:c>
      <x:c r="AA540" s="193" t="b">
        <x:v>0</x:v>
      </x:c>
      <x:c r="AB540" s="193" t="b">
        <x:v>1</x:v>
      </x:c>
      <x:c r="AC540" s="193" t="b">
        <x:v>1</x:v>
      </x:c>
      <x:c r="AD540" s="193" t="b">
        <x:v>1</x:v>
      </x:c>
      <x:c r="AE540" s="193" t="b">
        <x:v>1</x:v>
      </x:c>
      <x:c r="AF540" s="193" t="b">
        <x:v>1</x:v>
      </x:c>
      <x:c r="AG540" s="193" t="b">
        <x:v>1</x:v>
      </x:c>
      <x:c r="AH540" s="193" t="b">
        <x:v>1</x:v>
      </x:c>
      <x:c r="AI540" s="193" t="b">
        <x:v>1</x:v>
      </x:c>
      <x:c r="AJ540" s="193" t="b">
        <x:v>1</x:v>
      </x:c>
    </x:row>
    <x:row r="541">
      <x:c r="A541" s="192" t="n">
        <x:v>32585103</x:v>
      </x:c>
      <x:c r="B541" s="192" t="str">
        <x:v>https://www.airbnb.com.br/rooms/32585103</x:v>
      </x:c>
      <x:c r="C541" s="192" t="str">
        <x:v>Bem-estar na quadra do mar de Meia Praia</x:v>
      </x:c>
      <x:c r="D541" s="192" t="str">
        <x:v>Meia Praia</x:v>
      </x:c>
      <x:c r="E541" s="192" t="n">
        <x:v>-27.13984</x:v>
      </x:c>
      <x:c r="F541" s="192" t="n">
        <x:v>-48.59174</x:v>
      </x:c>
      <x:c r="G541" s="192" t="str">
        <x:v>apartamento</x:v>
      </x:c>
      <x:c r="H541" s="192" t="n">
        <x:v>2</x:v>
      </x:c>
      <x:c r="I541" s="192" t="n">
        <x:v>2</x:v>
      </x:c>
      <x:c r="J541" s="192" t="n">
        <x:v>2</x:v>
      </x:c>
      <x:c r="K541" s="192" t="n">
        <x:v>5</x:v>
      </x:c>
      <x:c r="L541" s="192" t="n">
        <x:v>75</x:v>
      </x:c>
      <x:c r="M541" s="192" t="n">
        <x:v>4.9099998474</x:v>
      </x:c>
      <x:c r="N541" s="192" t="n">
        <x:v>250</x:v>
      </x:c>
      <x:c r="O541" s="192" t="n">
        <x:v>19</x:v>
      </x:c>
      <x:c r="P541" s="193" t="b">
        <x:v>0</x:v>
      </x:c>
      <x:c r="Q541" s="193" t="b">
        <x:v>0</x:v>
      </x:c>
      <x:c r="R541" s="193" t="b">
        <x:v>1</x:v>
      </x:c>
      <x:c r="S541" s="193" t="b">
        <x:v>1</x:v>
      </x:c>
      <x:c r="T541" s="192" t="n">
        <x:v>38</x:v>
      </x:c>
      <x:c r="U541" s="192" t="n">
        <x:v>52</x:v>
      </x:c>
      <x:c r="V541" s="200" t="n">
        <x:v>0.5777777778</x:v>
      </x:c>
      <x:c r="W541" s="203" t="n">
        <x:v>300</x:v>
      </x:c>
      <x:c r="X541" s="203" t="n">
        <x:v>15957.3709950512</x:v>
      </x:c>
      <x:c r="Y541" s="203" t="n">
        <x:v>41256.4529267886</x:v>
      </x:c>
      <x:c r="Z541" s="193" t="b">
        <x:v>1</x:v>
      </x:c>
      <x:c r="AA541" s="193" t="b">
        <x:v>0</x:v>
      </x:c>
      <x:c r="AB541" s="193" t="b">
        <x:v>1</x:v>
      </x:c>
      <x:c r="AC541" s="193" t="b">
        <x:v>1</x:v>
      </x:c>
      <x:c r="AD541" s="193" t="b">
        <x:v>1</x:v>
      </x:c>
      <x:c r="AE541" s="193" t="b">
        <x:v>1</x:v>
      </x:c>
      <x:c r="AF541" s="193" t="b">
        <x:v>1</x:v>
      </x:c>
      <x:c r="AG541" s="193" t="b">
        <x:v>1</x:v>
      </x:c>
      <x:c r="AH541" s="193" t="b">
        <x:v>1</x:v>
      </x:c>
      <x:c r="AI541" s="193" t="b">
        <x:v>1</x:v>
      </x:c>
      <x:c r="AJ541" s="193" t="b">
        <x:v>1</x:v>
      </x:c>
    </x:row>
    <x:row r="542">
      <x:c r="A542" s="192" t="n">
        <x:v>1025356251415331600</x:v>
      </x:c>
      <x:c r="B542" s="192" t="str">
        <x:v>https://www.airbnb.com.br/rooms/1025356251415331533</x:v>
      </x:c>
      <x:c r="C542" s="192" t="str">
        <x:v>AP NOVO linda vista - 200m mar</x:v>
      </x:c>
      <x:c r="D542" s="192" t="str">
        <x:v>Morretes</x:v>
      </x:c>
      <x:c r="E542" s="192" t="n">
        <x:v>-27.115753428</x:v>
      </x:c>
      <x:c r="F542" s="192" t="n">
        <x:v>-48.6117389426</x:v>
      </x:c>
      <x:c r="G542" s="192" t="str">
        <x:v>apartamento</x:v>
      </x:c>
      <x:c r="H542" s="192" t="n">
        <x:v>2</x:v>
      </x:c>
      <x:c r="I542" s="192" t="n">
        <x:v>2</x:v>
      </x:c>
      <x:c r="J542" s="192" t="n">
        <x:v>5</x:v>
      </x:c>
      <x:c r="K542" s="192" t="n">
        <x:v>5</x:v>
      </x:c>
      <x:c r="L542" s="192" t="n">
        <x:v>27</x:v>
      </x:c>
      <x:c r="M542" s="192" t="n">
        <x:v>5</x:v>
      </x:c>
      <x:c r="N542" s="192" t="n">
        <x:v>250</x:v>
      </x:c>
      <x:c r="O542" s="192" t="n">
        <x:v>25</x:v>
      </x:c>
      <x:c r="P542" s="193" t="b">
        <x:v>0</x:v>
      </x:c>
      <x:c r="Q542" s="193" t="b">
        <x:v>0</x:v>
      </x:c>
      <x:c r="R542" s="193" t="b">
        <x:v>1</x:v>
      </x:c>
      <x:c r="S542" s="193" t="b">
        <x:v>1</x:v>
      </x:c>
      <x:c r="T542" s="192" t="n">
        <x:v>29</x:v>
      </x:c>
      <x:c r="U542" s="192" t="n">
        <x:v>61</x:v>
      </x:c>
      <x:c r="V542" s="200" t="n">
        <x:v>0.6777777778</x:v>
      </x:c>
      <x:c r="W542" s="203" t="n">
        <x:v>350</x:v>
      </x:c>
      <x:c r="X542" s="203" t="n">
        <x:v>21720.5668387554</x:v>
      </x:c>
      <x:c r="Y542" s="203" t="n">
        <x:v>56156.7155143656</x:v>
      </x:c>
      <x:c r="Z542" s="193" t="b">
        <x:v>1</x:v>
      </x:c>
      <x:c r="AA542" s="193" t="b">
        <x:v>0</x:v>
      </x:c>
      <x:c r="AB542" s="193" t="b">
        <x:v>1</x:v>
      </x:c>
      <x:c r="AC542" s="193" t="b">
        <x:v>1</x:v>
      </x:c>
      <x:c r="AD542" s="193" t="b">
        <x:v>0</x:v>
      </x:c>
      <x:c r="AE542" s="193" t="b">
        <x:v>1</x:v>
      </x:c>
      <x:c r="AF542" s="193" t="b">
        <x:v>1</x:v>
      </x:c>
      <x:c r="AG542" s="193" t="b">
        <x:v>1</x:v>
      </x:c>
      <x:c r="AH542" s="193" t="b">
        <x:v>1</x:v>
      </x:c>
      <x:c r="AI542" s="193" t="b">
        <x:v>1</x:v>
      </x:c>
      <x:c r="AJ542" s="193" t="b">
        <x:v>1</x:v>
      </x:c>
    </x:row>
    <x:row r="543">
      <x:c r="A543" s="192" t="n">
        <x:v>40391575</x:v>
      </x:c>
      <x:c r="B543" s="192" t="str">
        <x:v>https://www.airbnb.com.br/rooms/40391575</x:v>
      </x:c>
      <x:c r="C543" s="192" t="str">
        <x:v>Temporada 2022 - Itapema -SC, 350 metros do mar.</x:v>
      </x:c>
      <x:c r="D543" s="192" t="str">
        <x:v>Morretes</x:v>
      </x:c>
      <x:c r="E543" s="192" t="n">
        <x:v>-27.11888</x:v>
      </x:c>
      <x:c r="F543" s="192" t="n">
        <x:v>-48.61286</x:v>
      </x:c>
      <x:c r="G543" s="192" t="str">
        <x:v>apartamento</x:v>
      </x:c>
      <x:c r="H543" s="192" t="n">
        <x:v>2</x:v>
      </x:c>
      <x:c r="I543" s="192" t="n">
        <x:v>2</x:v>
      </x:c>
      <x:c r="J543" s="192" t="n">
        <x:v>2</x:v>
      </x:c>
      <x:c r="K543" s="192" t="n">
        <x:v>4</x:v>
      </x:c>
      <x:c r="L543" s="192" t="n">
        <x:v>46</x:v>
      </x:c>
      <x:c r="M543" s="192" t="n">
        <x:v>4.7800002098</x:v>
      </x:c>
      <x:c r="N543" s="192" t="n">
        <x:v>190</x:v>
      </x:c>
      <x:c r="O543" s="192" t="n">
        <x:v>9</x:v>
      </x:c>
      <x:c r="P543" s="193" t="b">
        <x:v>1</x:v>
      </x:c>
      <x:c r="Q543" s="193" t="b">
        <x:v>0</x:v>
      </x:c>
      <x:c r="R543" s="193" t="b">
        <x:v>0</x:v>
      </x:c>
      <x:c r="S543" s="193" t="b">
        <x:v>0</x:v>
      </x:c>
      <x:c r="T543" s="192" t="n">
        <x:v>7</x:v>
      </x:c>
      <x:c r="U543" s="192" t="n">
        <x:v>83</x:v>
      </x:c>
      <x:c r="V543" s="200" t="n">
        <x:v>0.9222222222</x:v>
      </x:c>
      <x:c r="W543" s="203" t="n">
        <x:v>10000</x:v>
      </x:c>
      <x:c r="X543" s="203" t="n">
        <x:v>833617.4135108386</x:v>
      </x:c>
      <x:c r="Y543" s="203" t="n">
        <x:v>2155248.354514481</x:v>
      </x:c>
      <x:c r="Z543" s="193" t="b">
        <x:v>0</x:v>
      </x:c>
      <x:c r="AA543" s="193" t="b">
        <x:v>0</x:v>
      </x:c>
      <x:c r="AB543" s="193" t="b">
        <x:v>0</x:v>
      </x:c>
      <x:c r="AC543" s="193" t="b">
        <x:v>1</x:v>
      </x:c>
      <x:c r="AD543" s="193" t="b">
        <x:v>1</x:v>
      </x:c>
      <x:c r="AE543" s="193" t="b">
        <x:v>1</x:v>
      </x:c>
      <x:c r="AF543" s="193" t="b">
        <x:v>0</x:v>
      </x:c>
      <x:c r="AG543" s="193" t="b">
        <x:v>0</x:v>
      </x:c>
      <x:c r="AH543" s="193" t="b">
        <x:v>1</x:v>
      </x:c>
      <x:c r="AI543" s="193" t="b">
        <x:v>1</x:v>
      </x:c>
      <x:c r="AJ543" s="193" t="b">
        <x:v>0</x:v>
      </x:c>
    </x:row>
    <x:row r="544">
      <x:c r="A544" s="192" t="n">
        <x:v>525472560929976060</x:v>
      </x:c>
      <x:c r="B544" s="192" t="str">
        <x:v>https://www.airbnb.com.br/rooms/525472560929976068</x:v>
      </x:c>
      <x:c r="C544" s="192" t="str">
        <x:v>Cobertura ampla a 20 passinhos do mar!!!</x:v>
      </x:c>
      <x:c r="D544" s="192" t="str">
        <x:v>Meia Praia</x:v>
      </x:c>
      <x:c r="E544" s="192" t="n">
        <x:v>-27.138884</x:v>
      </x:c>
      <x:c r="F544" s="192" t="n">
        <x:v>-48.591633</x:v>
      </x:c>
      <x:c r="G544" s="192" t="str">
        <x:v>apartamento</x:v>
      </x:c>
      <x:c r="H544" s="192" t="n">
        <x:v>3</x:v>
      </x:c>
      <x:c r="I544" s="192" t="n">
        <x:v>3</x:v>
      </x:c>
      <x:c r="J544" s="192" t="n">
        <x:v>3</x:v>
      </x:c>
      <x:c r="K544" s="192" t="n">
        <x:v>8</x:v>
      </x:c>
      <x:c r="L544" s="192" t="n">
        <x:v>18</x:v>
      </x:c>
      <x:c r="M544" s="192" t="n">
        <x:v>4.9400000572</x:v>
      </x:c>
      <x:c r="N544" s="192" t="n">
        <x:v>350</x:v>
      </x:c>
      <x:c r="O544" s="192" t="n">
        <x:v>25</x:v>
      </x:c>
      <x:c r="P544" s="193" t="b">
        <x:v>1</x:v>
      </x:c>
      <x:c r="Q544" s="193" t="b">
        <x:v>0</x:v>
      </x:c>
      <x:c r="R544" s="193" t="b">
        <x:v>1</x:v>
      </x:c>
      <x:c r="S544" s="193" t="b">
        <x:v>0</x:v>
      </x:c>
      <x:c r="T544" s="192" t="n">
        <x:v>78</x:v>
      </x:c>
      <x:c r="U544" s="192" t="n">
        <x:v>12</x:v>
      </x:c>
      <x:c r="V544" s="200" t="n">
        <x:v>0.1333333333</x:v>
      </x:c>
      <x:c r="W544" s="203" t="n">
        <x:v>981</x:v>
      </x:c>
      <x:c r="X544" s="203" t="n">
        <x:v>12330.4190726926</x:v>
      </x:c>
      <x:c r="Y544" s="203" t="n">
        <x:v>31879.2709775239</x:v>
      </x:c>
      <x:c r="Z544" s="193" t="b">
        <x:v>1</x:v>
      </x:c>
      <x:c r="AA544" s="193" t="b">
        <x:v>0</x:v>
      </x:c>
      <x:c r="AB544" s="193" t="b">
        <x:v>1</x:v>
      </x:c>
      <x:c r="AC544" s="193" t="b">
        <x:v>1</x:v>
      </x:c>
      <x:c r="AD544" s="193" t="b">
        <x:v>0</x:v>
      </x:c>
      <x:c r="AE544" s="193" t="b">
        <x:v>1</x:v>
      </x:c>
      <x:c r="AF544" s="193" t="b">
        <x:v>1</x:v>
      </x:c>
      <x:c r="AG544" s="193" t="b">
        <x:v>1</x:v>
      </x:c>
      <x:c r="AH544" s="193" t="b">
        <x:v>1</x:v>
      </x:c>
      <x:c r="AI544" s="193" t="b">
        <x:v>1</x:v>
      </x:c>
      <x:c r="AJ544" s="193" t="b">
        <x:v>1</x:v>
      </x:c>
    </x:row>
    <x:row r="545">
      <x:c r="A545" s="192" t="n">
        <x:v>1207864392976162300</x:v>
      </x:c>
      <x:c r="B545" s="192" t="str">
        <x:v>https://www.airbnb.com.br/rooms/1207864392976162235</x:v>
      </x:c>
      <x:c r="C545" s="192" t="str">
        <x:v>AP 1305 para até 5 pessoas</x:v>
      </x:c>
      <x:c r="D545" s="192" t="str">
        <x:v>Centro</x:v>
      </x:c>
      <x:c r="E545" s="192" t="n">
        <x:v>-27.0927395</x:v>
      </x:c>
      <x:c r="F545" s="192" t="n">
        <x:v>-48.6133933</x:v>
      </x:c>
      <x:c r="G545" s="192" t="str">
        <x:v>apartamento</x:v>
      </x:c>
      <x:c r="H545" s="192" t="n">
        <x:v>1</x:v>
      </x:c>
      <x:c r="I545" s="192" t="n">
        <x:v>1</x:v>
      </x:c>
      <x:c r="J545" s="192" t="n">
        <x:v>2</x:v>
      </x:c>
      <x:c r="K545" s="192" t="n">
        <x:v>4</x:v>
      </x:c>
      <x:c r="L545" s="192" t="n">
        <x:v>1</x:v>
      </x:c>
      <x:c r="M545" s="192" t="n">
        <x:v>5</x:v>
      </x:c>
      <x:c r="N545" s="192" t="n">
        <x:v>0</x:v>
      </x:c>
      <x:c r="O545" s="192" t="n">
        <x:v>0</x:v>
      </x:c>
      <x:c r="P545" s="193" t="b">
        <x:v>0</x:v>
      </x:c>
      <x:c r="Q545" s="193" t="b">
        <x:v>0</x:v>
      </x:c>
      <x:c r="R545" s="193" t="b">
        <x:v>0</x:v>
      </x:c>
      <x:c r="S545" s="193" t="b">
        <x:v>0</x:v>
      </x:c>
      <x:c r="T545" s="192" t="n">
        <x:v>74</x:v>
      </x:c>
      <x:c r="U545" s="192" t="n">
        <x:v>16</x:v>
      </x:c>
      <x:c r="V545" s="200" t="n">
        <x:v>0.1777777778</x:v>
      </x:c>
      <x:c r="W545" s="203" t="n">
        <x:v>600</x:v>
      </x:c>
      <x:c r="X545" s="203" t="n">
        <x:v>9878.852467686</x:v>
      </x:c>
      <x:c r="Y545" s="203" t="n">
        <x:v>25540.9498174965</x:v>
      </x:c>
      <x:c r="Z545" s="193" t="b">
        <x:v>1</x:v>
      </x:c>
      <x:c r="AA545" s="193" t="b">
        <x:v>1</x:v>
      </x:c>
      <x:c r="AB545" s="193" t="b">
        <x:v>1</x:v>
      </x:c>
      <x:c r="AC545" s="193" t="b">
        <x:v>1</x:v>
      </x:c>
      <x:c r="AD545" s="193" t="b">
        <x:v>0</x:v>
      </x:c>
      <x:c r="AE545" s="193" t="b">
        <x:v>0</x:v>
      </x:c>
      <x:c r="AF545" s="193" t="b">
        <x:v>1</x:v>
      </x:c>
      <x:c r="AG545" s="193" t="b">
        <x:v>0</x:v>
      </x:c>
      <x:c r="AH545" s="193" t="b">
        <x:v>1</x:v>
      </x:c>
      <x:c r="AI545" s="193" t="b">
        <x:v>1</x:v>
      </x:c>
      <x:c r="AJ545" s="193" t="b">
        <x:v>0</x:v>
      </x:c>
    </x:row>
    <x:row r="546">
      <x:c r="A546" s="192" t="n">
        <x:v>50059423</x:v>
      </x:c>
      <x:c r="B546" s="192" t="str">
        <x:v>https://www.airbnb.com.br/rooms/50059423</x:v>
      </x:c>
      <x:c r="C546" s="192" t="str">
        <x:v>Apto perfeito a 20 passos da praia com vista mar</x:v>
      </x:c>
      <x:c r="D546" s="192" t="str">
        <x:v>Meia Praia</x:v>
      </x:c>
      <x:c r="E546" s="192" t="n">
        <x:v>-27.130732</x:v>
      </x:c>
      <x:c r="F546" s="192" t="n">
        <x:v>-48.598942</x:v>
      </x:c>
      <x:c r="G546" s="192" t="str">
        <x:v>apartamento</x:v>
      </x:c>
      <x:c r="H546" s="192" t="n">
        <x:v>2</x:v>
      </x:c>
      <x:c r="I546" s="192" t="n">
        <x:v>2</x:v>
      </x:c>
      <x:c r="J546" s="192" t="n">
        <x:v>4</x:v>
      </x:c>
      <x:c r="K546" s="192" t="n">
        <x:v>6</x:v>
      </x:c>
      <x:c r="L546" s="192" t="n">
        <x:v>145</x:v>
      </x:c>
      <x:c r="M546" s="192" t="n">
        <x:v>4.9299998283</x:v>
      </x:c>
      <x:c r="N546" s="192" t="n">
        <x:v>80</x:v>
      </x:c>
      <x:c r="O546" s="192" t="n">
        <x:v>19</x:v>
      </x:c>
      <x:c r="P546" s="193" t="b">
        <x:v>0</x:v>
      </x:c>
      <x:c r="Q546" s="193" t="b">
        <x:v>0</x:v>
      </x:c>
      <x:c r="R546" s="193" t="b">
        <x:v>1</x:v>
      </x:c>
      <x:c r="S546" s="193" t="b">
        <x:v>1</x:v>
      </x:c>
      <x:c r="T546" s="192" t="n">
        <x:v>27</x:v>
      </x:c>
      <x:c r="U546" s="192" t="n">
        <x:v>63</x:v>
      </x:c>
      <x:c r="V546" s="200" t="n">
        <x:v>0.7</x:v>
      </x:c>
      <x:c r="W546" s="203" t="n">
        <x:v>350</x:v>
      </x:c>
      <x:c r="X546" s="203" t="n">
        <x:v>22577.2064788585</x:v>
      </x:c>
      <x:c r="Y546" s="203" t="n">
        <x:v>58371.4859172153</x:v>
      </x:c>
      <x:c r="Z546" s="193" t="b">
        <x:v>0</x:v>
      </x:c>
      <x:c r="AA546" s="193" t="b">
        <x:v>0</x:v>
      </x:c>
      <x:c r="AB546" s="193" t="b">
        <x:v>1</x:v>
      </x:c>
      <x:c r="AC546" s="193" t="b">
        <x:v>1</x:v>
      </x:c>
      <x:c r="AD546" s="193" t="b">
        <x:v>1</x:v>
      </x:c>
      <x:c r="AE546" s="193" t="b">
        <x:v>1</x:v>
      </x:c>
      <x:c r="AF546" s="193" t="b">
        <x:v>1</x:v>
      </x:c>
      <x:c r="AG546" s="193" t="b">
        <x:v>1</x:v>
      </x:c>
      <x:c r="AH546" s="193" t="b">
        <x:v>1</x:v>
      </x:c>
      <x:c r="AI546" s="193" t="b">
        <x:v>1</x:v>
      </x:c>
      <x:c r="AJ546" s="193" t="b">
        <x:v>0</x:v>
      </x:c>
    </x:row>
    <x:row r="547">
      <x:c r="A547" s="192" t="n">
        <x:v>39715668</x:v>
      </x:c>
      <x:c r="B547" s="192" t="str">
        <x:v>https://www.airbnb.com.br/rooms/39715668</x:v>
      </x:c>
      <x:c r="C547" s="192" t="str">
        <x:v>Excelente Apartamento de 2 quartos na praia</x:v>
      </x:c>
      <x:c r="D547" s="192" t="str">
        <x:v>Casa Branca</x:v>
      </x:c>
      <x:c r="E547" s="192" t="n">
        <x:v>-27.09159</x:v>
      </x:c>
      <x:c r="F547" s="192" t="n">
        <x:v>-48.61944</x:v>
      </x:c>
      <x:c r="G547" s="192" t="str">
        <x:v>apartamento</x:v>
      </x:c>
      <x:c r="H547" s="192" t="n">
        <x:v>2</x:v>
      </x:c>
      <x:c r="I547" s="192" t="n">
        <x:v>1</x:v>
      </x:c>
      <x:c r="J547" s="192" t="n">
        <x:v>3</x:v>
      </x:c>
      <x:c r="K547" s="192" t="n">
        <x:v>4</x:v>
      </x:c>
      <x:c r="L547" s="192" t="n">
        <x:v>18</x:v>
      </x:c>
      <x:c r="M547" s="192" t="n">
        <x:v>4.9400000572</x:v>
      </x:c>
      <x:c r="N547" s="192" t="n">
        <x:v>200</x:v>
      </x:c>
      <x:c r="O547" s="192" t="n">
        <x:v>15</x:v>
      </x:c>
      <x:c r="P547" s="193" t="b">
        <x:v>0</x:v>
      </x:c>
      <x:c r="Q547" s="193" t="b">
        <x:v>0</x:v>
      </x:c>
      <x:c r="R547" s="193" t="b">
        <x:v>1</x:v>
      </x:c>
      <x:c r="S547" s="193" t="b">
        <x:v>0</x:v>
      </x:c>
      <x:c r="T547" s="192" t="n">
        <x:v>56</x:v>
      </x:c>
      <x:c r="U547" s="192" t="n">
        <x:v>34</x:v>
      </x:c>
      <x:c r="V547" s="200" t="n">
        <x:v>0.3777777778</x:v>
      </x:c>
      <x:c r="W547" s="203" t="n">
        <x:v>215</x:v>
      </x:c>
      <x:c r="X547" s="203" t="n">
        <x:v>7681.8001183823</x:v>
      </x:c>
      <x:c r="Y547" s="203" t="n">
        <x:v>19860.6540560675</x:v>
      </x:c>
      <x:c r="Z547" s="193" t="b">
        <x:v>1</x:v>
      </x:c>
      <x:c r="AA547" s="193" t="b">
        <x:v>0</x:v>
      </x:c>
      <x:c r="AB547" s="193" t="b">
        <x:v>1</x:v>
      </x:c>
      <x:c r="AC547" s="193" t="b">
        <x:v>1</x:v>
      </x:c>
      <x:c r="AD547" s="193" t="b">
        <x:v>1</x:v>
      </x:c>
      <x:c r="AE547" s="193" t="b">
        <x:v>0</x:v>
      </x:c>
      <x:c r="AF547" s="193" t="b">
        <x:v>0</x:v>
      </x:c>
      <x:c r="AG547" s="193" t="b">
        <x:v>1</x:v>
      </x:c>
      <x:c r="AH547" s="193" t="b">
        <x:v>1</x:v>
      </x:c>
      <x:c r="AI547" s="193" t="b">
        <x:v>1</x:v>
      </x:c>
      <x:c r="AJ547" s="193" t="b">
        <x:v>1</x:v>
      </x:c>
    </x:row>
    <x:row r="548">
      <x:c r="A548" s="192" t="n">
        <x:v>46116173</x:v>
      </x:c>
      <x:c r="B548" s="192" t="str">
        <x:v>https://www.airbnb.com.br/rooms/46116173</x:v>
      </x:c>
      <x:c r="C548" s="192" t="str">
        <x:v>Apartamento a 50m do Mar em Meia Praia - Itapema</x:v>
      </x:c>
      <x:c r="D548" s="192" t="str">
        <x:v>Meia Praia</x:v>
      </x:c>
      <x:c r="E548" s="192" t="n">
        <x:v>-27.14269</x:v>
      </x:c>
      <x:c r="F548" s="192" t="n">
        <x:v>-48.58676</x:v>
      </x:c>
      <x:c r="G548" s="192" t="str">
        <x:v>apartamento</x:v>
      </x:c>
      <x:c r="H548" s="192" t="n">
        <x:v>2</x:v>
      </x:c>
      <x:c r="I548" s="192" t="n">
        <x:v>2</x:v>
      </x:c>
      <x:c r="J548" s="192" t="n">
        <x:v>4</x:v>
      </x:c>
      <x:c r="K548" s="192" t="n">
        <x:v>6</x:v>
      </x:c>
      <x:c r="L548" s="192" t="n">
        <x:v>39</x:v>
      </x:c>
      <x:c r="M548" s="192" t="n">
        <x:v>4.9499998093</x:v>
      </x:c>
      <x:c r="N548" s="192" t="n">
        <x:v>180</x:v>
      </x:c>
      <x:c r="O548" s="192" t="n">
        <x:v>34</x:v>
      </x:c>
      <x:c r="P548" s="193" t="b">
        <x:v>0</x:v>
      </x:c>
      <x:c r="Q548" s="193" t="b">
        <x:v>0</x:v>
      </x:c>
      <x:c r="R548" s="193" t="b">
        <x:v>1</x:v>
      </x:c>
      <x:c r="S548" s="193" t="b">
        <x:v>1</x:v>
      </x:c>
      <x:c r="T548" s="192" t="n">
        <x:v>28</x:v>
      </x:c>
      <x:c r="U548" s="192" t="n">
        <x:v>62</x:v>
      </x:c>
      <x:c r="V548" s="200" t="n">
        <x:v>0.6888888889</x:v>
      </x:c>
      <x:c r="W548" s="203" t="n">
        <x:v>270</x:v>
      </x:c>
      <x:c r="X548" s="203" t="n">
        <x:v>16455.3789633751</x:v>
      </x:c>
      <x:c r="Y548" s="203" t="n">
        <x:v>42544.011028226</x:v>
      </x:c>
      <x:c r="Z548" s="193" t="b">
        <x:v>0</x:v>
      </x:c>
      <x:c r="AA548" s="193" t="b">
        <x:v>0</x:v>
      </x:c>
      <x:c r="AB548" s="193" t="b">
        <x:v>1</x:v>
      </x:c>
      <x:c r="AC548" s="193" t="b">
        <x:v>1</x:v>
      </x:c>
      <x:c r="AD548" s="193" t="b">
        <x:v>0</x:v>
      </x:c>
      <x:c r="AE548" s="193" t="b">
        <x:v>0</x:v>
      </x:c>
      <x:c r="AF548" s="193" t="b">
        <x:v>1</x:v>
      </x:c>
      <x:c r="AG548" s="193" t="b">
        <x:v>1</x:v>
      </x:c>
      <x:c r="AH548" s="193" t="b">
        <x:v>1</x:v>
      </x:c>
      <x:c r="AI548" s="193" t="b">
        <x:v>1</x:v>
      </x:c>
      <x:c r="AJ548" s="193" t="b">
        <x:v>1</x:v>
      </x:c>
    </x:row>
    <x:row r="549">
      <x:c r="A549" s="192" t="n">
        <x:v>939698664229028500</x:v>
      </x:c>
      <x:c r="B549" s="192" t="str">
        <x:v>https://www.airbnb.com.br/rooms/939698664229028471</x:v>
      </x:c>
      <x:c r="C549" s="192" t="str">
        <x:v>Conforto pertinho da praia/ Rosane</x:v>
      </x:c>
      <x:c r="D549" s="192" t="str">
        <x:v>Morretes</x:v>
      </x:c>
      <x:c r="E549" s="192" t="n">
        <x:v>-27.1175117493</x:v>
      </x:c>
      <x:c r="F549" s="192" t="n">
        <x:v>-48.6109161377</x:v>
      </x:c>
      <x:c r="G549" s="192" t="str">
        <x:v>apartamento</x:v>
      </x:c>
      <x:c r="H549" s="192" t="n">
        <x:v>2</x:v>
      </x:c>
      <x:c r="I549" s="192" t="n">
        <x:v>2</x:v>
      </x:c>
      <x:c r="J549" s="192" t="n">
        <x:v>3</x:v>
      </x:c>
      <x:c r="K549" s="192" t="n">
        <x:v>6</x:v>
      </x:c>
      <x:c r="L549" s="192" t="n">
        <x:v>20</x:v>
      </x:c>
      <x:c r="M549" s="192" t="n">
        <x:v>4.9499998093</x:v>
      </x:c>
      <x:c r="N549" s="192" t="n">
        <x:v>250</x:v>
      </x:c>
      <x:c r="O549" s="192" t="n">
        <x:v>28</x:v>
      </x:c>
      <x:c r="P549" s="193" t="b">
        <x:v>1</x:v>
      </x:c>
      <x:c r="Q549" s="193" t="b">
        <x:v>0</x:v>
      </x:c>
      <x:c r="R549" s="193" t="b">
        <x:v>1</x:v>
      </x:c>
      <x:c r="S549" s="193" t="b">
        <x:v>1</x:v>
      </x:c>
      <x:c r="T549" s="192" t="n">
        <x:v>35</x:v>
      </x:c>
      <x:c r="U549" s="192" t="n">
        <x:v>55</x:v>
      </x:c>
      <x:c r="V549" s="200" t="n">
        <x:v>0.6111111111</x:v>
      </x:c>
      <x:c r="W549" s="203" t="n">
        <x:v>300</x:v>
      </x:c>
      <x:c r="X549" s="203" t="n">
        <x:v>16997.0288139537</x:v>
      </x:c>
      <x:c r="Y549" s="203" t="n">
        <x:v>43944.4015794095</x:v>
      </x:c>
      <x:c r="Z549" s="193" t="b">
        <x:v>1</x:v>
      </x:c>
      <x:c r="AA549" s="193" t="b">
        <x:v>0</x:v>
      </x:c>
      <x:c r="AB549" s="193" t="b">
        <x:v>1</x:v>
      </x:c>
      <x:c r="AC549" s="193" t="b">
        <x:v>1</x:v>
      </x:c>
      <x:c r="AD549" s="193" t="b">
        <x:v>0</x:v>
      </x:c>
      <x:c r="AE549" s="193" t="b">
        <x:v>0</x:v>
      </x:c>
      <x:c r="AF549" s="193" t="b">
        <x:v>1</x:v>
      </x:c>
      <x:c r="AG549" s="193" t="b">
        <x:v>1</x:v>
      </x:c>
      <x:c r="AH549" s="193" t="b">
        <x:v>1</x:v>
      </x:c>
      <x:c r="AI549" s="193" t="b">
        <x:v>1</x:v>
      </x:c>
      <x:c r="AJ549" s="193" t="b">
        <x:v>0</x:v>
      </x:c>
    </x:row>
    <x:row r="550">
      <x:c r="A550" s="192" t="n">
        <x:v>1182070530301053200</x:v>
      </x:c>
      <x:c r="B550" s="192" t="str">
        <x:v>https://www.airbnb.com.br/rooms/1182070530301053205</x:v>
      </x:c>
      <x:c r="C550" s="192" t="str">
        <x:v>Apartamento Charmoso c/ Vista para o Mar - MHF1105</x:v>
      </x:c>
      <x:c r="D550" s="192" t="str">
        <x:v>Centro</x:v>
      </x:c>
      <x:c r="E550" s="192" t="n">
        <x:v>-27.0936893</x:v>
      </x:c>
      <x:c r="F550" s="192" t="n">
        <x:v>-48.6131638</x:v>
      </x:c>
      <x:c r="G550" s="192" t="str">
        <x:v>apartamento</x:v>
      </x:c>
      <x:c r="H550" s="192" t="n">
        <x:v>1</x:v>
      </x:c>
      <x:c r="I550" s="192" t="n">
        <x:v>1</x:v>
      </x:c>
      <x:c r="J550" s="192" t="n">
        <x:v>2</x:v>
      </x:c>
      <x:c r="K550" s="192" t="n">
        <x:v>4</x:v>
      </x:c>
      <x:c r="L550" s="192" t="n">
        <x:v>12</x:v>
      </x:c>
      <x:c r="M550" s="192" t="n">
        <x:v>4.9200000763</x:v>
      </x:c>
      <x:c r="N550" s="192" t="n">
        <x:v>190</x:v>
      </x:c>
      <x:c r="O550" s="192" t="n">
        <x:v>0</x:v>
      </x:c>
      <x:c r="P550" s="193" t="b">
        <x:v>1</x:v>
      </x:c>
      <x:c r="Q550" s="193" t="b">
        <x:v>1</x:v>
      </x:c>
      <x:c r="R550" s="193" t="b">
        <x:v>1</x:v>
      </x:c>
      <x:c r="S550" s="193" t="b">
        <x:v>0</x:v>
      </x:c>
      <x:c r="T550" s="192" t="n">
        <x:v>56</x:v>
      </x:c>
      <x:c r="U550" s="192" t="n">
        <x:v>34</x:v>
      </x:c>
      <x:c r="V550" s="200" t="n">
        <x:v>0.3777777778</x:v>
      </x:c>
      <x:c r="W550" s="203" t="n">
        <x:v>471</x:v>
      </x:c>
      <x:c r="X550" s="203" t="n">
        <x:v>16785.7194519834</x:v>
      </x:c>
      <x:c r="Y550" s="203" t="n">
        <x:v>43398.0788331488</x:v>
      </x:c>
      <x:c r="Z550" s="193" t="b">
        <x:v>1</x:v>
      </x:c>
      <x:c r="AA550" s="193" t="b">
        <x:v>1</x:v>
      </x:c>
      <x:c r="AB550" s="193" t="b">
        <x:v>1</x:v>
      </x:c>
      <x:c r="AC550" s="193" t="b">
        <x:v>0</x:v>
      </x:c>
      <x:c r="AD550" s="193" t="b">
        <x:v>1</x:v>
      </x:c>
      <x:c r="AE550" s="193" t="b">
        <x:v>0</x:v>
      </x:c>
      <x:c r="AF550" s="193" t="b">
        <x:v>1</x:v>
      </x:c>
      <x:c r="AG550" s="193" t="b">
        <x:v>0</x:v>
      </x:c>
      <x:c r="AH550" s="193" t="b">
        <x:v>1</x:v>
      </x:c>
      <x:c r="AI550" s="193" t="b">
        <x:v>1</x:v>
      </x:c>
      <x:c r="AJ550" s="193" t="b">
        <x:v>0</x:v>
      </x:c>
    </x:row>
    <x:row r="551">
      <x:c r="A551" s="192" t="n">
        <x:v>15909831</x:v>
      </x:c>
      <x:c r="B551" s="192" t="str">
        <x:v>https://www.airbnb.com.br/rooms/15909831</x:v>
      </x:c>
      <x:c r="C551" s="192" t="str">
        <x:v>Ap Luxo a 20 metros do mar</x:v>
      </x:c>
      <x:c r="D551" s="192" t="str">
        <x:v>Meia Praia</x:v>
      </x:c>
      <x:c r="E551" s="192" t="n">
        <x:v>-27.14446</x:v>
      </x:c>
      <x:c r="F551" s="192" t="n">
        <x:v>-48.5869</x:v>
      </x:c>
      <x:c r="G551" s="192" t="str">
        <x:v>apartamento</x:v>
      </x:c>
      <x:c r="H551" s="192" t="n">
        <x:v>3</x:v>
      </x:c>
      <x:c r="I551" s="192" t="n">
        <x:v>3</x:v>
      </x:c>
      <x:c r="J551" s="192" t="n">
        <x:v>4</x:v>
      </x:c>
      <x:c r="K551" s="192" t="n">
        <x:v>6</x:v>
      </x:c>
      <x:c r="L551" s="192" t="n">
        <x:v>32</x:v>
      </x:c>
      <x:c r="M551" s="192" t="n">
        <x:v>4.9400000572</x:v>
      </x:c>
      <x:c r="N551" s="192" t="n">
        <x:v>190</x:v>
      </x:c>
      <x:c r="O551" s="192" t="n">
        <x:v>26</x:v>
      </x:c>
      <x:c r="P551" s="193" t="b">
        <x:v>1</x:v>
      </x:c>
      <x:c r="Q551" s="193" t="b">
        <x:v>0</x:v>
      </x:c>
      <x:c r="R551" s="193" t="b">
        <x:v>1</x:v>
      </x:c>
      <x:c r="S551" s="193" t="b">
        <x:v>1</x:v>
      </x:c>
      <x:c r="T551" s="192" t="n">
        <x:v>65</x:v>
      </x:c>
      <x:c r="U551" s="192" t="n">
        <x:v>25</x:v>
      </x:c>
      <x:c r="V551" s="200" t="n">
        <x:v>0.2777777778</x:v>
      </x:c>
      <x:c r="W551" s="203" t="n">
        <x:v>790</x:v>
      </x:c>
      <x:c r="X551" s="203" t="n">
        <x:v>21261.1921626807</x:v>
      </x:c>
      <x:c r="Y551" s="203" t="n">
        <x:v>54969.0405705973</x:v>
      </x:c>
      <x:c r="Z551" s="193" t="b">
        <x:v>1</x:v>
      </x:c>
      <x:c r="AA551" s="193" t="b">
        <x:v>0</x:v>
      </x:c>
      <x:c r="AB551" s="193" t="b">
        <x:v>1</x:v>
      </x:c>
      <x:c r="AC551" s="193" t="b">
        <x:v>1</x:v>
      </x:c>
      <x:c r="AD551" s="193" t="b">
        <x:v>0</x:v>
      </x:c>
      <x:c r="AE551" s="193" t="b">
        <x:v>1</x:v>
      </x:c>
      <x:c r="AF551" s="193" t="b">
        <x:v>1</x:v>
      </x:c>
      <x:c r="AG551" s="193" t="b">
        <x:v>1</x:v>
      </x:c>
      <x:c r="AH551" s="193" t="b">
        <x:v>1</x:v>
      </x:c>
      <x:c r="AI551" s="193" t="b">
        <x:v>1</x:v>
      </x:c>
      <x:c r="AJ551" s="193" t="b">
        <x:v>0</x:v>
      </x:c>
    </x:row>
    <x:row r="552">
      <x:c r="A552" s="192" t="n">
        <x:v>844864653127085600</x:v>
      </x:c>
      <x:c r="B552" s="192" t="str">
        <x:v>https://www.airbnb.com.br/rooms/844864653127085626</x:v>
      </x:c>
      <x:c r="C552" s="192" t="str">
        <x:v>Pés ao Mar, Vista Inesquecível Itapema</x:v>
      </x:c>
      <x:c r="D552" s="192" t="str">
        <x:v>Meia Praia</x:v>
      </x:c>
      <x:c r="E552" s="192" t="n">
        <x:v>-27.13517</x:v>
      </x:c>
      <x:c r="F552" s="192" t="n">
        <x:v>-48.59393</x:v>
      </x:c>
      <x:c r="G552" s="192" t="str">
        <x:v>apartamento</x:v>
      </x:c>
      <x:c r="H552" s="192" t="n">
        <x:v>3</x:v>
      </x:c>
      <x:c r="I552" s="192" t="n">
        <x:v>3</x:v>
      </x:c>
      <x:c r="J552" s="192" t="n">
        <x:v>6</x:v>
      </x:c>
      <x:c r="K552" s="192" t="n">
        <x:v>8</x:v>
      </x:c>
      <x:c r="L552" s="192" t="n">
        <x:v>15</x:v>
      </x:c>
      <x:c r="M552" s="192" t="n">
        <x:v>5</x:v>
      </x:c>
      <x:c r="N552" s="192" t="n">
        <x:v>370</x:v>
      </x:c>
      <x:c r="O552" s="192" t="n">
        <x:v>39</x:v>
      </x:c>
      <x:c r="P552" s="193" t="b">
        <x:v>0</x:v>
      </x:c>
      <x:c r="Q552" s="193" t="b">
        <x:v>0</x:v>
      </x:c>
      <x:c r="R552" s="193" t="b">
        <x:v>1</x:v>
      </x:c>
      <x:c r="S552" s="193" t="b">
        <x:v>0</x:v>
      </x:c>
      <x:c r="T552" s="192" t="n">
        <x:v>74</x:v>
      </x:c>
      <x:c r="U552" s="192" t="n">
        <x:v>16</x:v>
      </x:c>
      <x:c r="V552" s="200" t="n">
        <x:v>0.1777777778</x:v>
      </x:c>
      <x:c r="W552" s="203" t="n">
        <x:v>1090</x:v>
      </x:c>
      <x:c r="X552" s="203" t="n">
        <x:v>17504.8409562631</x:v>
      </x:c>
      <x:c r="Y552" s="203" t="n">
        <x:v>45257.3075556719</x:v>
      </x:c>
      <x:c r="Z552" s="193" t="b">
        <x:v>1</x:v>
      </x:c>
      <x:c r="AA552" s="193" t="b">
        <x:v>0</x:v>
      </x:c>
      <x:c r="AB552" s="193" t="b">
        <x:v>1</x:v>
      </x:c>
      <x:c r="AC552" s="193" t="b">
        <x:v>1</x:v>
      </x:c>
      <x:c r="AD552" s="193" t="b">
        <x:v>1</x:v>
      </x:c>
      <x:c r="AE552" s="193" t="b">
        <x:v>1</x:v>
      </x:c>
      <x:c r="AF552" s="193" t="b">
        <x:v>1</x:v>
      </x:c>
      <x:c r="AG552" s="193" t="b">
        <x:v>1</x:v>
      </x:c>
      <x:c r="AH552" s="193" t="b">
        <x:v>1</x:v>
      </x:c>
      <x:c r="AI552" s="193" t="b">
        <x:v>1</x:v>
      </x:c>
      <x:c r="AJ552" s="193" t="b">
        <x:v>1</x:v>
      </x:c>
    </x:row>
    <x:row r="553">
      <x:c r="A553" s="192" t="n">
        <x:v>40576710</x:v>
      </x:c>
      <x:c r="B553" s="192" t="str">
        <x:v>https://www.airbnb.com.br/rooms/40576710</x:v>
      </x:c>
      <x:c r="C553" s="192" t="str">
        <x:v>Casa para aluguel de verão - 250 metros do mar</x:v>
      </x:c>
      <x:c r="D553" s="192" t="str">
        <x:v>Meia Praia</x:v>
      </x:c>
      <x:c r="E553" s="192" t="n">
        <x:v>-27.12091</x:v>
      </x:c>
      <x:c r="F553" s="192" t="n">
        <x:v>-48.60825</x:v>
      </x:c>
      <x:c r="G553" s="192" t="str">
        <x:v>casa</x:v>
      </x:c>
      <x:c r="H553" s="192" t="n">
        <x:v>4</x:v>
      </x:c>
      <x:c r="I553" s="192" t="n">
        <x:v>2</x:v>
      </x:c>
      <x:c r="J553" s="192" t="n">
        <x:v>8</x:v>
      </x:c>
      <x:c r="K553" s="192" t="n">
        <x:v>10</x:v>
      </x:c>
      <x:c r="L553" s="192" t="n">
        <x:v>10</x:v>
      </x:c>
      <x:c r="M553" s="192" t="n">
        <x:v>4.8000001907</x:v>
      </x:c>
      <x:c r="N553" s="192" t="n">
        <x:v>300</x:v>
      </x:c>
      <x:c r="O553" s="192" t="n">
        <x:v>15</x:v>
      </x:c>
      <x:c r="P553" s="193" t="b">
        <x:v>0</x:v>
      </x:c>
      <x:c r="Q553" s="193" t="b">
        <x:v>0</x:v>
      </x:c>
      <x:c r="R553" s="193" t="b">
        <x:v>0</x:v>
      </x:c>
      <x:c r="S553" s="193" t="b">
        <x:v>0</x:v>
      </x:c>
      <x:c r="T553" s="192" t="n">
        <x:v>59</x:v>
      </x:c>
      <x:c r="U553" s="192" t="n">
        <x:v>31</x:v>
      </x:c>
      <x:c r="V553" s="200" t="n">
        <x:v>0.3444444444</x:v>
      </x:c>
      <x:c r="W553" s="203" t="n">
        <x:v>500</x:v>
      </x:c>
      <x:c r="X553" s="203" t="n">
        <x:v>15330.2165934442</x:v>
      </x:c>
      <x:c r="Y553" s="203" t="n">
        <x:v>39634.9974843005</x:v>
      </x:c>
      <x:c r="Z553" s="193" t="b">
        <x:v>1</x:v>
      </x:c>
      <x:c r="AA553" s="193" t="b">
        <x:v>0</x:v>
      </x:c>
      <x:c r="AB553" s="193" t="b">
        <x:v>1</x:v>
      </x:c>
      <x:c r="AC553" s="193" t="b">
        <x:v>1</x:v>
      </x:c>
      <x:c r="AD553" s="193" t="b">
        <x:v>0</x:v>
      </x:c>
      <x:c r="AE553" s="193" t="b">
        <x:v>0</x:v>
      </x:c>
      <x:c r="AF553" s="193" t="b">
        <x:v>0</x:v>
      </x:c>
      <x:c r="AG553" s="193" t="b">
        <x:v>1</x:v>
      </x:c>
      <x:c r="AH553" s="193" t="b">
        <x:v>1</x:v>
      </x:c>
      <x:c r="AI553" s="193" t="b">
        <x:v>1</x:v>
      </x:c>
      <x:c r="AJ553" s="193" t="b">
        <x:v>1</x:v>
      </x:c>
    </x:row>
    <x:row r="554">
      <x:c r="A554" s="192" t="n">
        <x:v>46222390</x:v>
      </x:c>
      <x:c r="B554" s="192" t="str">
        <x:v>https://www.airbnb.com.br/rooms/46222390</x:v>
      </x:c>
      <x:c r="C554" s="192" t="str">
        <x:v>Lindo apartamento, Itapema, SC, 200 mt da praia</x:v>
      </x:c>
      <x:c r="D554" s="192" t="str">
        <x:v>Meia Praia</x:v>
      </x:c>
      <x:c r="E554" s="192" t="n">
        <x:v>-27.1259994507</x:v>
      </x:c>
      <x:c r="F554" s="192" t="n">
        <x:v>-48.6040000916</x:v>
      </x:c>
      <x:c r="G554" s="192" t="str">
        <x:v>apartamento</x:v>
      </x:c>
      <x:c r="H554" s="192" t="n">
        <x:v>2</x:v>
      </x:c>
      <x:c r="I554" s="192" t="n">
        <x:v>1</x:v>
      </x:c>
      <x:c r="J554" s="192" t="n">
        <x:v>4</x:v>
      </x:c>
      <x:c r="K554" s="192" t="n">
        <x:v>6</x:v>
      </x:c>
      <x:c r="L554" s="192" t="n">
        <x:v>6</x:v>
      </x:c>
      <x:c r="M554" s="192" t="n">
        <x:v>4.8299999237</x:v>
      </x:c>
      <x:c r="N554" s="192" t="n">
        <x:v>250</x:v>
      </x:c>
      <x:c r="O554" s="192" t="n">
        <x:v>29</x:v>
      </x:c>
      <x:c r="P554" s="193" t="b">
        <x:v>0</x:v>
      </x:c>
      <x:c r="Q554" s="193" t="b">
        <x:v>0</x:v>
      </x:c>
      <x:c r="R554" s="193" t="b">
        <x:v>0</x:v>
      </x:c>
      <x:c r="S554" s="193" t="b">
        <x:v>0</x:v>
      </x:c>
      <x:c r="T554" s="192" t="n">
        <x:v>73</x:v>
      </x:c>
      <x:c r="U554" s="192" t="n">
        <x:v>17</x:v>
      </x:c>
      <x:c r="V554" s="200" t="n">
        <x:v>0.1888888889</x:v>
      </x:c>
      <x:c r="W554" s="203" t="n">
        <x:v>500</x:v>
      </x:c>
      <x:c r="X554" s="203" t="n">
        <x:v>8610.3396143415</x:v>
      </x:c>
      <x:c r="Y554" s="203" t="n">
        <x:v>22261.3155445787</x:v>
      </x:c>
      <x:c r="Z554" s="193" t="b">
        <x:v>1</x:v>
      </x:c>
      <x:c r="AA554" s="193" t="b">
        <x:v>0</x:v>
      </x:c>
      <x:c r="AB554" s="193" t="b">
        <x:v>1</x:v>
      </x:c>
      <x:c r="AC554" s="193" t="b">
        <x:v>1</x:v>
      </x:c>
      <x:c r="AD554" s="193" t="b">
        <x:v>0</x:v>
      </x:c>
      <x:c r="AE554" s="193" t="b">
        <x:v>1</x:v>
      </x:c>
      <x:c r="AF554" s="193" t="b">
        <x:v>1</x:v>
      </x:c>
      <x:c r="AG554" s="193" t="b">
        <x:v>1</x:v>
      </x:c>
      <x:c r="AH554" s="193" t="b">
        <x:v>1</x:v>
      </x:c>
      <x:c r="AI554" s="193" t="b">
        <x:v>1</x:v>
      </x:c>
      <x:c r="AJ554" s="193" t="b">
        <x:v>1</x:v>
      </x:c>
    </x:row>
    <x:row r="555">
      <x:c r="A555" s="192" t="n">
        <x:v>38980085</x:v>
      </x:c>
      <x:c r="B555" s="192" t="str">
        <x:v>https://www.airbnb.com.br/rooms/38980085</x:v>
      </x:c>
      <x:c r="C555" s="192" t="str">
        <x:v>Apt a 150m do mar com 3 suítes e 3 garagens</x:v>
      </x:c>
      <x:c r="D555" s="192" t="str">
        <x:v>Meia Praia</x:v>
      </x:c>
      <x:c r="E555" s="192" t="n">
        <x:v>-27.14055</x:v>
      </x:c>
      <x:c r="F555" s="192" t="n">
        <x:v>-48.59169</x:v>
      </x:c>
      <x:c r="G555" s="192" t="str">
        <x:v>apartamento</x:v>
      </x:c>
      <x:c r="H555" s="192" t="n">
        <x:v>3</x:v>
      </x:c>
      <x:c r="I555" s="192" t="n">
        <x:v>3</x:v>
      </x:c>
      <x:c r="J555" s="192" t="n">
        <x:v>3</x:v>
      </x:c>
      <x:c r="K555" s="192" t="n">
        <x:v>8</x:v>
      </x:c>
      <x:c r="L555" s="192" t="n">
        <x:v>13</x:v>
      </x:c>
      <x:c r="M555" s="192" t="n">
        <x:v>5</x:v>
      </x:c>
      <x:c r="N555" s="192" t="n">
        <x:v>350</x:v>
      </x:c>
      <x:c r="O555" s="192" t="n">
        <x:v>16</x:v>
      </x:c>
      <x:c r="P555" s="193" t="b">
        <x:v>0</x:v>
      </x:c>
      <x:c r="Q555" s="193" t="b">
        <x:v>0</x:v>
      </x:c>
      <x:c r="R555" s="193" t="b">
        <x:v>1</x:v>
      </x:c>
      <x:c r="S555" s="193" t="b">
        <x:v>0</x:v>
      </x:c>
      <x:c r="T555" s="192" t="n">
        <x:v>77</x:v>
      </x:c>
      <x:c r="U555" s="192" t="n">
        <x:v>13</x:v>
      </x:c>
      <x:c r="V555" s="200" t="n">
        <x:v>0.1444444444</x:v>
      </x:c>
      <x:c r="W555" s="203" t="n">
        <x:v>800</x:v>
      </x:c>
      <x:c r="X555" s="203" t="n">
        <x:v>10492.7134403123</x:v>
      </x:c>
      <x:c r="Y555" s="203" t="n">
        <x:v>27128.0362071407</x:v>
      </x:c>
      <x:c r="Z555" s="193" t="b">
        <x:v>1</x:v>
      </x:c>
      <x:c r="AA555" s="193" t="b">
        <x:v>0</x:v>
      </x:c>
      <x:c r="AB555" s="193" t="b">
        <x:v>1</x:v>
      </x:c>
      <x:c r="AC555" s="193" t="b">
        <x:v>1</x:v>
      </x:c>
      <x:c r="AD555" s="193" t="b">
        <x:v>1</x:v>
      </x:c>
      <x:c r="AE555" s="193" t="b">
        <x:v>1</x:v>
      </x:c>
      <x:c r="AF555" s="193" t="b">
        <x:v>1</x:v>
      </x:c>
      <x:c r="AG555" s="193" t="b">
        <x:v>1</x:v>
      </x:c>
      <x:c r="AH555" s="193" t="b">
        <x:v>1</x:v>
      </x:c>
      <x:c r="AI555" s="193" t="b">
        <x:v>1</x:v>
      </x:c>
      <x:c r="AJ555" s="193" t="b">
        <x:v>1</x:v>
      </x:c>
    </x:row>
    <x:row r="556">
      <x:c r="A556" s="192" t="n">
        <x:v>38899673</x:v>
      </x:c>
      <x:c r="B556" s="192" t="str">
        <x:v>https://www.airbnb.com.br/rooms/38899673</x:v>
      </x:c>
      <x:c r="C556" s="192" t="str">
        <x:v>Apartamento decorado próximo a praia em Itapema!</x:v>
      </x:c>
      <x:c r="D556" s="192" t="str">
        <x:v>Morretes</x:v>
      </x:c>
      <x:c r="E556" s="192" t="n">
        <x:v>-27.11734</x:v>
      </x:c>
      <x:c r="F556" s="192" t="n">
        <x:v>-48.61156</x:v>
      </x:c>
      <x:c r="G556" s="192" t="str">
        <x:v>apartamento</x:v>
      </x:c>
      <x:c r="H556" s="192" t="n">
        <x:v>2</x:v>
      </x:c>
      <x:c r="I556" s="192" t="n">
        <x:v>1</x:v>
      </x:c>
      <x:c r="J556" s="192" t="n">
        <x:v>2</x:v>
      </x:c>
      <x:c r="K556" s="192" t="n">
        <x:v>4</x:v>
      </x:c>
      <x:c r="L556" s="192" t="n">
        <x:v>7</x:v>
      </x:c>
      <x:c r="M556" s="192" t="n">
        <x:v>5</x:v>
      </x:c>
      <x:c r="N556" s="192" t="n">
        <x:v>245</x:v>
      </x:c>
      <x:c r="O556" s="192" t="n">
        <x:v>30</x:v>
      </x:c>
      <x:c r="P556" s="193" t="b">
        <x:v>0</x:v>
      </x:c>
      <x:c r="Q556" s="193" t="b">
        <x:v>0</x:v>
      </x:c>
      <x:c r="R556" s="193" t="b">
        <x:v>0</x:v>
      </x:c>
      <x:c r="S556" s="193" t="b">
        <x:v>0</x:v>
      </x:c>
      <x:c r="T556" s="192" t="n">
        <x:v>78</x:v>
      </x:c>
      <x:c r="U556" s="192" t="n">
        <x:v>12</x:v>
      </x:c>
      <x:c r="V556" s="200" t="n">
        <x:v>0.1333333333</x:v>
      </x:c>
      <x:c r="W556" s="203" t="n">
        <x:v>500</x:v>
      </x:c>
      <x:c r="X556" s="203" t="n">
        <x:v>6719.4254469416</x:v>
      </x:c>
      <x:c r="Y556" s="203" t="n">
        <x:v>17372.514540947</x:v>
      </x:c>
      <x:c r="Z556" s="193" t="b">
        <x:v>1</x:v>
      </x:c>
      <x:c r="AA556" s="193" t="b">
        <x:v>0</x:v>
      </x:c>
      <x:c r="AB556" s="193" t="b">
        <x:v>1</x:v>
      </x:c>
      <x:c r="AC556" s="193" t="b">
        <x:v>1</x:v>
      </x:c>
      <x:c r="AD556" s="193" t="b">
        <x:v>0</x:v>
      </x:c>
      <x:c r="AE556" s="193" t="b">
        <x:v>0</x:v>
      </x:c>
      <x:c r="AF556" s="193" t="b">
        <x:v>1</x:v>
      </x:c>
      <x:c r="AG556" s="193" t="b">
        <x:v>1</x:v>
      </x:c>
      <x:c r="AH556" s="193" t="b">
        <x:v>1</x:v>
      </x:c>
      <x:c r="AI556" s="193" t="b">
        <x:v>1</x:v>
      </x:c>
      <x:c r="AJ556" s="193" t="b">
        <x:v>0</x:v>
      </x:c>
    </x:row>
    <x:row r="557">
      <x:c r="A557" s="192" t="n">
        <x:v>703538637731385200</x:v>
      </x:c>
      <x:c r="B557" s="192" t="str">
        <x:v>https://www.airbnb.com.br/rooms/703538637731385185</x:v>
      </x:c>
      <x:c r="C557" s="192" t="str">
        <x:v>Apto c/ sacada aberta e churrasqueira próx ao mar</x:v>
      </x:c>
      <x:c r="D557" s="192" t="str">
        <x:v>Meia Praia</x:v>
      </x:c>
      <x:c r="E557" s="192" t="n">
        <x:v>-27.13524</x:v>
      </x:c>
      <x:c r="F557" s="192" t="n">
        <x:v>-48.59871</x:v>
      </x:c>
      <x:c r="G557" s="192" t="str">
        <x:v>apartamento</x:v>
      </x:c>
      <x:c r="H557" s="192" t="n">
        <x:v>2</x:v>
      </x:c>
      <x:c r="I557" s="192" t="n">
        <x:v>1</x:v>
      </x:c>
      <x:c r="J557" s="192" t="n">
        <x:v>3</x:v>
      </x:c>
      <x:c r="K557" s="192" t="n">
        <x:v>6</x:v>
      </x:c>
      <x:c r="L557" s="192" t="n">
        <x:v>22</x:v>
      </x:c>
      <x:c r="M557" s="192" t="n">
        <x:v>4.8200001717</x:v>
      </x:c>
      <x:c r="N557" s="192" t="n">
        <x:v>0</x:v>
      </x:c>
      <x:c r="O557" s="192" t="n">
        <x:v>17</x:v>
      </x:c>
      <x:c r="P557" s="192"/>
      <x:c r="Q557" s="192"/>
      <x:c r="R557" s="193" t="b">
        <x:v>1</x:v>
      </x:c>
      <x:c r="S557" s="193" t="b">
        <x:v>1</x:v>
      </x:c>
      <x:c r="T557" s="192" t="n">
        <x:v>66</x:v>
      </x:c>
      <x:c r="U557" s="192" t="n">
        <x:v>24</x:v>
      </x:c>
      <x:c r="V557" s="200" t="n">
        <x:v>0.2666666667</x:v>
      </x:c>
      <x:c r="W557" s="203" t="n">
        <x:v>402</x:v>
      </x:c>
      <x:c r="X557" s="203" t="n">
        <x:v>10214.146086809</x:v>
      </x:c>
      <x:c r="Y557" s="203" t="n">
        <x:v>26407.8235286041</x:v>
      </x:c>
      <x:c r="Z557" s="193" t="b">
        <x:v>1</x:v>
      </x:c>
      <x:c r="AA557" s="193" t="b">
        <x:v>0</x:v>
      </x:c>
      <x:c r="AB557" s="193" t="b">
        <x:v>1</x:v>
      </x:c>
      <x:c r="AC557" s="193" t="b">
        <x:v>1</x:v>
      </x:c>
      <x:c r="AD557" s="193" t="b">
        <x:v>0</x:v>
      </x:c>
      <x:c r="AE557" s="193" t="b">
        <x:v>0</x:v>
      </x:c>
      <x:c r="AF557" s="193" t="b">
        <x:v>1</x:v>
      </x:c>
      <x:c r="AG557" s="193" t="b">
        <x:v>1</x:v>
      </x:c>
      <x:c r="AH557" s="193" t="b">
        <x:v>1</x:v>
      </x:c>
      <x:c r="AI557" s="193" t="b">
        <x:v>1</x:v>
      </x:c>
      <x:c r="AJ557" s="193" t="b">
        <x:v>1</x:v>
      </x:c>
    </x:row>
    <x:row r="558">
      <x:c r="A558" s="192" t="n">
        <x:v>792184367926408200</x:v>
      </x:c>
      <x:c r="B558" s="192" t="str">
        <x:v>https://www.airbnb.com.br/rooms/792184367926408145</x:v>
      </x:c>
      <x:c r="C558" s="192" t="str">
        <x:v>Apartamento Meia Praia - Pé na areia</x:v>
      </x:c>
      <x:c r="D558" s="192" t="str">
        <x:v>Meia Praia</x:v>
      </x:c>
      <x:c r="E558" s="192" t="n">
        <x:v>-27.1229991913</x:v>
      </x:c>
      <x:c r="F558" s="192" t="n">
        <x:v>-48.6049995422</x:v>
      </x:c>
      <x:c r="G558" s="192" t="str">
        <x:v>apartamento</x:v>
      </x:c>
      <x:c r="H558" s="192" t="n">
        <x:v>2</x:v>
      </x:c>
      <x:c r="I558" s="192" t="n">
        <x:v>2</x:v>
      </x:c>
      <x:c r="J558" s="192" t="n">
        <x:v>3</x:v>
      </x:c>
      <x:c r="K558" s="192" t="n">
        <x:v>6</x:v>
      </x:c>
      <x:c r="L558" s="192" t="n">
        <x:v>23</x:v>
      </x:c>
      <x:c r="M558" s="192" t="n">
        <x:v>5</x:v>
      </x:c>
      <x:c r="N558" s="192" t="n">
        <x:v>230</x:v>
      </x:c>
      <x:c r="O558" s="192" t="n">
        <x:v>24</x:v>
      </x:c>
      <x:c r="P558" s="193" t="b">
        <x:v>1</x:v>
      </x:c>
      <x:c r="Q558" s="193" t="b">
        <x:v>0</x:v>
      </x:c>
      <x:c r="R558" s="193" t="b">
        <x:v>1</x:v>
      </x:c>
      <x:c r="S558" s="193" t="b">
        <x:v>0</x:v>
      </x:c>
      <x:c r="T558" s="192" t="n">
        <x:v>50</x:v>
      </x:c>
      <x:c r="U558" s="192" t="n">
        <x:v>40</x:v>
      </x:c>
      <x:c r="V558" s="200" t="n">
        <x:v>0.4444444444</x:v>
      </x:c>
      <x:c r="W558" s="203" t="n">
        <x:v>347.16667</x:v>
      </x:c>
      <x:c r="X558" s="203" t="n">
        <x:v>14499.6947568587</x:v>
      </x:c>
      <x:c r="Y558" s="203" t="n">
        <x:v>37487.7524859618</x:v>
      </x:c>
      <x:c r="Z558" s="193" t="b">
        <x:v>0</x:v>
      </x:c>
      <x:c r="AA558" s="193" t="b">
        <x:v>0</x:v>
      </x:c>
      <x:c r="AB558" s="193" t="b">
        <x:v>1</x:v>
      </x:c>
      <x:c r="AC558" s="193" t="b">
        <x:v>1</x:v>
      </x:c>
      <x:c r="AD558" s="193" t="b">
        <x:v>0</x:v>
      </x:c>
      <x:c r="AE558" s="193" t="b">
        <x:v>1</x:v>
      </x:c>
      <x:c r="AF558" s="193" t="b">
        <x:v>1</x:v>
      </x:c>
      <x:c r="AG558" s="193" t="b">
        <x:v>1</x:v>
      </x:c>
      <x:c r="AH558" s="193" t="b">
        <x:v>1</x:v>
      </x:c>
      <x:c r="AI558" s="193" t="b">
        <x:v>1</x:v>
      </x:c>
      <x:c r="AJ558" s="193" t="b">
        <x:v>1</x:v>
      </x:c>
    </x:row>
    <x:row r="559">
      <x:c r="A559" s="192" t="n">
        <x:v>53825192</x:v>
      </x:c>
      <x:c r="B559" s="192" t="str">
        <x:v>https://www.airbnb.com.br/rooms/53825192</x:v>
      </x:c>
      <x:c r="C559" s="192" t="str">
        <x:v>Central em Meia Praia, sacada c/ Churrasqueira</x:v>
      </x:c>
      <x:c r="D559" s="192" t="str">
        <x:v>Meia Praia</x:v>
      </x:c>
      <x:c r="E559" s="192" t="n">
        <x:v>-27.135511</x:v>
      </x:c>
      <x:c r="F559" s="192" t="n">
        <x:v>-48.598106</x:v>
      </x:c>
      <x:c r="G559" s="192" t="str">
        <x:v>apartamento</x:v>
      </x:c>
      <x:c r="H559" s="192" t="n">
        <x:v>3</x:v>
      </x:c>
      <x:c r="I559" s="192" t="n">
        <x:v>3</x:v>
      </x:c>
      <x:c r="J559" s="192" t="n">
        <x:v>4</x:v>
      </x:c>
      <x:c r="K559" s="192" t="n">
        <x:v>7</x:v>
      </x:c>
      <x:c r="L559" s="192" t="n">
        <x:v>65</x:v>
      </x:c>
      <x:c r="M559" s="192" t="n">
        <x:v>4.8899998665</x:v>
      </x:c>
      <x:c r="N559" s="192" t="n">
        <x:v>200</x:v>
      </x:c>
      <x:c r="O559" s="192" t="n">
        <x:v>1</x:v>
      </x:c>
      <x:c r="P559" s="193" t="b">
        <x:v>0</x:v>
      </x:c>
      <x:c r="Q559" s="193" t="b">
        <x:v>1</x:v>
      </x:c>
      <x:c r="R559" s="193" t="b">
        <x:v>1</x:v>
      </x:c>
      <x:c r="S559" s="193" t="b">
        <x:v>1</x:v>
      </x:c>
      <x:c r="T559" s="192" t="n">
        <x:v>23</x:v>
      </x:c>
      <x:c r="U559" s="192" t="n">
        <x:v>67</x:v>
      </x:c>
      <x:c r="V559" s="200" t="n">
        <x:v>0.7444444444</x:v>
      </x:c>
      <x:c r="W559" s="203" t="n">
        <x:v>925</x:v>
      </x:c>
      <x:c r="X559" s="203" t="n">
        <x:v>60551.6527475489</x:v>
      </x:c>
      <x:c r="Y559" s="203" t="n">
        <x:v>156551.2522077255</x:v>
      </x:c>
      <x:c r="Z559" s="193" t="b">
        <x:v>0</x:v>
      </x:c>
      <x:c r="AA559" s="193" t="b">
        <x:v>0</x:v>
      </x:c>
      <x:c r="AB559" s="193" t="b">
        <x:v>1</x:v>
      </x:c>
      <x:c r="AC559" s="193" t="b">
        <x:v>1</x:v>
      </x:c>
      <x:c r="AD559" s="193" t="b">
        <x:v>1</x:v>
      </x:c>
      <x:c r="AE559" s="193" t="b">
        <x:v>1</x:v>
      </x:c>
      <x:c r="AF559" s="193" t="b">
        <x:v>1</x:v>
      </x:c>
      <x:c r="AG559" s="193" t="b">
        <x:v>1</x:v>
      </x:c>
      <x:c r="AH559" s="193" t="b">
        <x:v>1</x:v>
      </x:c>
      <x:c r="AI559" s="193" t="b">
        <x:v>1</x:v>
      </x:c>
      <x:c r="AJ559" s="193" t="b">
        <x:v>1</x:v>
      </x:c>
    </x:row>
    <x:row r="560">
      <x:c r="A560" s="192" t="n">
        <x:v>20863370</x:v>
      </x:c>
      <x:c r="B560" s="192" t="str">
        <x:v>https://www.airbnb.com.br/rooms/20863370</x:v>
      </x:c>
      <x:c r="C560" s="192" t="str">
        <x:v>Lindo AP MP 3 Suítes Alto Padrão - Vista Total Mar</x:v>
      </x:c>
      <x:c r="D560" s="192" t="str">
        <x:v>Meia Praia</x:v>
      </x:c>
      <x:c r="E560" s="192" t="n">
        <x:v>-27.12149</x:v>
      </x:c>
      <x:c r="F560" s="192" t="n">
        <x:v>-48.60639</x:v>
      </x:c>
      <x:c r="G560" s="192" t="str">
        <x:v>apartamento</x:v>
      </x:c>
      <x:c r="H560" s="192" t="n">
        <x:v>3</x:v>
      </x:c>
      <x:c r="I560" s="192" t="n">
        <x:v>3</x:v>
      </x:c>
      <x:c r="J560" s="192" t="n">
        <x:v>5</x:v>
      </x:c>
      <x:c r="K560" s="192" t="n">
        <x:v>7</x:v>
      </x:c>
      <x:c r="L560" s="192" t="n">
        <x:v>25</x:v>
      </x:c>
      <x:c r="M560" s="192" t="n">
        <x:v>4.8800001144</x:v>
      </x:c>
      <x:c r="N560" s="192" t="n">
        <x:v>410</x:v>
      </x:c>
      <x:c r="O560" s="192" t="n">
        <x:v>41</x:v>
      </x:c>
      <x:c r="P560" s="193" t="b">
        <x:v>0</x:v>
      </x:c>
      <x:c r="Q560" s="193" t="b">
        <x:v>0</x:v>
      </x:c>
      <x:c r="R560" s="193" t="b">
        <x:v>0</x:v>
      </x:c>
      <x:c r="S560" s="193" t="b">
        <x:v>1</x:v>
      </x:c>
      <x:c r="T560" s="192" t="n">
        <x:v>18</x:v>
      </x:c>
      <x:c r="U560" s="192" t="n">
        <x:v>72</x:v>
      </x:c>
      <x:c r="V560" s="200" t="n">
        <x:v>0.8</x:v>
      </x:c>
      <x:c r="W560" s="203" t="n">
        <x:v>500</x:v>
      </x:c>
      <x:c r="X560" s="203" t="n">
        <x:v>36460.3386807586</x:v>
      </x:c>
      <x:c r="Y560" s="203" t="n">
        <x:v>94265.1672975446</x:v>
      </x:c>
      <x:c r="Z560" s="193" t="b">
        <x:v>0</x:v>
      </x:c>
      <x:c r="AA560" s="193" t="b">
        <x:v>0</x:v>
      </x:c>
      <x:c r="AB560" s="193" t="b">
        <x:v>1</x:v>
      </x:c>
      <x:c r="AC560" s="193" t="b">
        <x:v>1</x:v>
      </x:c>
      <x:c r="AD560" s="193" t="b">
        <x:v>1</x:v>
      </x:c>
      <x:c r="AE560" s="193" t="b">
        <x:v>1</x:v>
      </x:c>
      <x:c r="AF560" s="193" t="b">
        <x:v>1</x:v>
      </x:c>
      <x:c r="AG560" s="193" t="b">
        <x:v>1</x:v>
      </x:c>
      <x:c r="AH560" s="193" t="b">
        <x:v>1</x:v>
      </x:c>
      <x:c r="AI560" s="193" t="b">
        <x:v>1</x:v>
      </x:c>
      <x:c r="AJ560" s="193" t="b">
        <x:v>1</x:v>
      </x:c>
    </x:row>
    <x:row r="561">
      <x:c r="A561" s="192" t="n">
        <x:v>54287612</x:v>
      </x:c>
      <x:c r="B561" s="192" t="str">
        <x:v>https://www.airbnb.com.br/rooms/54287612</x:v>
      </x:c>
      <x:c r="C561" s="192" t="str">
        <x:v>Apartamento à 20 metros do mar!</x:v>
      </x:c>
      <x:c r="D561" s="192" t="str">
        <x:v>Centro</x:v>
      </x:c>
      <x:c r="E561" s="192" t="n">
        <x:v>-27.09865</x:v>
      </x:c>
      <x:c r="F561" s="192" t="n">
        <x:v>-48.61512</x:v>
      </x:c>
      <x:c r="G561" s="192" t="str">
        <x:v>apartamento</x:v>
      </x:c>
      <x:c r="H561" s="192" t="n">
        <x:v>2</x:v>
      </x:c>
      <x:c r="I561" s="192" t="n">
        <x:v>2</x:v>
      </x:c>
      <x:c r="J561" s="192" t="n">
        <x:v>4</x:v>
      </x:c>
      <x:c r="K561" s="192" t="n">
        <x:v>6</x:v>
      </x:c>
      <x:c r="L561" s="192" t="n">
        <x:v>10</x:v>
      </x:c>
      <x:c r="M561" s="192" t="n">
        <x:v>4.9000000954</x:v>
      </x:c>
      <x:c r="N561" s="192" t="n">
        <x:v>610</x:v>
      </x:c>
      <x:c r="O561" s="192" t="n">
        <x:v>11</x:v>
      </x:c>
      <x:c r="P561" s="193" t="b">
        <x:v>1</x:v>
      </x:c>
      <x:c r="Q561" s="193" t="b">
        <x:v>0</x:v>
      </x:c>
      <x:c r="R561" s="193" t="b">
        <x:v>1</x:v>
      </x:c>
      <x:c r="S561" s="193" t="b">
        <x:v>0</x:v>
      </x:c>
      <x:c r="T561" s="192" t="n">
        <x:v>50</x:v>
      </x:c>
      <x:c r="U561" s="192" t="n">
        <x:v>40</x:v>
      </x:c>
      <x:c r="V561" s="200" t="n">
        <x:v>0.4444444444</x:v>
      </x:c>
      <x:c r="W561" s="203" t="n">
        <x:v>399</x:v>
      </x:c>
      <x:c r="X561" s="203" t="n">
        <x:v>16353.8115724921</x:v>
      </x:c>
      <x:c r="Y561" s="203" t="n">
        <x:v>42281.4170030473</x:v>
      </x:c>
      <x:c r="Z561" s="193" t="b">
        <x:v>0</x:v>
      </x:c>
      <x:c r="AA561" s="193" t="b">
        <x:v>0</x:v>
      </x:c>
      <x:c r="AB561" s="193" t="b">
        <x:v>1</x:v>
      </x:c>
      <x:c r="AC561" s="193" t="b">
        <x:v>1</x:v>
      </x:c>
      <x:c r="AD561" s="193" t="b">
        <x:v>0</x:v>
      </x:c>
      <x:c r="AE561" s="193" t="b">
        <x:v>1</x:v>
      </x:c>
      <x:c r="AF561" s="193" t="b">
        <x:v>0</x:v>
      </x:c>
      <x:c r="AG561" s="193" t="b">
        <x:v>1</x:v>
      </x:c>
      <x:c r="AH561" s="193" t="b">
        <x:v>1</x:v>
      </x:c>
      <x:c r="AI561" s="193" t="b">
        <x:v>1</x:v>
      </x:c>
      <x:c r="AJ561" s="193" t="b">
        <x:v>0</x:v>
      </x:c>
    </x:row>
    <x:row r="562">
      <x:c r="A562" s="192" t="n">
        <x:v>10340400</x:v>
      </x:c>
      <x:c r="B562" s="192" t="str">
        <x:v>https://www.airbnb.com.br/rooms/10340400</x:v>
      </x:c>
      <x:c r="C562" s="192" t="str">
        <x:v>Meia Praia apto excelente, próximo da praia</x:v>
      </x:c>
      <x:c r="D562" s="192" t="str">
        <x:v>Meia Praia</x:v>
      </x:c>
      <x:c r="E562" s="192" t="n">
        <x:v>-27.13319</x:v>
      </x:c>
      <x:c r="F562" s="192" t="n">
        <x:v>-48.59961</x:v>
      </x:c>
      <x:c r="G562" s="192" t="str">
        <x:v>apartamento</x:v>
      </x:c>
      <x:c r="H562" s="192" t="n">
        <x:v>3</x:v>
      </x:c>
      <x:c r="I562" s="192" t="n">
        <x:v>2</x:v>
      </x:c>
      <x:c r="J562" s="192" t="n">
        <x:v>4</x:v>
      </x:c>
      <x:c r="K562" s="192" t="n">
        <x:v>6</x:v>
      </x:c>
      <x:c r="L562" s="192" t="n">
        <x:v>55</x:v>
      </x:c>
      <x:c r="M562" s="192" t="n">
        <x:v>4.9299998283</x:v>
      </x:c>
      <x:c r="N562" s="192" t="n">
        <x:v>250</x:v>
      </x:c>
      <x:c r="O562" s="192" t="n">
        <x:v>18</x:v>
      </x:c>
      <x:c r="P562" s="193" t="b">
        <x:v>1</x:v>
      </x:c>
      <x:c r="Q562" s="193" t="b">
        <x:v>0</x:v>
      </x:c>
      <x:c r="R562" s="193" t="b">
        <x:v>1</x:v>
      </x:c>
      <x:c r="S562" s="193" t="b">
        <x:v>0</x:v>
      </x:c>
      <x:c r="T562" s="192" t="n">
        <x:v>6</x:v>
      </x:c>
      <x:c r="U562" s="192" t="n">
        <x:v>84</x:v>
      </x:c>
      <x:c r="V562" s="200" t="n">
        <x:v>0.9333333333</x:v>
      </x:c>
      <x:c r="W562" s="203" t="n">
        <x:v>300</x:v>
      </x:c>
      <x:c r="X562" s="203" t="n">
        <x:v>25252.4195501048</x:v>
      </x:c>
      <x:c r="Y562" s="203" t="n">
        <x:v>65288.0263785001</x:v>
      </x:c>
      <x:c r="Z562" s="193" t="b">
        <x:v>0</x:v>
      </x:c>
      <x:c r="AA562" s="193" t="b">
        <x:v>0</x:v>
      </x:c>
      <x:c r="AB562" s="193" t="b">
        <x:v>1</x:v>
      </x:c>
      <x:c r="AC562" s="193" t="b">
        <x:v>1</x:v>
      </x:c>
      <x:c r="AD562" s="193" t="b">
        <x:v>1</x:v>
      </x:c>
      <x:c r="AE562" s="193" t="b">
        <x:v>0</x:v>
      </x:c>
      <x:c r="AF562" s="193" t="b">
        <x:v>1</x:v>
      </x:c>
      <x:c r="AG562" s="193" t="b">
        <x:v>1</x:v>
      </x:c>
      <x:c r="AH562" s="193" t="b">
        <x:v>1</x:v>
      </x:c>
      <x:c r="AI562" s="193" t="b">
        <x:v>1</x:v>
      </x:c>
      <x:c r="AJ562" s="193" t="b">
        <x:v>1</x:v>
      </x:c>
    </x:row>
    <x:row r="563">
      <x:c r="A563" s="192" t="n">
        <x:v>36632832</x:v>
      </x:c>
      <x:c r="B563" s="192" t="str">
        <x:v>https://www.airbnb.com.br/rooms/36632832</x:v>
      </x:c>
      <x:c r="C563" s="192" t="str">
        <x:v>O melhor lugar para curtir suas férias.</x:v>
      </x:c>
      <x:c r="D563" s="192" t="str">
        <x:v>Meia Praia</x:v>
      </x:c>
      <x:c r="E563" s="192" t="n">
        <x:v>-27.1354503632</x:v>
      </x:c>
      <x:c r="F563" s="192" t="n">
        <x:v>-48.5957489014</x:v>
      </x:c>
      <x:c r="G563" s="192" t="str">
        <x:v>apartamento</x:v>
      </x:c>
      <x:c r="H563" s="192" t="n">
        <x:v>3</x:v>
      </x:c>
      <x:c r="I563" s="192" t="n">
        <x:v>2</x:v>
      </x:c>
      <x:c r="J563" s="192" t="n">
        <x:v>5</x:v>
      </x:c>
      <x:c r="K563" s="192" t="n">
        <x:v>8</x:v>
      </x:c>
      <x:c r="L563" s="192" t="n">
        <x:v>41</x:v>
      </x:c>
      <x:c r="M563" s="192" t="n">
        <x:v>4.8499999046</x:v>
      </x:c>
      <x:c r="N563" s="192" t="n">
        <x:v>250</x:v>
      </x:c>
      <x:c r="O563" s="192" t="n">
        <x:v>19</x:v>
      </x:c>
      <x:c r="P563" s="193" t="b">
        <x:v>0</x:v>
      </x:c>
      <x:c r="Q563" s="193" t="b">
        <x:v>0</x:v>
      </x:c>
      <x:c r="R563" s="193" t="b">
        <x:v>1</x:v>
      </x:c>
      <x:c r="S563" s="193" t="b">
        <x:v>0</x:v>
      </x:c>
      <x:c r="T563" s="192" t="n">
        <x:v>70</x:v>
      </x:c>
      <x:c r="U563" s="192" t="n">
        <x:v>20</x:v>
      </x:c>
      <x:c r="V563" s="200" t="n">
        <x:v>0.2222222222</x:v>
      </x:c>
      <x:c r="W563" s="203" t="n">
        <x:v>450</x:v>
      </x:c>
      <x:c r="X563" s="203" t="n">
        <x:v>8904.20730252</x:v>
      </x:c>
      <x:c r="Y563" s="203" t="n">
        <x:v>23021.0859633902</x:v>
      </x:c>
      <x:c r="Z563" s="193" t="b">
        <x:v>1</x:v>
      </x:c>
      <x:c r="AA563" s="193" t="b">
        <x:v>0</x:v>
      </x:c>
      <x:c r="AB563" s="193" t="b">
        <x:v>1</x:v>
      </x:c>
      <x:c r="AC563" s="193" t="b">
        <x:v>1</x:v>
      </x:c>
      <x:c r="AD563" s="193" t="b">
        <x:v>1</x:v>
      </x:c>
      <x:c r="AE563" s="193" t="b">
        <x:v>0</x:v>
      </x:c>
      <x:c r="AF563" s="193" t="b">
        <x:v>1</x:v>
      </x:c>
      <x:c r="AG563" s="193" t="b">
        <x:v>1</x:v>
      </x:c>
      <x:c r="AH563" s="193" t="b">
        <x:v>1</x:v>
      </x:c>
      <x:c r="AI563" s="193" t="b">
        <x:v>1</x:v>
      </x:c>
      <x:c r="AJ563" s="193" t="b">
        <x:v>1</x:v>
      </x:c>
    </x:row>
    <x:row r="564">
      <x:c r="A564" s="192" t="n">
        <x:v>834645644371228200</x:v>
      </x:c>
      <x:c r="B564" s="192" t="str">
        <x:v>https://www.airbnb.com.br/rooms/834645644371228115</x:v>
      </x:c>
      <x:c r="C564" s="192" t="str">
        <x:v>Suíte Mar, privativa com vista deslumbrante do mar</x:v>
      </x:c>
      <x:c r="D564" s="192" t="str">
        <x:v>Centro</x:v>
      </x:c>
      <x:c r="E564" s="192" t="n">
        <x:v>-27.0990009308</x:v>
      </x:c>
      <x:c r="F564" s="192" t="n">
        <x:v>-48.6150016785</x:v>
      </x:c>
      <x:c r="G564" s="192" t="str">
        <x:v>outros</x:v>
      </x:c>
      <x:c r="H564" s="192" t="n">
        <x:v>1</x:v>
      </x:c>
      <x:c r="I564" s="192" t="n">
        <x:v>1</x:v>
      </x:c>
      <x:c r="J564" s="192" t="n">
        <x:v>1</x:v>
      </x:c>
      <x:c r="K564" s="192" t="n">
        <x:v>2</x:v>
      </x:c>
      <x:c r="L564" s="192" t="n">
        <x:v>14</x:v>
      </x:c>
      <x:c r="M564" s="192" t="n">
        <x:v>4.9299998283</x:v>
      </x:c>
      <x:c r="N564" s="192" t="n">
        <x:v>70</x:v>
      </x:c>
      <x:c r="O564" s="192" t="n">
        <x:v>10</x:v>
      </x:c>
      <x:c r="P564" s="193" t="b">
        <x:v>0</x:v>
      </x:c>
      <x:c r="Q564" s="193" t="b">
        <x:v>0</x:v>
      </x:c>
      <x:c r="R564" s="193" t="b">
        <x:v>1</x:v>
      </x:c>
      <x:c r="S564" s="193" t="b">
        <x:v>0</x:v>
      </x:c>
      <x:c r="T564" s="192" t="n">
        <x:v>38</x:v>
      </x:c>
      <x:c r="U564" s="192" t="n">
        <x:v>52</x:v>
      </x:c>
      <x:c r="V564" s="200" t="n">
        <x:v>0.5777777778</x:v>
      </x:c>
      <x:c r="W564" s="203" t="n">
        <x:v>300</x:v>
      </x:c>
      <x:c r="X564" s="203" t="n">
        <x:v>15419.6413143213</x:v>
      </x:c>
      <x:c r="Y564" s="203" t="n">
        <x:v>39866.1976480681</x:v>
      </x:c>
      <x:c r="Z564" s="193" t="b">
        <x:v>0</x:v>
      </x:c>
      <x:c r="AA564" s="193" t="b">
        <x:v>0</x:v>
      </x:c>
      <x:c r="AB564" s="193" t="b">
        <x:v>1</x:v>
      </x:c>
      <x:c r="AC564" s="193" t="b">
        <x:v>1</x:v>
      </x:c>
      <x:c r="AD564" s="193" t="b">
        <x:v>1</x:v>
      </x:c>
      <x:c r="AE564" s="193" t="b">
        <x:v>1</x:v>
      </x:c>
      <x:c r="AF564" s="193" t="b">
        <x:v>0</x:v>
      </x:c>
      <x:c r="AG564" s="193" t="b">
        <x:v>1</x:v>
      </x:c>
      <x:c r="AH564" s="193" t="b">
        <x:v>1</x:v>
      </x:c>
      <x:c r="AI564" s="193" t="b">
        <x:v>1</x:v>
      </x:c>
      <x:c r="AJ564" s="193" t="b">
        <x:v>1</x:v>
      </x:c>
    </x:row>
    <x:row r="565">
      <x:c r="A565" s="192" t="n">
        <x:v>53448627</x:v>
      </x:c>
      <x:c r="B565" s="192" t="str">
        <x:v>https://www.airbnb.com.br/rooms/53448627</x:v>
      </x:c>
      <x:c r="C565" s="192" t="str">
        <x:v>Apartamento na Quadra Mar em Meia Praia - Itapema</x:v>
      </x:c>
      <x:c r="D565" s="192" t="str">
        <x:v>Meia Praia</x:v>
      </x:c>
      <x:c r="E565" s="192" t="n">
        <x:v>-27.14387</x:v>
      </x:c>
      <x:c r="F565" s="192" t="n">
        <x:v>-48.58931</x:v>
      </x:c>
      <x:c r="G565" s="192" t="str">
        <x:v>apartamento</x:v>
      </x:c>
      <x:c r="H565" s="192" t="n">
        <x:v>3</x:v>
      </x:c>
      <x:c r="I565" s="192" t="n">
        <x:v>2</x:v>
      </x:c>
      <x:c r="J565" s="192" t="n">
        <x:v>8</x:v>
      </x:c>
      <x:c r="K565" s="192" t="n">
        <x:v>12</x:v>
      </x:c>
      <x:c r="L565" s="192" t="n">
        <x:v>6</x:v>
      </x:c>
      <x:c r="M565" s="192" t="n">
        <x:v>5</x:v>
      </x:c>
      <x:c r="N565" s="192" t="n">
        <x:v>290</x:v>
      </x:c>
      <x:c r="O565" s="192" t="n">
        <x:v>10</x:v>
      </x:c>
      <x:c r="P565" s="193" t="b">
        <x:v>1</x:v>
      </x:c>
      <x:c r="Q565" s="193" t="b">
        <x:v>0</x:v>
      </x:c>
      <x:c r="R565" s="193" t="b">
        <x:v>0</x:v>
      </x:c>
      <x:c r="S565" s="193" t="b">
        <x:v>0</x:v>
      </x:c>
      <x:c r="T565" s="192" t="n">
        <x:v>26</x:v>
      </x:c>
      <x:c r="U565" s="192" t="n">
        <x:v>64</x:v>
      </x:c>
      <x:c r="V565" s="200" t="n">
        <x:v>0.7111111111</x:v>
      </x:c>
      <x:c r="W565" s="203" t="n">
        <x:v>505</x:v>
      </x:c>
      <x:c r="X565" s="203" t="n">
        <x:v>31914.858980908</x:v>
      </x:c>
      <x:c r="Y565" s="203" t="n">
        <x:v>82513.2083235559</x:v>
      </x:c>
      <x:c r="Z565" s="193" t="b">
        <x:v>0</x:v>
      </x:c>
      <x:c r="AA565" s="193" t="b">
        <x:v>0</x:v>
      </x:c>
      <x:c r="AB565" s="193" t="b">
        <x:v>1</x:v>
      </x:c>
      <x:c r="AC565" s="193" t="b">
        <x:v>1</x:v>
      </x:c>
      <x:c r="AD565" s="193" t="b">
        <x:v>0</x:v>
      </x:c>
      <x:c r="AE565" s="193" t="b">
        <x:v>1</x:v>
      </x:c>
      <x:c r="AF565" s="193" t="b">
        <x:v>1</x:v>
      </x:c>
      <x:c r="AG565" s="193" t="b">
        <x:v>1</x:v>
      </x:c>
      <x:c r="AH565" s="193" t="b">
        <x:v>1</x:v>
      </x:c>
      <x:c r="AI565" s="193" t="b">
        <x:v>1</x:v>
      </x:c>
      <x:c r="AJ565" s="193" t="b">
        <x:v>1</x:v>
      </x:c>
    </x:row>
    <x:row r="566">
      <x:c r="A566" s="192" t="n">
        <x:v>44153810</x:v>
      </x:c>
      <x:c r="B566" s="192" t="str">
        <x:v>https://www.airbnb.com.br/rooms/44153810</x:v>
      </x:c>
      <x:c r="C566" s="192" t="str">
        <x:v>Apartamento Lindo.Você vai se apaixonar ❤️🌄🏖️🏝️</x:v>
      </x:c>
      <x:c r="D566" s="192" t="str">
        <x:v>Alto Sao Bento</x:v>
      </x:c>
      <x:c r="E566" s="192" t="n">
        <x:v>-27.08712</x:v>
      </x:c>
      <x:c r="F566" s="192" t="n">
        <x:v>-48.61605</x:v>
      </x:c>
      <x:c r="G566" s="192" t="str">
        <x:v>apartamento</x:v>
      </x:c>
      <x:c r="H566" s="192" t="n">
        <x:v>2</x:v>
      </x:c>
      <x:c r="I566" s="192" t="n">
        <x:v>1</x:v>
      </x:c>
      <x:c r="J566" s="192" t="n">
        <x:v>3</x:v>
      </x:c>
      <x:c r="K566" s="192" t="n">
        <x:v>4</x:v>
      </x:c>
      <x:c r="L566" s="192" t="n">
        <x:v>35</x:v>
      </x:c>
      <x:c r="M566" s="192" t="n">
        <x:v>4.9099998474</x:v>
      </x:c>
      <x:c r="N566" s="192" t="n">
        <x:v>200</x:v>
      </x:c>
      <x:c r="O566" s="192" t="n">
        <x:v>58</x:v>
      </x:c>
      <x:c r="P566" s="193" t="b">
        <x:v>0</x:v>
      </x:c>
      <x:c r="Q566" s="193" t="b">
        <x:v>0</x:v>
      </x:c>
      <x:c r="R566" s="193" t="b">
        <x:v>1</x:v>
      </x:c>
      <x:c r="S566" s="193" t="b">
        <x:v>0</x:v>
      </x:c>
      <x:c r="T566" s="192" t="n">
        <x:v>48</x:v>
      </x:c>
      <x:c r="U566" s="192" t="n">
        <x:v>42</x:v>
      </x:c>
      <x:c r="V566" s="200" t="n">
        <x:v>0.4666666667</x:v>
      </x:c>
      <x:c r="W566" s="203" t="n">
        <x:v>199</x:v>
      </x:c>
      <x:c r="X566" s="203" t="n">
        <x:v>8711.0066674226</x:v>
      </x:c>
      <x:c r="Y566" s="203" t="n">
        <x:v>22521.5818213987</x:v>
      </x:c>
      <x:c r="Z566" s="193" t="b">
        <x:v>0</x:v>
      </x:c>
      <x:c r="AA566" s="193" t="b">
        <x:v>0</x:v>
      </x:c>
      <x:c r="AB566" s="193" t="b">
        <x:v>1</x:v>
      </x:c>
      <x:c r="AC566" s="193" t="b">
        <x:v>1</x:v>
      </x:c>
      <x:c r="AD566" s="193" t="b">
        <x:v>1</x:v>
      </x:c>
      <x:c r="AE566" s="193" t="b">
        <x:v>1</x:v>
      </x:c>
      <x:c r="AF566" s="193" t="b">
        <x:v>0</x:v>
      </x:c>
      <x:c r="AG566" s="193" t="b">
        <x:v>1</x:v>
      </x:c>
      <x:c r="AH566" s="193" t="b">
        <x:v>1</x:v>
      </x:c>
      <x:c r="AI566" s="193" t="b">
        <x:v>1</x:v>
      </x:c>
      <x:c r="AJ566" s="193" t="b">
        <x:v>1</x:v>
      </x:c>
    </x:row>
    <x:row r="567">
      <x:c r="A567" s="192" t="n">
        <x:v>766788707373767800</x:v>
      </x:c>
      <x:c r="B567" s="192" t="str">
        <x:v>https://www.airbnb.com.br/rooms/766788707373767791</x:v>
      </x:c>
      <x:c r="C567" s="192" t="str">
        <x:v>Apartamento ao lado da Praia</x:v>
      </x:c>
      <x:c r="D567" s="192" t="str">
        <x:v>Meia Praia</x:v>
      </x:c>
      <x:c r="E567" s="192" t="n">
        <x:v>-27.1329994202</x:v>
      </x:c>
      <x:c r="F567" s="192" t="n">
        <x:v>-48.5979995728</x:v>
      </x:c>
      <x:c r="G567" s="192" t="str">
        <x:v>apartamento</x:v>
      </x:c>
      <x:c r="H567" s="192" t="n">
        <x:v>3</x:v>
      </x:c>
      <x:c r="I567" s="192" t="n">
        <x:v>3</x:v>
      </x:c>
      <x:c r="J567" s="192" t="n">
        <x:v>4</x:v>
      </x:c>
      <x:c r="K567" s="192" t="n">
        <x:v>8</x:v>
      </x:c>
      <x:c r="L567" s="192" t="n">
        <x:v>23</x:v>
      </x:c>
      <x:c r="M567" s="192" t="n">
        <x:v>4.9099998474</x:v>
      </x:c>
      <x:c r="N567" s="192" t="n">
        <x:v>150</x:v>
      </x:c>
      <x:c r="O567" s="192" t="n">
        <x:v>12</x:v>
      </x:c>
      <x:c r="P567" s="193" t="b">
        <x:v>0</x:v>
      </x:c>
      <x:c r="Q567" s="193" t="b">
        <x:v>0</x:v>
      </x:c>
      <x:c r="R567" s="193" t="b">
        <x:v>1</x:v>
      </x:c>
      <x:c r="S567" s="193" t="b">
        <x:v>1</x:v>
      </x:c>
      <x:c r="T567" s="192" t="n">
        <x:v>35</x:v>
      </x:c>
      <x:c r="U567" s="192" t="n">
        <x:v>55</x:v>
      </x:c>
      <x:c r="V567" s="200" t="n">
        <x:v>0.6111111111</x:v>
      </x:c>
      <x:c r="W567" s="203" t="n">
        <x:v>355</x:v>
      </x:c>
      <x:c r="X567" s="203" t="n">
        <x:v>20195.7927560502</x:v>
      </x:c>
      <x:c r="Y567" s="203" t="n">
        <x:v>52214.5391880381</x:v>
      </x:c>
      <x:c r="Z567" s="193" t="b">
        <x:v>0</x:v>
      </x:c>
      <x:c r="AA567" s="193" t="b">
        <x:v>0</x:v>
      </x:c>
      <x:c r="AB567" s="193" t="b">
        <x:v>1</x:v>
      </x:c>
      <x:c r="AC567" s="193" t="b">
        <x:v>1</x:v>
      </x:c>
      <x:c r="AD567" s="193" t="b">
        <x:v>0</x:v>
      </x:c>
      <x:c r="AE567" s="193" t="b">
        <x:v>0</x:v>
      </x:c>
      <x:c r="AF567" s="193" t="b">
        <x:v>1</x:v>
      </x:c>
      <x:c r="AG567" s="193" t="b">
        <x:v>1</x:v>
      </x:c>
      <x:c r="AH567" s="193" t="b">
        <x:v>1</x:v>
      </x:c>
      <x:c r="AI567" s="193" t="b">
        <x:v>1</x:v>
      </x:c>
      <x:c r="AJ567" s="193" t="b">
        <x:v>1</x:v>
      </x:c>
    </x:row>
    <x:row r="568">
      <x:c r="A568" s="192" t="n">
        <x:v>580407424598756900</x:v>
      </x:c>
      <x:c r="B568" s="192" t="str">
        <x:v>https://www.airbnb.com.br/rooms/580407424598756855</x:v>
      </x:c>
      <x:c r="C568" s="192" t="str">
        <x:v>Condomínio Natália</x:v>
      </x:c>
      <x:c r="D568" s="192" t="str">
        <x:v>Meia Praia</x:v>
      </x:c>
      <x:c r="E568" s="192" t="n">
        <x:v>-27.13282</x:v>
      </x:c>
      <x:c r="F568" s="192" t="n">
        <x:v>-48.59775</x:v>
      </x:c>
      <x:c r="G568" s="192" t="str">
        <x:v>apartamento</x:v>
      </x:c>
      <x:c r="H568" s="192" t="n">
        <x:v>3</x:v>
      </x:c>
      <x:c r="I568" s="192" t="n">
        <x:v>2</x:v>
      </x:c>
      <x:c r="J568" s="192" t="n">
        <x:v>3</x:v>
      </x:c>
      <x:c r="K568" s="192" t="n">
        <x:v>10</x:v>
      </x:c>
      <x:c r="L568" s="192" t="n">
        <x:v>11</x:v>
      </x:c>
      <x:c r="M568" s="192" t="n">
        <x:v>5</x:v>
      </x:c>
      <x:c r="N568" s="192" t="n">
        <x:v>270</x:v>
      </x:c>
      <x:c r="O568" s="192" t="n">
        <x:v>33</x:v>
      </x:c>
      <x:c r="P568" s="193" t="b">
        <x:v>0</x:v>
      </x:c>
      <x:c r="Q568" s="193" t="b">
        <x:v>0</x:v>
      </x:c>
      <x:c r="R568" s="193" t="b">
        <x:v>1</x:v>
      </x:c>
      <x:c r="S568" s="193" t="b">
        <x:v>1</x:v>
      </x:c>
      <x:c r="T568" s="192" t="n">
        <x:v>14</x:v>
      </x:c>
      <x:c r="U568" s="192" t="n">
        <x:v>76</x:v>
      </x:c>
      <x:c r="V568" s="200" t="n">
        <x:v>0.8444444444</x:v>
      </x:c>
      <x:c r="W568" s="203" t="n">
        <x:v>573.5</x:v>
      </x:c>
      <x:c r="X568" s="203" t="n">
        <x:v>42613.525304637</x:v>
      </x:c>
      <x:c r="Y568" s="203" t="n">
        <x:v>110173.7185480303</x:v>
      </x:c>
      <x:c r="Z568" s="193" t="b">
        <x:v>0</x:v>
      </x:c>
      <x:c r="AA568" s="193" t="b">
        <x:v>0</x:v>
      </x:c>
      <x:c r="AB568" s="193" t="b">
        <x:v>1</x:v>
      </x:c>
      <x:c r="AC568" s="193" t="b">
        <x:v>1</x:v>
      </x:c>
      <x:c r="AD568" s="193" t="b">
        <x:v>1</x:v>
      </x:c>
      <x:c r="AE568" s="193" t="b">
        <x:v>0</x:v>
      </x:c>
      <x:c r="AF568" s="193" t="b">
        <x:v>1</x:v>
      </x:c>
      <x:c r="AG568" s="193" t="b">
        <x:v>1</x:v>
      </x:c>
      <x:c r="AH568" s="193" t="b">
        <x:v>1</x:v>
      </x:c>
      <x:c r="AI568" s="193" t="b">
        <x:v>1</x:v>
      </x:c>
      <x:c r="AJ568" s="193" t="b">
        <x:v>1</x:v>
      </x:c>
    </x:row>
    <x:row r="569">
      <x:c r="A569" s="192" t="n">
        <x:v>40351988</x:v>
      </x:c>
      <x:c r="B569" s="192" t="str">
        <x:v>https://www.airbnb.com.br/rooms/40351988</x:v>
      </x:c>
      <x:c r="C569" s="192" t="str">
        <x:v>A melhor localização da Meia Praia, quadra mar!</x:v>
      </x:c>
      <x:c r="D569" s="192" t="str">
        <x:v>Meia Praia</x:v>
      </x:c>
      <x:c r="E569" s="192" t="n">
        <x:v>-27.1313705444</x:v>
      </x:c>
      <x:c r="F569" s="192" t="n">
        <x:v>-48.5991706848</x:v>
      </x:c>
      <x:c r="G569" s="192" t="str">
        <x:v>apartamento</x:v>
      </x:c>
      <x:c r="H569" s="192" t="n">
        <x:v>3</x:v>
      </x:c>
      <x:c r="I569" s="192" t="n">
        <x:v>2</x:v>
      </x:c>
      <x:c r="J569" s="192" t="n">
        <x:v>4</x:v>
      </x:c>
      <x:c r="K569" s="192" t="n">
        <x:v>7</x:v>
      </x:c>
      <x:c r="L569" s="192" t="n">
        <x:v>35</x:v>
      </x:c>
      <x:c r="M569" s="192" t="n">
        <x:v>4.9099998474</x:v>
      </x:c>
      <x:c r="N569" s="192" t="n">
        <x:v>200</x:v>
      </x:c>
      <x:c r="O569" s="192" t="n">
        <x:v>17</x:v>
      </x:c>
      <x:c r="P569" s="193" t="b">
        <x:v>0</x:v>
      </x:c>
      <x:c r="Q569" s="193" t="b">
        <x:v>0</x:v>
      </x:c>
      <x:c r="R569" s="193" t="b">
        <x:v>1</x:v>
      </x:c>
      <x:c r="S569" s="193" t="b">
        <x:v>1</x:v>
      </x:c>
      <x:c r="T569" s="192" t="n">
        <x:v>52</x:v>
      </x:c>
      <x:c r="U569" s="192" t="n">
        <x:v>38</x:v>
      </x:c>
      <x:c r="V569" s="200" t="n">
        <x:v>0.4222222222</x:v>
      </x:c>
      <x:c r="W569" s="203" t="n">
        <x:v>333</x:v>
      </x:c>
      <x:c r="X569" s="203" t="n">
        <x:v>13063.5946802468</x:v>
      </x:c>
      <x:c r="Y569" s="203" t="n">
        <x:v>33774.8354128881</x:v>
      </x:c>
      <x:c r="Z569" s="193" t="b">
        <x:v>1</x:v>
      </x:c>
      <x:c r="AA569" s="193" t="b">
        <x:v>0</x:v>
      </x:c>
      <x:c r="AB569" s="193" t="b">
        <x:v>1</x:v>
      </x:c>
      <x:c r="AC569" s="193" t="b">
        <x:v>1</x:v>
      </x:c>
      <x:c r="AD569" s="193" t="b">
        <x:v>0</x:v>
      </x:c>
      <x:c r="AE569" s="193" t="b">
        <x:v>1</x:v>
      </x:c>
      <x:c r="AF569" s="193" t="b">
        <x:v>0</x:v>
      </x:c>
      <x:c r="AG569" s="193" t="b">
        <x:v>1</x:v>
      </x:c>
      <x:c r="AH569" s="193" t="b">
        <x:v>1</x:v>
      </x:c>
      <x:c r="AI569" s="193" t="b">
        <x:v>1</x:v>
      </x:c>
      <x:c r="AJ569" s="193" t="b">
        <x:v>0</x:v>
      </x:c>
    </x:row>
    <x:row r="570">
      <x:c r="A570" s="192" t="n">
        <x:v>11567423</x:v>
      </x:c>
      <x:c r="B570" s="192" t="str">
        <x:v>https://www.airbnb.com.br/rooms/11567423</x:v>
      </x:c>
      <x:c r="C570" s="192" t="str">
        <x:v>Itapema aconchegante</x:v>
      </x:c>
      <x:c r="D570" s="192" t="str">
        <x:v>Centro</x:v>
      </x:c>
      <x:c r="E570" s="192" t="n">
        <x:v>-27.09902</x:v>
      </x:c>
      <x:c r="F570" s="192" t="n">
        <x:v>-48.61393</x:v>
      </x:c>
      <x:c r="G570" s="192" t="str">
        <x:v>apartamento</x:v>
      </x:c>
      <x:c r="H570" s="192" t="n">
        <x:v>3</x:v>
      </x:c>
      <x:c r="I570" s="192" t="n">
        <x:v>2</x:v>
      </x:c>
      <x:c r="J570" s="192" t="n">
        <x:v>4</x:v>
      </x:c>
      <x:c r="K570" s="192" t="n">
        <x:v>6</x:v>
      </x:c>
      <x:c r="L570" s="192" t="n">
        <x:v>24</x:v>
      </x:c>
      <x:c r="M570" s="192" t="n">
        <x:v>4.8800001144</x:v>
      </x:c>
      <x:c r="N570" s="192" t="n">
        <x:v>400</x:v>
      </x:c>
      <x:c r="O570" s="192" t="n">
        <x:v>41</x:v>
      </x:c>
      <x:c r="P570" s="193" t="b">
        <x:v>1</x:v>
      </x:c>
      <x:c r="Q570" s="193" t="b">
        <x:v>0</x:v>
      </x:c>
      <x:c r="R570" s="193" t="b">
        <x:v>0</x:v>
      </x:c>
      <x:c r="S570" s="193" t="b">
        <x:v>0</x:v>
      </x:c>
      <x:c r="T570" s="192" t="n">
        <x:v>62</x:v>
      </x:c>
      <x:c r="U570" s="192" t="n">
        <x:v>28</x:v>
      </x:c>
      <x:c r="V570" s="200" t="n">
        <x:v>0.3111111111</x:v>
      </x:c>
      <x:c r="W570" s="203" t="n">
        <x:v>790</x:v>
      </x:c>
      <x:c r="X570" s="203" t="n">
        <x:v>23918.4117973268</x:v>
      </x:c>
      <x:c r="Y570" s="203" t="n">
        <x:v>61839.0605010053</x:v>
      </x:c>
      <x:c r="Z570" s="193" t="b">
        <x:v>1</x:v>
      </x:c>
      <x:c r="AA570" s="193" t="b">
        <x:v>0</x:v>
      </x:c>
      <x:c r="AB570" s="193" t="b">
        <x:v>1</x:v>
      </x:c>
      <x:c r="AC570" s="193" t="b">
        <x:v>1</x:v>
      </x:c>
      <x:c r="AD570" s="193" t="b">
        <x:v>1</x:v>
      </x:c>
      <x:c r="AE570" s="193" t="b">
        <x:v>1</x:v>
      </x:c>
      <x:c r="AF570" s="193" t="b">
        <x:v>1</x:v>
      </x:c>
      <x:c r="AG570" s="193" t="b">
        <x:v>1</x:v>
      </x:c>
      <x:c r="AH570" s="193" t="b">
        <x:v>1</x:v>
      </x:c>
      <x:c r="AI570" s="193" t="b">
        <x:v>1</x:v>
      </x:c>
      <x:c r="AJ570" s="193" t="b">
        <x:v>1</x:v>
      </x:c>
    </x:row>
    <x:row r="571">
      <x:c r="A571" s="192" t="n">
        <x:v>762916089194134300</x:v>
      </x:c>
      <x:c r="B571" s="192" t="str">
        <x:v>https://www.airbnb.com.br/rooms/762916089194134311</x:v>
      </x:c>
      <x:c r="C571" s="192" t="str">
        <x:v>Luxo próximo a praia</x:v>
      </x:c>
      <x:c r="D571" s="192" t="str">
        <x:v>Centro</x:v>
      </x:c>
      <x:c r="E571" s="192" t="n">
        <x:v>-27.09348</x:v>
      </x:c>
      <x:c r="F571" s="192" t="n">
        <x:v>-48.61434</x:v>
      </x:c>
      <x:c r="G571" s="192" t="str">
        <x:v>apartamento</x:v>
      </x:c>
      <x:c r="H571" s="192" t="n">
        <x:v>2</x:v>
      </x:c>
      <x:c r="I571" s="192" t="n">
        <x:v>2</x:v>
      </x:c>
      <x:c r="J571" s="192" t="n">
        <x:v>3</x:v>
      </x:c>
      <x:c r="K571" s="192" t="n">
        <x:v>5</x:v>
      </x:c>
      <x:c r="L571" s="192" t="n">
        <x:v>3</x:v>
      </x:c>
      <x:c r="M571" s="192" t="n">
        <x:v>5</x:v>
      </x:c>
      <x:c r="N571" s="192" t="n">
        <x:v>170</x:v>
      </x:c>
      <x:c r="O571" s="192" t="n">
        <x:v>6</x:v>
      </x:c>
      <x:c r="P571" s="193" t="b">
        <x:v>0</x:v>
      </x:c>
      <x:c r="Q571" s="193" t="b">
        <x:v>0</x:v>
      </x:c>
      <x:c r="R571" s="193" t="b">
        <x:v>0</x:v>
      </x:c>
      <x:c r="S571" s="193" t="b">
        <x:v>0</x:v>
      </x:c>
      <x:c r="T571" s="192" t="n">
        <x:v>90</x:v>
      </x:c>
      <x:c r="U571" s="192" t="n">
        <x:v>0</x:v>
      </x:c>
      <x:c r="V571" s="200" t="n">
        <x:v>0</x:v>
      </x:c>
      <x:c r="W571" s="203" t="n">
        <x:v>1000</x:v>
      </x:c>
      <x:c r="X571" s="203" t="n">
        <x:v>0</x:v>
      </x:c>
      <x:c r="Y571" s="203" t="n">
        <x:v>0</x:v>
      </x:c>
      <x:c r="Z571" s="193" t="b">
        <x:v>1</x:v>
      </x:c>
      <x:c r="AA571" s="193" t="b">
        <x:v>0</x:v>
      </x:c>
      <x:c r="AB571" s="193" t="b">
        <x:v>1</x:v>
      </x:c>
      <x:c r="AC571" s="193" t="b">
        <x:v>1</x:v>
      </x:c>
      <x:c r="AD571" s="193" t="b">
        <x:v>0</x:v>
      </x:c>
      <x:c r="AE571" s="193" t="b">
        <x:v>0</x:v>
      </x:c>
      <x:c r="AF571" s="193" t="b">
        <x:v>1</x:v>
      </x:c>
      <x:c r="AG571" s="193" t="b">
        <x:v>1</x:v>
      </x:c>
      <x:c r="AH571" s="193" t="b">
        <x:v>1</x:v>
      </x:c>
      <x:c r="AI571" s="193" t="b">
        <x:v>1</x:v>
      </x:c>
      <x:c r="AJ571" s="193" t="b">
        <x:v>1</x:v>
      </x:c>
    </x:row>
    <x:row r="572">
      <x:c r="A572" s="192" t="n">
        <x:v>1193347652334673200</x:v>
      </x:c>
      <x:c r="B572" s="192" t="str">
        <x:v>https://www.airbnb.com.br/rooms/1193347652334673191</x:v>
      </x:c>
      <x:c r="C572" s="192" t="str">
        <x:v>Apartamento Próx do Mar c/ 2 Vagas e Churrasqueira</x:v>
      </x:c>
      <x:c r="D572" s="192" t="str">
        <x:v>Meia Praia</x:v>
      </x:c>
      <x:c r="E572" s="192" t="n">
        <x:v>-27.1372734</x:v>
      </x:c>
      <x:c r="F572" s="192" t="n">
        <x:v>-48.5970003</x:v>
      </x:c>
      <x:c r="G572" s="192" t="str">
        <x:v>apartamento</x:v>
      </x:c>
      <x:c r="H572" s="192" t="n">
        <x:v>3</x:v>
      </x:c>
      <x:c r="I572" s="192" t="n">
        <x:v>3</x:v>
      </x:c>
      <x:c r="J572" s="192" t="n">
        <x:v>3</x:v>
      </x:c>
      <x:c r="K572" s="192" t="n">
        <x:v>6</x:v>
      </x:c>
      <x:c r="L572" s="192" t="n">
        <x:v>12</x:v>
      </x:c>
      <x:c r="M572" s="192" t="n">
        <x:v>5</x:v>
      </x:c>
      <x:c r="N572" s="192" t="n">
        <x:v>200</x:v>
      </x:c>
      <x:c r="O572" s="192" t="n">
        <x:v>0</x:v>
      </x:c>
      <x:c r="P572" s="193" t="b">
        <x:v>0</x:v>
      </x:c>
      <x:c r="Q572" s="193" t="b">
        <x:v>1</x:v>
      </x:c>
      <x:c r="R572" s="193" t="b">
        <x:v>1</x:v>
      </x:c>
      <x:c r="S572" s="193" t="b">
        <x:v>1</x:v>
      </x:c>
      <x:c r="T572" s="192" t="n">
        <x:v>54</x:v>
      </x:c>
      <x:c r="U572" s="192" t="n">
        <x:v>36</x:v>
      </x:c>
      <x:c r="V572" s="200" t="n">
        <x:v>0.4</x:v>
      </x:c>
      <x:c r="W572" s="203" t="n">
        <x:v>633</x:v>
      </x:c>
      <x:c r="X572" s="203" t="n">
        <x:v>22327.5823041077</x:v>
      </x:c>
      <x:c r="Y572" s="203" t="n">
        <x:v>57726.1034154117</x:v>
      </x:c>
      <x:c r="Z572" s="193" t="b">
        <x:v>1</x:v>
      </x:c>
      <x:c r="AA572" s="193" t="b">
        <x:v>0</x:v>
      </x:c>
      <x:c r="AB572" s="193" t="b">
        <x:v>1</x:v>
      </x:c>
      <x:c r="AC572" s="193" t="b">
        <x:v>1</x:v>
      </x:c>
      <x:c r="AD572" s="193" t="b">
        <x:v>1</x:v>
      </x:c>
      <x:c r="AE572" s="193" t="b">
        <x:v>0</x:v>
      </x:c>
      <x:c r="AF572" s="193" t="b">
        <x:v>1</x:v>
      </x:c>
      <x:c r="AG572" s="193" t="b">
        <x:v>1</x:v>
      </x:c>
      <x:c r="AH572" s="193" t="b">
        <x:v>1</x:v>
      </x:c>
      <x:c r="AI572" s="193" t="b">
        <x:v>1</x:v>
      </x:c>
      <x:c r="AJ572" s="193" t="b">
        <x:v>1</x:v>
      </x:c>
    </x:row>
    <x:row r="573">
      <x:c r="A573" s="192" t="n">
        <x:v>1265295313956605200</x:v>
      </x:c>
      <x:c r="B573" s="192" t="str">
        <x:v>https://www.airbnb.com.br/rooms/1265295313956605287</x:v>
      </x:c>
      <x:c r="C573" s="192" t="str">
        <x:v>Studio Vista Mar Apenas 280m da Praia! - MHFB2007</x:v>
      </x:c>
      <x:c r="D573" s="192" t="str">
        <x:v>Centro</x:v>
      </x:c>
      <x:c r="E573" s="192" t="n">
        <x:v>-27.0936893</x:v>
      </x:c>
      <x:c r="F573" s="192" t="n">
        <x:v>-48.6131638</x:v>
      </x:c>
      <x:c r="G573" s="192" t="str">
        <x:v>apartamento</x:v>
      </x:c>
      <x:c r="H573" s="192" t="n">
        <x:v>1</x:v>
      </x:c>
      <x:c r="I573" s="192" t="n">
        <x:v>1</x:v>
      </x:c>
      <x:c r="J573" s="192" t="n">
        <x:v>1</x:v>
      </x:c>
      <x:c r="K573" s="192" t="n">
        <x:v>2</x:v>
      </x:c>
      <x:c r="L573" s="192" t="n">
        <x:v>0</x:v>
      </x:c>
      <x:c r="M573" s="192"/>
      <x:c r="N573" s="192" t="n">
        <x:v>190</x:v>
      </x:c>
      <x:c r="O573" s="192" t="n">
        <x:v>0</x:v>
      </x:c>
      <x:c r="P573" s="193" t="b">
        <x:v>1</x:v>
      </x:c>
      <x:c r="Q573" s="193" t="b">
        <x:v>1</x:v>
      </x:c>
      <x:c r="R573" s="193" t="b">
        <x:v>0</x:v>
      </x:c>
      <x:c r="S573" s="193" t="b">
        <x:v>0</x:v>
      </x:c>
      <x:c r="T573" s="192" t="n">
        <x:v>73</x:v>
      </x:c>
      <x:c r="U573" s="192" t="n">
        <x:v>17</x:v>
      </x:c>
      <x:c r="V573" s="200" t="n">
        <x:v>0.1888888889</x:v>
      </x:c>
      <x:c r="W573" s="203" t="n">
        <x:v>372</x:v>
      </x:c>
      <x:c r="X573" s="203" t="n">
        <x:v>6346.4237239926</x:v>
      </x:c>
      <x:c r="Y573" s="203" t="n">
        <x:v>16408.1496697392</x:v>
      </x:c>
      <x:c r="Z573" s="193" t="b">
        <x:v>1</x:v>
      </x:c>
      <x:c r="AA573" s="193" t="b">
        <x:v>1</x:v>
      </x:c>
      <x:c r="AB573" s="193" t="b">
        <x:v>1</x:v>
      </x:c>
      <x:c r="AC573" s="193" t="b">
        <x:v>1</x:v>
      </x:c>
      <x:c r="AD573" s="193" t="b">
        <x:v>1</x:v>
      </x:c>
      <x:c r="AE573" s="193" t="b">
        <x:v>0</x:v>
      </x:c>
      <x:c r="AF573" s="193" t="b">
        <x:v>1</x:v>
      </x:c>
      <x:c r="AG573" s="193" t="b">
        <x:v>1</x:v>
      </x:c>
      <x:c r="AH573" s="193" t="b">
        <x:v>1</x:v>
      </x:c>
      <x:c r="AI573" s="193" t="b">
        <x:v>1</x:v>
      </x:c>
      <x:c r="AJ573" s="193" t="b">
        <x:v>0</x:v>
      </x:c>
    </x:row>
    <x:row r="574">
      <x:c r="A574" s="192" t="n">
        <x:v>1066545050089988000</x:v>
      </x:c>
      <x:c r="B574" s="192" t="str">
        <x:v>https://www.airbnb.com.br/rooms/1066545050089987954</x:v>
      </x:c>
      <x:c r="C574" s="192" t="str">
        <x:v>Apartamento completo na rua 276</x:v>
      </x:c>
      <x:c r="D574" s="192" t="str">
        <x:v>Meia Praia</x:v>
      </x:c>
      <x:c r="E574" s="192" t="n">
        <x:v>-27.1340007782</x:v>
      </x:c>
      <x:c r="F574" s="192" t="n">
        <x:v>-48.5999984741</x:v>
      </x:c>
      <x:c r="G574" s="192" t="str">
        <x:v>apartamento</x:v>
      </x:c>
      <x:c r="H574" s="192" t="n">
        <x:v>2</x:v>
      </x:c>
      <x:c r="I574" s="192" t="n">
        <x:v>1</x:v>
      </x:c>
      <x:c r="J574" s="192" t="n">
        <x:v>3</x:v>
      </x:c>
      <x:c r="K574" s="192" t="n">
        <x:v>6</x:v>
      </x:c>
      <x:c r="L574" s="192" t="n">
        <x:v>5</x:v>
      </x:c>
      <x:c r="M574" s="192" t="n">
        <x:v>5</x:v>
      </x:c>
      <x:c r="N574" s="192" t="n">
        <x:v>200</x:v>
      </x:c>
      <x:c r="O574" s="192" t="n">
        <x:v>18</x:v>
      </x:c>
      <x:c r="P574" s="193" t="b">
        <x:v>1</x:v>
      </x:c>
      <x:c r="Q574" s="193" t="b">
        <x:v>0</x:v>
      </x:c>
      <x:c r="R574" s="193" t="b">
        <x:v>1</x:v>
      </x:c>
      <x:c r="S574" s="193" t="b">
        <x:v>0</x:v>
      </x:c>
      <x:c r="T574" s="192" t="n">
        <x:v>69</x:v>
      </x:c>
      <x:c r="U574" s="192" t="n">
        <x:v>21</x:v>
      </x:c>
      <x:c r="V574" s="200" t="n">
        <x:v>0.2333333333</x:v>
      </x:c>
      <x:c r="W574" s="203" t="n">
        <x:v>400</x:v>
      </x:c>
      <x:c r="X574" s="203" t="n">
        <x:v>8359.5483305093</x:v>
      </x:c>
      <x:c r="Y574" s="203" t="n">
        <x:v>21612.9155795042</x:v>
      </x:c>
      <x:c r="Z574" s="193" t="b">
        <x:v>1</x:v>
      </x:c>
      <x:c r="AA574" s="193" t="b">
        <x:v>0</x:v>
      </x:c>
      <x:c r="AB574" s="193" t="b">
        <x:v>1</x:v>
      </x:c>
      <x:c r="AC574" s="193" t="b">
        <x:v>1</x:v>
      </x:c>
      <x:c r="AD574" s="193" t="b">
        <x:v>0</x:v>
      </x:c>
      <x:c r="AE574" s="193" t="b">
        <x:v>1</x:v>
      </x:c>
      <x:c r="AF574" s="193" t="b">
        <x:v>1</x:v>
      </x:c>
      <x:c r="AG574" s="193" t="b">
        <x:v>1</x:v>
      </x:c>
      <x:c r="AH574" s="193" t="b">
        <x:v>1</x:v>
      </x:c>
      <x:c r="AI574" s="193" t="b">
        <x:v>1</x:v>
      </x:c>
      <x:c r="AJ574" s="193" t="b">
        <x:v>1</x:v>
      </x:c>
    </x:row>
    <x:row r="575">
      <x:c r="A575" s="192" t="n">
        <x:v>46550767</x:v>
      </x:c>
      <x:c r="B575" s="192" t="str">
        <x:v>https://www.airbnb.com.br/rooms/46550767</x:v>
      </x:c>
      <x:c r="C575" s="192" t="str">
        <x:v>Apto QUADRA MAR - prox. shopping Russi/ Ofertão</x:v>
      </x:c>
      <x:c r="D575" s="192" t="str">
        <x:v>Meia Praia</x:v>
      </x:c>
      <x:c r="E575" s="192" t="n">
        <x:v>-27.1326198578</x:v>
      </x:c>
      <x:c r="F575" s="192" t="n">
        <x:v>-48.5984306335</x:v>
      </x:c>
      <x:c r="G575" s="192" t="str">
        <x:v>apartamento</x:v>
      </x:c>
      <x:c r="H575" s="192" t="n">
        <x:v>3</x:v>
      </x:c>
      <x:c r="I575" s="192" t="n">
        <x:v>2</x:v>
      </x:c>
      <x:c r="J575" s="192" t="n">
        <x:v>5</x:v>
      </x:c>
      <x:c r="K575" s="192" t="n">
        <x:v>8</x:v>
      </x:c>
      <x:c r="L575" s="192" t="n">
        <x:v>42</x:v>
      </x:c>
      <x:c r="M575" s="192" t="n">
        <x:v>4.8099999428</x:v>
      </x:c>
      <x:c r="N575" s="192" t="n">
        <x:v>200</x:v>
      </x:c>
      <x:c r="O575" s="192" t="n">
        <x:v>41</x:v>
      </x:c>
      <x:c r="P575" s="193" t="b">
        <x:v>0</x:v>
      </x:c>
      <x:c r="Q575" s="193" t="b">
        <x:v>0</x:v>
      </x:c>
      <x:c r="R575" s="193" t="b">
        <x:v>1</x:v>
      </x:c>
      <x:c r="S575" s="193" t="b">
        <x:v>0</x:v>
      </x:c>
      <x:c r="T575" s="192" t="n">
        <x:v>47</x:v>
      </x:c>
      <x:c r="U575" s="192" t="n">
        <x:v>43</x:v>
      </x:c>
      <x:c r="V575" s="200" t="n">
        <x:v>0.4777777778</x:v>
      </x:c>
      <x:c r="W575" s="203" t="n">
        <x:v>800</x:v>
      </x:c>
      <x:c r="X575" s="203" t="n">
        <x:v>34641.7869531268</x:v>
      </x:c>
      <x:c r="Y575" s="203" t="n">
        <x:v>89563.45335173</x:v>
      </x:c>
      <x:c r="Z575" s="193" t="b">
        <x:v>1</x:v>
      </x:c>
      <x:c r="AA575" s="193" t="b">
        <x:v>0</x:v>
      </x:c>
      <x:c r="AB575" s="193" t="b">
        <x:v>1</x:v>
      </x:c>
      <x:c r="AC575" s="193" t="b">
        <x:v>1</x:v>
      </x:c>
      <x:c r="AD575" s="193" t="b">
        <x:v>0</x:v>
      </x:c>
      <x:c r="AE575" s="193" t="b">
        <x:v>1</x:v>
      </x:c>
      <x:c r="AF575" s="193" t="b">
        <x:v>1</x:v>
      </x:c>
      <x:c r="AG575" s="193" t="b">
        <x:v>1</x:v>
      </x:c>
      <x:c r="AH575" s="193" t="b">
        <x:v>1</x:v>
      </x:c>
      <x:c r="AI575" s="193" t="b">
        <x:v>1</x:v>
      </x:c>
      <x:c r="AJ575" s="193" t="b">
        <x:v>1</x:v>
      </x:c>
    </x:row>
    <x:row r="576">
      <x:c r="A576" s="192" t="n">
        <x:v>41786765</x:v>
      </x:c>
      <x:c r="B576" s="192" t="str">
        <x:v>https://www.airbnb.com.br/rooms/41786765</x:v>
      </x:c>
      <x:c r="C576" s="192" t="str">
        <x:v>Apto para família! 50m da praia! Quadra mar!</x:v>
      </x:c>
      <x:c r="D576" s="192" t="str">
        <x:v>Meia Praia</x:v>
      </x:c>
      <x:c r="E576" s="192" t="n">
        <x:v>-27.12047</x:v>
      </x:c>
      <x:c r="F576" s="192" t="n">
        <x:v>-48.60686</x:v>
      </x:c>
      <x:c r="G576" s="192" t="str">
        <x:v>apartamento</x:v>
      </x:c>
      <x:c r="H576" s="192" t="n">
        <x:v>3</x:v>
      </x:c>
      <x:c r="I576" s="192" t="n">
        <x:v>3</x:v>
      </x:c>
      <x:c r="J576" s="192" t="n">
        <x:v>3</x:v>
      </x:c>
      <x:c r="K576" s="192" t="n">
        <x:v>8</x:v>
      </x:c>
      <x:c r="L576" s="192" t="n">
        <x:v>32</x:v>
      </x:c>
      <x:c r="M576" s="192" t="n">
        <x:v>4.8400001526</x:v>
      </x:c>
      <x:c r="N576" s="192" t="n">
        <x:v>500</x:v>
      </x:c>
      <x:c r="O576" s="192" t="n">
        <x:v>1</x:v>
      </x:c>
      <x:c r="P576" s="193" t="b">
        <x:v>1</x:v>
      </x:c>
      <x:c r="Q576" s="193" t="b">
        <x:v>0</x:v>
      </x:c>
      <x:c r="R576" s="193" t="b">
        <x:v>0</x:v>
      </x:c>
      <x:c r="S576" s="193" t="b">
        <x:v>0</x:v>
      </x:c>
      <x:c r="T576" s="192" t="n">
        <x:v>13</x:v>
      </x:c>
      <x:c r="U576" s="192" t="n">
        <x:v>77</x:v>
      </x:c>
      <x:c r="V576" s="200" t="n">
        <x:v>0.8555555556</x:v>
      </x:c>
      <x:c r="W576" s="203" t="n">
        <x:v>250</x:v>
      </x:c>
      <x:c r="X576" s="203" t="n">
        <x:v>19457.3527199614</x:v>
      </x:c>
      <x:c r="Y576" s="203" t="n">
        <x:v>50305.3640114001</x:v>
      </x:c>
      <x:c r="Z576" s="193" t="b">
        <x:v>0</x:v>
      </x:c>
      <x:c r="AA576" s="193" t="b">
        <x:v>0</x:v>
      </x:c>
      <x:c r="AB576" s="193" t="b">
        <x:v>1</x:v>
      </x:c>
      <x:c r="AC576" s="193" t="b">
        <x:v>1</x:v>
      </x:c>
      <x:c r="AD576" s="193" t="b">
        <x:v>0</x:v>
      </x:c>
      <x:c r="AE576" s="193" t="b">
        <x:v>1</x:v>
      </x:c>
      <x:c r="AF576" s="193" t="b">
        <x:v>1</x:v>
      </x:c>
      <x:c r="AG576" s="193" t="b">
        <x:v>1</x:v>
      </x:c>
      <x:c r="AH576" s="193" t="b">
        <x:v>1</x:v>
      </x:c>
      <x:c r="AI576" s="193" t="b">
        <x:v>1</x:v>
      </x:c>
      <x:c r="AJ576" s="193" t="b">
        <x:v>0</x:v>
      </x:c>
    </x:row>
    <x:row r="577">
      <x:c r="A577" s="192" t="n">
        <x:v>9327293</x:v>
      </x:c>
      <x:c r="B577" s="192" t="str">
        <x:v>https://www.airbnb.com.br/rooms/9327293</x:v>
      </x:c>
      <x:c r="C577" s="192" t="str">
        <x:v>Apto agradável e ótima localização</x:v>
      </x:c>
      <x:c r="D577" s="192" t="str">
        <x:v>Meia Praia</x:v>
      </x:c>
      <x:c r="E577" s="192" t="n">
        <x:v>-27.13233</x:v>
      </x:c>
      <x:c r="F577" s="192" t="n">
        <x:v>-48.59719</x:v>
      </x:c>
      <x:c r="G577" s="192" t="str">
        <x:v>apartamento</x:v>
      </x:c>
      <x:c r="H577" s="192" t="n">
        <x:v>4</x:v>
      </x:c>
      <x:c r="I577" s="192" t="n">
        <x:v>3</x:v>
      </x:c>
      <x:c r="J577" s="192" t="n">
        <x:v>5</x:v>
      </x:c>
      <x:c r="K577" s="192" t="n">
        <x:v>9</x:v>
      </x:c>
      <x:c r="L577" s="192" t="n">
        <x:v>50</x:v>
      </x:c>
      <x:c r="M577" s="192" t="n">
        <x:v>4.9600000381</x:v>
      </x:c>
      <x:c r="N577" s="192" t="n">
        <x:v>450</x:v>
      </x:c>
      <x:c r="O577" s="192" t="n">
        <x:v>40</x:v>
      </x:c>
      <x:c r="P577" s="193" t="b">
        <x:v>1</x:v>
      </x:c>
      <x:c r="Q577" s="193" t="b">
        <x:v>0</x:v>
      </x:c>
      <x:c r="R577" s="193" t="b">
        <x:v>1</x:v>
      </x:c>
      <x:c r="S577" s="193" t="b">
        <x:v>1</x:v>
      </x:c>
      <x:c r="T577" s="192" t="n">
        <x:v>33</x:v>
      </x:c>
      <x:c r="U577" s="192" t="n">
        <x:v>57</x:v>
      </x:c>
      <x:c r="V577" s="200" t="n">
        <x:v>0.6333333333</x:v>
      </x:c>
      <x:c r="W577" s="203" t="n">
        <x:v>900</x:v>
      </x:c>
      <x:c r="X577" s="203" t="n">
        <x:v>51396.2438104972</x:v>
      </x:c>
      <x:c r="Y577" s="203" t="n">
        <x:v>132880.7053517229</x:v>
      </x:c>
      <x:c r="Z577" s="193" t="b">
        <x:v>1</x:v>
      </x:c>
      <x:c r="AA577" s="193" t="b">
        <x:v>0</x:v>
      </x:c>
      <x:c r="AB577" s="193" t="b">
        <x:v>1</x:v>
      </x:c>
      <x:c r="AC577" s="193" t="b">
        <x:v>1</x:v>
      </x:c>
      <x:c r="AD577" s="193" t="b">
        <x:v>1</x:v>
      </x:c>
      <x:c r="AE577" s="193" t="b">
        <x:v>1</x:v>
      </x:c>
      <x:c r="AF577" s="193" t="b">
        <x:v>1</x:v>
      </x:c>
      <x:c r="AG577" s="193" t="b">
        <x:v>1</x:v>
      </x:c>
      <x:c r="AH577" s="193" t="b">
        <x:v>1</x:v>
      </x:c>
      <x:c r="AI577" s="193" t="b">
        <x:v>1</x:v>
      </x:c>
      <x:c r="AJ577" s="193" t="b">
        <x:v>1</x:v>
      </x:c>
    </x:row>
    <x:row r="578">
      <x:c r="A578" s="192" t="n">
        <x:v>12359560</x:v>
      </x:c>
      <x:c r="B578" s="192" t="str">
        <x:v>https://www.airbnb.com.br/rooms/12359560</x:v>
      </x:c>
      <x:c r="C578" s="192" t="str">
        <x:v>New 3b apartment in front of the sea</x:v>
      </x:c>
      <x:c r="D578" s="192" t="str">
        <x:v>Meia Praia</x:v>
      </x:c>
      <x:c r="E578" s="192" t="n">
        <x:v>-27.13953</x:v>
      </x:c>
      <x:c r="F578" s="192" t="n">
        <x:v>-48.59034</x:v>
      </x:c>
      <x:c r="G578" s="192" t="str">
        <x:v>apartamento</x:v>
      </x:c>
      <x:c r="H578" s="192" t="n">
        <x:v>3</x:v>
      </x:c>
      <x:c r="I578" s="192" t="n">
        <x:v>3</x:v>
      </x:c>
      <x:c r="J578" s="192" t="n">
        <x:v>4</x:v>
      </x:c>
      <x:c r="K578" s="192" t="n">
        <x:v>6</x:v>
      </x:c>
      <x:c r="L578" s="192" t="n">
        <x:v>29</x:v>
      </x:c>
      <x:c r="M578" s="192" t="n">
        <x:v>4.7899999619</x:v>
      </x:c>
      <x:c r="N578" s="192" t="n">
        <x:v>295</x:v>
      </x:c>
      <x:c r="O578" s="192" t="n">
        <x:v>30</x:v>
      </x:c>
      <x:c r="P578" s="193" t="b">
        <x:v>0</x:v>
      </x:c>
      <x:c r="Q578" s="193" t="b">
        <x:v>0</x:v>
      </x:c>
      <x:c r="R578" s="193" t="b">
        <x:v>0</x:v>
      </x:c>
      <x:c r="S578" s="193" t="b">
        <x:v>0</x:v>
      </x:c>
      <x:c r="T578" s="192" t="n">
        <x:v>25</x:v>
      </x:c>
      <x:c r="U578" s="192" t="n">
        <x:v>65</x:v>
      </x:c>
      <x:c r="V578" s="200" t="n">
        <x:v>0.7222222222</x:v>
      </x:c>
      <x:c r="W578" s="203" t="n">
        <x:v>815.3333</x:v>
      </x:c>
      <x:c r="X578" s="203" t="n">
        <x:v>54169.5176777161</x:v>
      </x:c>
      <x:c r="Y578" s="203" t="n">
        <x:v>140050.7738292618</x:v>
      </x:c>
      <x:c r="Z578" s="193" t="b">
        <x:v>0</x:v>
      </x:c>
      <x:c r="AA578" s="193" t="b">
        <x:v>0</x:v>
      </x:c>
      <x:c r="AB578" s="193" t="b">
        <x:v>1</x:v>
      </x:c>
      <x:c r="AC578" s="193" t="b">
        <x:v>1</x:v>
      </x:c>
      <x:c r="AD578" s="193" t="b">
        <x:v>1</x:v>
      </x:c>
      <x:c r="AE578" s="193" t="b">
        <x:v>1</x:v>
      </x:c>
      <x:c r="AF578" s="193" t="b">
        <x:v>0</x:v>
      </x:c>
      <x:c r="AG578" s="193" t="b">
        <x:v>1</x:v>
      </x:c>
      <x:c r="AH578" s="193" t="b">
        <x:v>1</x:v>
      </x:c>
      <x:c r="AI578" s="193" t="b">
        <x:v>1</x:v>
      </x:c>
      <x:c r="AJ578" s="193" t="b">
        <x:v>0</x:v>
      </x:c>
    </x:row>
    <x:row r="579">
      <x:c r="A579" s="192" t="n">
        <x:v>53986731</x:v>
      </x:c>
      <x:c r="B579" s="192" t="str">
        <x:v>https://www.airbnb.com.br/rooms/53986731</x:v>
      </x:c>
      <x:c r="C579" s="192" t="str">
        <x:v>Apto Itapema Frente Mar “PÉ NA AREIA” 3 quartos</x:v>
      </x:c>
      <x:c r="D579" s="192" t="str">
        <x:v>Centro</x:v>
      </x:c>
      <x:c r="E579" s="192" t="n">
        <x:v>-27.09297</x:v>
      </x:c>
      <x:c r="F579" s="192" t="n">
        <x:v>-48.61155</x:v>
      </x:c>
      <x:c r="G579" s="192" t="str">
        <x:v>apartamento</x:v>
      </x:c>
      <x:c r="H579" s="192" t="n">
        <x:v>3</x:v>
      </x:c>
      <x:c r="I579" s="192" t="n">
        <x:v>2</x:v>
      </x:c>
      <x:c r="J579" s="192" t="n">
        <x:v>3</x:v>
      </x:c>
      <x:c r="K579" s="192" t="n">
        <x:v>6</x:v>
      </x:c>
      <x:c r="L579" s="192" t="n">
        <x:v>31</x:v>
      </x:c>
      <x:c r="M579" s="192" t="n">
        <x:v>4.9400000572</x:v>
      </x:c>
      <x:c r="N579" s="192" t="n">
        <x:v>250</x:v>
      </x:c>
      <x:c r="O579" s="192" t="n">
        <x:v>15</x:v>
      </x:c>
      <x:c r="P579" s="193" t="b">
        <x:v>1</x:v>
      </x:c>
      <x:c r="Q579" s="193" t="b">
        <x:v>0</x:v>
      </x:c>
      <x:c r="R579" s="193" t="b">
        <x:v>1</x:v>
      </x:c>
      <x:c r="S579" s="193" t="b">
        <x:v>1</x:v>
      </x:c>
      <x:c r="T579" s="192" t="n">
        <x:v>15</x:v>
      </x:c>
      <x:c r="U579" s="192" t="n">
        <x:v>75</x:v>
      </x:c>
      <x:c r="V579" s="200" t="n">
        <x:v>0.8333333333</x:v>
      </x:c>
      <x:c r="W579" s="203" t="n">
        <x:v>300</x:v>
      </x:c>
      <x:c r="X579" s="203" t="n">
        <x:v>22674.2062059965</x:v>
      </x:c>
      <x:c r="Y579" s="203" t="n">
        <x:v>58622.2706284201</x:v>
      </x:c>
      <x:c r="Z579" s="193" t="b">
        <x:v>0</x:v>
      </x:c>
      <x:c r="AA579" s="193" t="b">
        <x:v>0</x:v>
      </x:c>
      <x:c r="AB579" s="193" t="b">
        <x:v>1</x:v>
      </x:c>
      <x:c r="AC579" s="193" t="b">
        <x:v>1</x:v>
      </x:c>
      <x:c r="AD579" s="193" t="b">
        <x:v>1</x:v>
      </x:c>
      <x:c r="AE579" s="193" t="b">
        <x:v>1</x:v>
      </x:c>
      <x:c r="AF579" s="193" t="b">
        <x:v>1</x:v>
      </x:c>
      <x:c r="AG579" s="193" t="b">
        <x:v>1</x:v>
      </x:c>
      <x:c r="AH579" s="193" t="b">
        <x:v>1</x:v>
      </x:c>
      <x:c r="AI579" s="193" t="b">
        <x:v>1</x:v>
      </x:c>
      <x:c r="AJ579" s="193" t="b">
        <x:v>1</x:v>
      </x:c>
    </x:row>
    <x:row r="580">
      <x:c r="A580" s="192" t="n">
        <x:v>1265370363028714200</x:v>
      </x:c>
      <x:c r="B580" s="192" t="str">
        <x:v>https://www.airbnb.com.br/rooms/1265370363028714118</x:v>
      </x:c>
      <x:c r="C580" s="192" t="str">
        <x:v>Studio Vista Mar Apenas 280m da Praia! - MHFA2007</x:v>
      </x:c>
      <x:c r="D580" s="192" t="str">
        <x:v>Centro</x:v>
      </x:c>
      <x:c r="E580" s="192" t="n">
        <x:v>-27.0927395</x:v>
      </x:c>
      <x:c r="F580" s="192" t="n">
        <x:v>-48.6133933</x:v>
      </x:c>
      <x:c r="G580" s="192" t="str">
        <x:v>apartamento</x:v>
      </x:c>
      <x:c r="H580" s="192" t="n">
        <x:v>1</x:v>
      </x:c>
      <x:c r="I580" s="192" t="n">
        <x:v>1</x:v>
      </x:c>
      <x:c r="J580" s="192" t="n">
        <x:v>1</x:v>
      </x:c>
      <x:c r="K580" s="192" t="n">
        <x:v>2</x:v>
      </x:c>
      <x:c r="L580" s="192" t="n">
        <x:v>1</x:v>
      </x:c>
      <x:c r="M580" s="192" t="n">
        <x:v>5</x:v>
      </x:c>
      <x:c r="N580" s="192" t="n">
        <x:v>190</x:v>
      </x:c>
      <x:c r="O580" s="192" t="n">
        <x:v>0</x:v>
      </x:c>
      <x:c r="P580" s="193" t="b">
        <x:v>1</x:v>
      </x:c>
      <x:c r="Q580" s="193" t="b">
        <x:v>1</x:v>
      </x:c>
      <x:c r="R580" s="193" t="b">
        <x:v>0</x:v>
      </x:c>
      <x:c r="S580" s="193" t="b">
        <x:v>0</x:v>
      </x:c>
      <x:c r="T580" s="192" t="n">
        <x:v>60</x:v>
      </x:c>
      <x:c r="U580" s="192" t="n">
        <x:v>30</x:v>
      </x:c>
      <x:c r="V580" s="200" t="n">
        <x:v>0.3333333333</x:v>
      </x:c>
      <x:c r="W580" s="203" t="n">
        <x:v>385</x:v>
      </x:c>
      <x:c r="X580" s="203" t="n">
        <x:v>11934.9817060173</x:v>
      </x:c>
      <x:c r="Y580" s="203" t="n">
        <x:v>30856.9006190989</x:v>
      </x:c>
      <x:c r="Z580" s="193" t="b">
        <x:v>1</x:v>
      </x:c>
      <x:c r="AA580" s="193" t="b">
        <x:v>1</x:v>
      </x:c>
      <x:c r="AB580" s="193" t="b">
        <x:v>1</x:v>
      </x:c>
      <x:c r="AC580" s="193" t="b">
        <x:v>1</x:v>
      </x:c>
      <x:c r="AD580" s="193" t="b">
        <x:v>1</x:v>
      </x:c>
      <x:c r="AE580" s="193" t="b">
        <x:v>0</x:v>
      </x:c>
      <x:c r="AF580" s="193" t="b">
        <x:v>1</x:v>
      </x:c>
      <x:c r="AG580" s="193" t="b">
        <x:v>1</x:v>
      </x:c>
      <x:c r="AH580" s="193" t="b">
        <x:v>1</x:v>
      </x:c>
      <x:c r="AI580" s="193" t="b">
        <x:v>1</x:v>
      </x:c>
      <x:c r="AJ580" s="193" t="b">
        <x:v>0</x:v>
      </x:c>
    </x:row>
    <x:row r="581">
      <x:c r="A581" s="192" t="n">
        <x:v>1043497443334656000</x:v>
      </x:c>
      <x:c r="B581" s="192" t="str">
        <x:v>https://www.airbnb.com.br/rooms/1043497443334655968</x:v>
      </x:c>
      <x:c r="C581" s="192" t="str">
        <x:v>Frente mar no Centro de Itapema</x:v>
      </x:c>
      <x:c r="D581" s="192" t="str">
        <x:v>Centro</x:v>
      </x:c>
      <x:c r="E581" s="192" t="n">
        <x:v>-27.1049995422</x:v>
      </x:c>
      <x:c r="F581" s="192" t="n">
        <x:v>-48.6129989624</x:v>
      </x:c>
      <x:c r="G581" s="192" t="str">
        <x:v>apartamento</x:v>
      </x:c>
      <x:c r="H581" s="192" t="n">
        <x:v>2</x:v>
      </x:c>
      <x:c r="I581" s="192" t="n">
        <x:v>2</x:v>
      </x:c>
      <x:c r="J581" s="192" t="n">
        <x:v>2</x:v>
      </x:c>
      <x:c r="K581" s="192" t="n">
        <x:v>5</x:v>
      </x:c>
      <x:c r="L581" s="192" t="n">
        <x:v>7</x:v>
      </x:c>
      <x:c r="M581" s="192" t="n">
        <x:v>4.8600001335</x:v>
      </x:c>
      <x:c r="N581" s="192" t="n">
        <x:v>290</x:v>
      </x:c>
      <x:c r="O581" s="192" t="n">
        <x:v>17</x:v>
      </x:c>
      <x:c r="P581" s="193" t="b">
        <x:v>0</x:v>
      </x:c>
      <x:c r="Q581" s="193" t="b">
        <x:v>0</x:v>
      </x:c>
      <x:c r="R581" s="193" t="b">
        <x:v>1</x:v>
      </x:c>
      <x:c r="S581" s="193" t="b">
        <x:v>0</x:v>
      </x:c>
      <x:c r="T581" s="192" t="n">
        <x:v>42</x:v>
      </x:c>
      <x:c r="U581" s="192" t="n">
        <x:v>48</x:v>
      </x:c>
      <x:c r="V581" s="200" t="n">
        <x:v>0.5333333333</x:v>
      </x:c>
      <x:c r="W581" s="203" t="n">
        <x:v>870</x:v>
      </x:c>
      <x:c r="X581" s="203" t="n">
        <x:v>43595.1737037902</x:v>
      </x:c>
      <x:c r="Y581" s="203" t="n">
        <x:v>112711.6886800075</x:v>
      </x:c>
      <x:c r="Z581" s="193" t="b">
        <x:v>0</x:v>
      </x:c>
      <x:c r="AA581" s="193" t="b">
        <x:v>0</x:v>
      </x:c>
      <x:c r="AB581" s="193" t="b">
        <x:v>1</x:v>
      </x:c>
      <x:c r="AC581" s="193" t="b">
        <x:v>1</x:v>
      </x:c>
      <x:c r="AD581" s="193" t="b">
        <x:v>1</x:v>
      </x:c>
      <x:c r="AE581" s="193" t="b">
        <x:v>1</x:v>
      </x:c>
      <x:c r="AF581" s="193" t="b">
        <x:v>1</x:v>
      </x:c>
      <x:c r="AG581" s="193" t="b">
        <x:v>1</x:v>
      </x:c>
      <x:c r="AH581" s="193" t="b">
        <x:v>1</x:v>
      </x:c>
      <x:c r="AI581" s="193" t="b">
        <x:v>1</x:v>
      </x:c>
      <x:c r="AJ581" s="193" t="b">
        <x:v>1</x:v>
      </x:c>
    </x:row>
    <x:row r="582">
      <x:c r="A582" s="192" t="n">
        <x:v>16662563</x:v>
      </x:c>
      <x:c r="B582" s="192" t="str">
        <x:v>https://www.airbnb.com.br/rooms/16662563</x:v>
      </x:c>
      <x:c r="C582" s="192" t="str">
        <x:v>(279) Monte Carlo: frente para o mar em Meia Praia</x:v>
      </x:c>
      <x:c r="D582" s="192" t="str">
        <x:v>Meia Praia</x:v>
      </x:c>
      <x:c r="E582" s="192" t="n">
        <x:v>-27.134</x:v>
      </x:c>
      <x:c r="F582" s="192" t="n">
        <x:v>-48.596</x:v>
      </x:c>
      <x:c r="G582" s="192" t="str">
        <x:v>apartamento</x:v>
      </x:c>
      <x:c r="H582" s="192" t="n">
        <x:v>4</x:v>
      </x:c>
      <x:c r="I582" s="192" t="n">
        <x:v>3</x:v>
      </x:c>
      <x:c r="J582" s="192" t="n">
        <x:v>7</x:v>
      </x:c>
      <x:c r="K582" s="192" t="n">
        <x:v>11</x:v>
      </x:c>
      <x:c r="L582" s="192" t="n">
        <x:v>56</x:v>
      </x:c>
      <x:c r="M582" s="192" t="n">
        <x:v>4.8800001144</x:v>
      </x:c>
      <x:c r="N582" s="192" t="n">
        <x:v>350</x:v>
      </x:c>
      <x:c r="O582" s="192" t="n">
        <x:v>61</x:v>
      </x:c>
      <x:c r="P582" s="193" t="b">
        <x:v>0</x:v>
      </x:c>
      <x:c r="Q582" s="193" t="b">
        <x:v>1</x:v>
      </x:c>
      <x:c r="R582" s="193" t="b">
        <x:v>0</x:v>
      </x:c>
      <x:c r="S582" s="193" t="b">
        <x:v>1</x:v>
      </x:c>
      <x:c r="T582" s="192" t="n">
        <x:v>62</x:v>
      </x:c>
      <x:c r="U582" s="192" t="n">
        <x:v>28</x:v>
      </x:c>
      <x:c r="V582" s="200" t="n">
        <x:v>0.3111111111</x:v>
      </x:c>
      <x:c r="W582" s="203" t="n">
        <x:v>1728</x:v>
      </x:c>
      <x:c r="X582" s="203" t="n">
        <x:v>46485.448900812</x:v>
      </x:c>
      <x:c r="Y582" s="203" t="n">
        <x:v>120184.2543456411</x:v>
      </x:c>
      <x:c r="Z582" s="193" t="b">
        <x:v>1</x:v>
      </x:c>
      <x:c r="AA582" s="193" t="b">
        <x:v>0</x:v>
      </x:c>
      <x:c r="AB582" s="193" t="b">
        <x:v>1</x:v>
      </x:c>
      <x:c r="AC582" s="193" t="b">
        <x:v>1</x:v>
      </x:c>
      <x:c r="AD582" s="193" t="b">
        <x:v>1</x:v>
      </x:c>
      <x:c r="AE582" s="193" t="b">
        <x:v>1</x:v>
      </x:c>
      <x:c r="AF582" s="193" t="b">
        <x:v>1</x:v>
      </x:c>
      <x:c r="AG582" s="193" t="b">
        <x:v>1</x:v>
      </x:c>
      <x:c r="AH582" s="193" t="b">
        <x:v>1</x:v>
      </x:c>
      <x:c r="AI582" s="193" t="b">
        <x:v>1</x:v>
      </x:c>
      <x:c r="AJ582" s="193" t="b">
        <x:v>1</x:v>
      </x:c>
    </x:row>
    <x:row r="583">
      <x:c r="A583" s="192" t="n">
        <x:v>45726200</x:v>
      </x:c>
      <x:c r="B583" s="192" t="str">
        <x:v>https://www.airbnb.com.br/rooms/45726200</x:v>
      </x:c>
      <x:c r="C583" s="192" t="str">
        <x:v>Vista Mar, Moderno e Reformado!  Até 11 hóspedes!</x:v>
      </x:c>
      <x:c r="D583" s="192" t="str">
        <x:v>Meia Praia</x:v>
      </x:c>
      <x:c r="E583" s="192" t="n">
        <x:v>-27.1367797852</x:v>
      </x:c>
      <x:c r="F583" s="192" t="n">
        <x:v>-48.5921707153</x:v>
      </x:c>
      <x:c r="G583" s="192" t="str">
        <x:v>apartamento</x:v>
      </x:c>
      <x:c r="H583" s="192" t="n">
        <x:v>3</x:v>
      </x:c>
      <x:c r="I583" s="192" t="n">
        <x:v>3</x:v>
      </x:c>
      <x:c r="J583" s="192" t="n">
        <x:v>5</x:v>
      </x:c>
      <x:c r="K583" s="192" t="n">
        <x:v>11</x:v>
      </x:c>
      <x:c r="L583" s="192" t="n">
        <x:v>15</x:v>
      </x:c>
      <x:c r="M583" s="192" t="n">
        <x:v>5</x:v>
      </x:c>
      <x:c r="N583" s="192" t="n">
        <x:v>350</x:v>
      </x:c>
      <x:c r="O583" s="192" t="n">
        <x:v>32</x:v>
      </x:c>
      <x:c r="P583" s="193" t="b">
        <x:v>0</x:v>
      </x:c>
      <x:c r="Q583" s="193" t="b">
        <x:v>1</x:v>
      </x:c>
      <x:c r="R583" s="193" t="b">
        <x:v>1</x:v>
      </x:c>
      <x:c r="S583" s="193" t="b">
        <x:v>0</x:v>
      </x:c>
      <x:c r="T583" s="192" t="n">
        <x:v>43</x:v>
      </x:c>
      <x:c r="U583" s="192" t="n">
        <x:v>47</x:v>
      </x:c>
      <x:c r="V583" s="200" t="n">
        <x:v>0.5222222222</x:v>
      </x:c>
      <x:c r="W583" s="203" t="n">
        <x:v>1590</x:v>
      </x:c>
      <x:c r="X583" s="203" t="n">
        <x:v>72950.9793390753</x:v>
      </x:c>
      <x:c r="Y583" s="203" t="n">
        <x:v>188608.677832901</x:v>
      </x:c>
      <x:c r="Z583" s="193" t="b">
        <x:v>1</x:v>
      </x:c>
      <x:c r="AA583" s="193" t="b">
        <x:v>0</x:v>
      </x:c>
      <x:c r="AB583" s="193" t="b">
        <x:v>1</x:v>
      </x:c>
      <x:c r="AC583" s="193" t="b">
        <x:v>1</x:v>
      </x:c>
      <x:c r="AD583" s="193" t="b">
        <x:v>0</x:v>
      </x:c>
      <x:c r="AE583" s="193" t="b">
        <x:v>1</x:v>
      </x:c>
      <x:c r="AF583" s="193" t="b">
        <x:v>1</x:v>
      </x:c>
      <x:c r="AG583" s="193" t="b">
        <x:v>1</x:v>
      </x:c>
      <x:c r="AH583" s="193" t="b">
        <x:v>1</x:v>
      </x:c>
      <x:c r="AI583" s="193" t="b">
        <x:v>1</x:v>
      </x:c>
      <x:c r="AJ583" s="193" t="b">
        <x:v>1</x:v>
      </x:c>
    </x:row>
    <x:row r="584">
      <x:c r="A584" s="192" t="n">
        <x:v>48254075</x:v>
      </x:c>
      <x:c r="B584" s="192" t="str">
        <x:v>https://www.airbnb.com.br/rooms/48254075</x:v>
      </x:c>
      <x:c r="C584" s="192" t="str">
        <x:v>Quadra mar perfeito</x:v>
      </x:c>
      <x:c r="D584" s="192" t="str">
        <x:v>Meia Praia</x:v>
      </x:c>
      <x:c r="E584" s="192" t="n">
        <x:v>-27.13701</x:v>
      </x:c>
      <x:c r="F584" s="192" t="n">
        <x:v>-48.59592</x:v>
      </x:c>
      <x:c r="G584" s="192" t="str">
        <x:v>apartamento</x:v>
      </x:c>
      <x:c r="H584" s="192" t="n">
        <x:v>2</x:v>
      </x:c>
      <x:c r="I584" s="192" t="n">
        <x:v>2</x:v>
      </x:c>
      <x:c r="J584" s="192" t="n">
        <x:v>2</x:v>
      </x:c>
      <x:c r="K584" s="192" t="n">
        <x:v>5</x:v>
      </x:c>
      <x:c r="L584" s="192" t="n">
        <x:v>33</x:v>
      </x:c>
      <x:c r="M584" s="192" t="n">
        <x:v>4.8499999046</x:v>
      </x:c>
      <x:c r="N584" s="192" t="n">
        <x:v>300</x:v>
      </x:c>
      <x:c r="O584" s="192" t="n">
        <x:v>31</x:v>
      </x:c>
      <x:c r="P584" s="193" t="b">
        <x:v>0</x:v>
      </x:c>
      <x:c r="Q584" s="193" t="b">
        <x:v>0</x:v>
      </x:c>
      <x:c r="R584" s="193" t="b">
        <x:v>0</x:v>
      </x:c>
      <x:c r="S584" s="193" t="b">
        <x:v>1</x:v>
      </x:c>
      <x:c r="T584" s="192" t="n">
        <x:v>11</x:v>
      </x:c>
      <x:c r="U584" s="192" t="n">
        <x:v>79</x:v>
      </x:c>
      <x:c r="V584" s="200" t="n">
        <x:v>0.8777777778</x:v>
      </x:c>
      <x:c r="W584" s="203" t="n">
        <x:v>509</x:v>
      </x:c>
      <x:c r="X584" s="203" t="n">
        <x:v>39949.145559183</x:v>
      </x:c>
      <x:c r="Y584" s="203" t="n">
        <x:v>103285.1867478044</x:v>
      </x:c>
      <x:c r="Z584" s="193" t="b">
        <x:v>0</x:v>
      </x:c>
      <x:c r="AA584" s="193" t="b">
        <x:v>0</x:v>
      </x:c>
      <x:c r="AB584" s="193" t="b">
        <x:v>1</x:v>
      </x:c>
      <x:c r="AC584" s="193" t="b">
        <x:v>1</x:v>
      </x:c>
      <x:c r="AD584" s="193" t="b">
        <x:v>0</x:v>
      </x:c>
      <x:c r="AE584" s="193" t="b">
        <x:v>1</x:v>
      </x:c>
      <x:c r="AF584" s="193" t="b">
        <x:v>1</x:v>
      </x:c>
      <x:c r="AG584" s="193" t="b">
        <x:v>1</x:v>
      </x:c>
      <x:c r="AH584" s="193" t="b">
        <x:v>1</x:v>
      </x:c>
      <x:c r="AI584" s="193" t="b">
        <x:v>1</x:v>
      </x:c>
      <x:c r="AJ584" s="193" t="b">
        <x:v>0</x:v>
      </x:c>
    </x:row>
    <x:row r="585">
      <x:c r="A585" s="192" t="n">
        <x:v>45803876</x:v>
      </x:c>
      <x:c r="B585" s="192" t="str">
        <x:v>https://www.airbnb.com.br/rooms/45803876</x:v>
      </x:c>
      <x:c r="C585" s="192" t="str">
        <x:v>Lindo Apto, Meia Praia, Itapema, 3 suítes com ar</x:v>
      </x:c>
      <x:c r="D585" s="192" t="str">
        <x:v>Meia Praia</x:v>
      </x:c>
      <x:c r="E585" s="192" t="n">
        <x:v>-27.12397</x:v>
      </x:c>
      <x:c r="F585" s="192" t="n">
        <x:v>-48.60881</x:v>
      </x:c>
      <x:c r="G585" s="192" t="str">
        <x:v>apartamento</x:v>
      </x:c>
      <x:c r="H585" s="192" t="n">
        <x:v>3</x:v>
      </x:c>
      <x:c r="I585" s="192" t="n">
        <x:v>3</x:v>
      </x:c>
      <x:c r="J585" s="192" t="n">
        <x:v>3</x:v>
      </x:c>
      <x:c r="K585" s="192" t="n">
        <x:v>7</x:v>
      </x:c>
      <x:c r="L585" s="192" t="n">
        <x:v>40</x:v>
      </x:c>
      <x:c r="M585" s="192" t="n">
        <x:v>5</x:v>
      </x:c>
      <x:c r="N585" s="192" t="n">
        <x:v>260</x:v>
      </x:c>
      <x:c r="O585" s="192" t="n">
        <x:v>35</x:v>
      </x:c>
      <x:c r="P585" s="193" t="b">
        <x:v>0</x:v>
      </x:c>
      <x:c r="Q585" s="193" t="b">
        <x:v>0</x:v>
      </x:c>
      <x:c r="R585" s="193" t="b">
        <x:v>1</x:v>
      </x:c>
      <x:c r="S585" s="193" t="b">
        <x:v>1</x:v>
      </x:c>
      <x:c r="T585" s="192" t="n">
        <x:v>54</x:v>
      </x:c>
      <x:c r="U585" s="192" t="n">
        <x:v>36</x:v>
      </x:c>
      <x:c r="V585" s="200" t="n">
        <x:v>0.4</x:v>
      </x:c>
      <x:c r="W585" s="203" t="n">
        <x:v>450</x:v>
      </x:c>
      <x:c r="X585" s="203" t="n">
        <x:v>16136.5987353226</x:v>
      </x:c>
      <x:c r="Y585" s="203" t="n">
        <x:v>41719.8313136153</x:v>
      </x:c>
      <x:c r="Z585" s="193" t="b">
        <x:v>1</x:v>
      </x:c>
      <x:c r="AA585" s="193" t="b">
        <x:v>0</x:v>
      </x:c>
      <x:c r="AB585" s="193" t="b">
        <x:v>1</x:v>
      </x:c>
      <x:c r="AC585" s="193" t="b">
        <x:v>1</x:v>
      </x:c>
      <x:c r="AD585" s="193" t="b">
        <x:v>1</x:v>
      </x:c>
      <x:c r="AE585" s="193" t="b">
        <x:v>1</x:v>
      </x:c>
      <x:c r="AF585" s="193" t="b">
        <x:v>1</x:v>
      </x:c>
      <x:c r="AG585" s="193" t="b">
        <x:v>1</x:v>
      </x:c>
      <x:c r="AH585" s="193" t="b">
        <x:v>1</x:v>
      </x:c>
      <x:c r="AI585" s="193" t="b">
        <x:v>1</x:v>
      </x:c>
      <x:c r="AJ585" s="193" t="b">
        <x:v>0</x:v>
      </x:c>
    </x:row>
    <x:row r="586">
      <x:c r="A586" s="192" t="n">
        <x:v>14884678</x:v>
      </x:c>
      <x:c r="B586" s="192" t="str">
        <x:v>https://www.airbnb.com.br/rooms/14884678</x:v>
      </x:c>
      <x:c r="C586" s="192" t="str">
        <x:v>01 Suíte + 02 Dormitórios, Edif. Frente Mar [403]</x:v>
      </x:c>
      <x:c r="D586" s="192" t="str">
        <x:v>Meia Praia</x:v>
      </x:c>
      <x:c r="E586" s="192" t="n">
        <x:v>-27.13012</x:v>
      </x:c>
      <x:c r="F586" s="192" t="n">
        <x:v>-48.59922</x:v>
      </x:c>
      <x:c r="G586" s="192" t="str">
        <x:v>apartamento</x:v>
      </x:c>
      <x:c r="H586" s="192" t="n">
        <x:v>3</x:v>
      </x:c>
      <x:c r="I586" s="192" t="n">
        <x:v>2</x:v>
      </x:c>
      <x:c r="J586" s="192" t="n">
        <x:v>3</x:v>
      </x:c>
      <x:c r="K586" s="192" t="n">
        <x:v>6</x:v>
      </x:c>
      <x:c r="L586" s="192" t="n">
        <x:v>20</x:v>
      </x:c>
      <x:c r="M586" s="192" t="n">
        <x:v>4.6999998093</x:v>
      </x:c>
      <x:c r="N586" s="192" t="n">
        <x:v>250</x:v>
      </x:c>
      <x:c r="O586" s="192" t="n">
        <x:v>28</x:v>
      </x:c>
      <x:c r="P586" s="193" t="b">
        <x:v>0</x:v>
      </x:c>
      <x:c r="Q586" s="193" t="b">
        <x:v>0</x:v>
      </x:c>
      <x:c r="R586" s="193" t="b">
        <x:v>0</x:v>
      </x:c>
      <x:c r="S586" s="193" t="b">
        <x:v>0</x:v>
      </x:c>
      <x:c r="T586" s="192" t="n">
        <x:v>42</x:v>
      </x:c>
      <x:c r="U586" s="192" t="n">
        <x:v>48</x:v>
      </x:c>
      <x:c r="V586" s="200" t="n">
        <x:v>0.5333333333</x:v>
      </x:c>
      <x:c r="W586" s="203" t="n">
        <x:v>595</x:v>
      </x:c>
      <x:c r="X586" s="203" t="n">
        <x:v>29872.1536435364</x:v>
      </x:c>
      <x:c r="Y586" s="203" t="n">
        <x:v>77231.9638992264</x:v>
      </x:c>
      <x:c r="Z586" s="193" t="b">
        <x:v>0</x:v>
      </x:c>
      <x:c r="AA586" s="193" t="b">
        <x:v>0</x:v>
      </x:c>
      <x:c r="AB586" s="193" t="b">
        <x:v>1</x:v>
      </x:c>
      <x:c r="AC586" s="193" t="b">
        <x:v>1</x:v>
      </x:c>
      <x:c r="AD586" s="193" t="b">
        <x:v>1</x:v>
      </x:c>
      <x:c r="AE586" s="193" t="b">
        <x:v>1</x:v>
      </x:c>
      <x:c r="AF586" s="193" t="b">
        <x:v>1</x:v>
      </x:c>
      <x:c r="AG586" s="193" t="b">
        <x:v>1</x:v>
      </x:c>
      <x:c r="AH586" s="193" t="b">
        <x:v>1</x:v>
      </x:c>
      <x:c r="AI586" s="193" t="b">
        <x:v>1</x:v>
      </x:c>
      <x:c r="AJ586" s="193" t="b">
        <x:v>1</x:v>
      </x:c>
    </x:row>
    <x:row r="587">
      <x:c r="A587" s="192" t="n">
        <x:v>964579064376617700</x:v>
      </x:c>
      <x:c r="B587" s="192" t="str">
        <x:v>https://www.airbnb.com.br/rooms/964579064376617710</x:v>
      </x:c>
      <x:c r="C587" s="192" t="str">
        <x:v>Apto c/ churrasq. 500m da praia Itapema-SC ESM602</x:v>
      </x:c>
      <x:c r="D587" s="192" t="str">
        <x:v>Meia Praia</x:v>
      </x:c>
      <x:c r="E587" s="192" t="n">
        <x:v>-27.1289997101</x:v>
      </x:c>
      <x:c r="F587" s="192" t="n">
        <x:v>-48.6059989929</x:v>
      </x:c>
      <x:c r="G587" s="192" t="str">
        <x:v>apartamento</x:v>
      </x:c>
      <x:c r="H587" s="192" t="n">
        <x:v>3</x:v>
      </x:c>
      <x:c r="I587" s="192" t="n">
        <x:v>0</x:v>
      </x:c>
      <x:c r="J587" s="192" t="n">
        <x:v>3</x:v>
      </x:c>
      <x:c r="K587" s="192" t="n">
        <x:v>8</x:v>
      </x:c>
      <x:c r="L587" s="192" t="n">
        <x:v>4</x:v>
      </x:c>
      <x:c r="M587" s="192" t="n">
        <x:v>5</x:v>
      </x:c>
      <x:c r="N587" s="192" t="n">
        <x:v>456</x:v>
      </x:c>
      <x:c r="O587" s="192" t="n">
        <x:v>35</x:v>
      </x:c>
      <x:c r="P587" s="193" t="b">
        <x:v>1</x:v>
      </x:c>
      <x:c r="Q587" s="193" t="b">
        <x:v>1</x:v>
      </x:c>
      <x:c r="R587" s="193" t="b">
        <x:v>0</x:v>
      </x:c>
      <x:c r="S587" s="193" t="b">
        <x:v>0</x:v>
      </x:c>
      <x:c r="T587" s="192" t="n">
        <x:v>64</x:v>
      </x:c>
      <x:c r="U587" s="192" t="n">
        <x:v>26</x:v>
      </x:c>
      <x:c r="V587" s="200" t="n">
        <x:v>0.2888888889</x:v>
      </x:c>
      <x:c r="W587" s="203" t="n">
        <x:v>662</x:v>
      </x:c>
      <x:c r="X587" s="203" t="n">
        <x:v>17111.9112436978</x:v>
      </x:c>
      <x:c r="Y587" s="203" t="n">
        <x:v>44241.4205279771</x:v>
      </x:c>
      <x:c r="Z587" s="193" t="b">
        <x:v>1</x:v>
      </x:c>
      <x:c r="AA587" s="193" t="b">
        <x:v>0</x:v>
      </x:c>
      <x:c r="AB587" s="193" t="b">
        <x:v>1</x:v>
      </x:c>
      <x:c r="AC587" s="193" t="b">
        <x:v>1</x:v>
      </x:c>
      <x:c r="AD587" s="193" t="b">
        <x:v>1</x:v>
      </x:c>
      <x:c r="AE587" s="193" t="b">
        <x:v>0</x:v>
      </x:c>
      <x:c r="AF587" s="193" t="b">
        <x:v>1</x:v>
      </x:c>
      <x:c r="AG587" s="193" t="b">
        <x:v>1</x:v>
      </x:c>
      <x:c r="AH587" s="193" t="b">
        <x:v>1</x:v>
      </x:c>
      <x:c r="AI587" s="193" t="b">
        <x:v>1</x:v>
      </x:c>
      <x:c r="AJ587" s="193" t="b">
        <x:v>1</x:v>
      </x:c>
    </x:row>
    <x:row r="588">
      <x:c r="A588" s="192" t="n">
        <x:v>41762297</x:v>
      </x:c>
      <x:c r="B588" s="192" t="str">
        <x:v>https://www.airbnb.com.br/rooms/41762297</x:v>
      </x:c>
      <x:c r="C588" s="192" t="str">
        <x:v>Casa espaçosa e confortável para grandes famílias</x:v>
      </x:c>
      <x:c r="D588" s="192" t="str">
        <x:v>Sertaozinho</x:v>
      </x:c>
      <x:c r="E588" s="192" t="n">
        <x:v>-27.08394</x:v>
      </x:c>
      <x:c r="F588" s="192" t="n">
        <x:v>-48.60881</x:v>
      </x:c>
      <x:c r="G588" s="192" t="str">
        <x:v>casa</x:v>
      </x:c>
      <x:c r="H588" s="192" t="n">
        <x:v>6</x:v>
      </x:c>
      <x:c r="I588" s="192" t="n">
        <x:v>3</x:v>
      </x:c>
      <x:c r="J588" s="192" t="n">
        <x:v>12</x:v>
      </x:c>
      <x:c r="K588" s="192" t="n">
        <x:v>16</x:v>
      </x:c>
      <x:c r="L588" s="192" t="n">
        <x:v>1</x:v>
      </x:c>
      <x:c r="M588" s="192" t="n">
        <x:v>5</x:v>
      </x:c>
      <x:c r="N588" s="192" t="n">
        <x:v>600</x:v>
      </x:c>
      <x:c r="O588" s="192" t="n">
        <x:v>37</x:v>
      </x:c>
      <x:c r="P588" s="193" t="b">
        <x:v>0</x:v>
      </x:c>
      <x:c r="Q588" s="193" t="b">
        <x:v>0</x:v>
      </x:c>
      <x:c r="R588" s="193" t="b">
        <x:v>0</x:v>
      </x:c>
      <x:c r="S588" s="193" t="b">
        <x:v>0</x:v>
      </x:c>
      <x:c r="T588" s="192" t="n">
        <x:v>77</x:v>
      </x:c>
      <x:c r="U588" s="192" t="n">
        <x:v>13</x:v>
      </x:c>
      <x:c r="V588" s="200" t="n">
        <x:v>0.1444444444</x:v>
      </x:c>
      <x:c r="W588" s="203" t="n">
        <x:v>1662.5</x:v>
      </x:c>
      <x:c r="X588" s="203" t="n">
        <x:v>22164.9906372614</x:v>
      </x:c>
      <x:c r="Y588" s="203" t="n">
        <x:v>57305.7362100862</x:v>
      </x:c>
      <x:c r="Z588" s="193" t="b">
        <x:v>1</x:v>
      </x:c>
      <x:c r="AA588" s="193" t="b">
        <x:v>0</x:v>
      </x:c>
      <x:c r="AB588" s="193" t="b">
        <x:v>1</x:v>
      </x:c>
      <x:c r="AC588" s="193" t="b">
        <x:v>1</x:v>
      </x:c>
      <x:c r="AD588" s="193" t="b">
        <x:v>0</x:v>
      </x:c>
      <x:c r="AE588" s="193" t="b">
        <x:v>0</x:v>
      </x:c>
      <x:c r="AF588" s="193" t="b">
        <x:v>1</x:v>
      </x:c>
      <x:c r="AG588" s="193" t="b">
        <x:v>1</x:v>
      </x:c>
      <x:c r="AH588" s="193" t="b">
        <x:v>1</x:v>
      </x:c>
      <x:c r="AI588" s="193" t="b">
        <x:v>1</x:v>
      </x:c>
      <x:c r="AJ588" s="193" t="b">
        <x:v>1</x:v>
      </x:c>
    </x:row>
    <x:row r="589">
      <x:c r="A589" s="192" t="n">
        <x:v>610155932497817900</x:v>
      </x:c>
      <x:c r="B589" s="192" t="str">
        <x:v>https://www.airbnb.com.br/rooms/610155932497817911</x:v>
      </x:c>
      <x:c r="C589" s="192" t="str">
        <x:v>(102) Romântico e funcional. Perto do mar.</x:v>
      </x:c>
      <x:c r="D589" s="192" t="str">
        <x:v>Canto da Praia</x:v>
      </x:c>
      <x:c r="E589" s="192" t="n">
        <x:v>-27.089041</x:v>
      </x:c>
      <x:c r="F589" s="192" t="n">
        <x:v>-48.609604</x:v>
      </x:c>
      <x:c r="G589" s="192" t="str">
        <x:v>apartamento</x:v>
      </x:c>
      <x:c r="H589" s="192" t="n">
        <x:v>2</x:v>
      </x:c>
      <x:c r="I589" s="192" t="n">
        <x:v>1</x:v>
      </x:c>
      <x:c r="J589" s="192" t="n">
        <x:v>3</x:v>
      </x:c>
      <x:c r="K589" s="192" t="n">
        <x:v>5</x:v>
      </x:c>
      <x:c r="L589" s="192" t="n">
        <x:v>85</x:v>
      </x:c>
      <x:c r="M589" s="192" t="n">
        <x:v>4.8800001144</x:v>
      </x:c>
      <x:c r="N589" s="192" t="n">
        <x:v>200</x:v>
      </x:c>
      <x:c r="O589" s="192" t="n">
        <x:v>30</x:v>
      </x:c>
      <x:c r="P589" s="193" t="b">
        <x:v>0</x:v>
      </x:c>
      <x:c r="Q589" s="193" t="b">
        <x:v>1</x:v>
      </x:c>
      <x:c r="R589" s="193" t="b">
        <x:v>1</x:v>
      </x:c>
      <x:c r="S589" s="193" t="b">
        <x:v>1</x:v>
      </x:c>
      <x:c r="T589" s="192" t="n">
        <x:v>65</x:v>
      </x:c>
      <x:c r="U589" s="192" t="n">
        <x:v>25</x:v>
      </x:c>
      <x:c r="V589" s="200" t="n">
        <x:v>0.2777777778</x:v>
      </x:c>
      <x:c r="W589" s="203" t="n">
        <x:v>518</x:v>
      </x:c>
      <x:c r="X589" s="203" t="n">
        <x:v>12408.5348868314</x:v>
      </x:c>
      <x:c r="Y589" s="203" t="n">
        <x:v>32081.2329053288</x:v>
      </x:c>
      <x:c r="Z589" s="193" t="b">
        <x:v>1</x:v>
      </x:c>
      <x:c r="AA589" s="193" t="b">
        <x:v>0</x:v>
      </x:c>
      <x:c r="AB589" s="193" t="b">
        <x:v>1</x:v>
      </x:c>
      <x:c r="AC589" s="193" t="b">
        <x:v>1</x:v>
      </x:c>
      <x:c r="AD589" s="193" t="b">
        <x:v>0</x:v>
      </x:c>
      <x:c r="AE589" s="193" t="b">
        <x:v>0</x:v>
      </x:c>
      <x:c r="AF589" s="193" t="b">
        <x:v>1</x:v>
      </x:c>
      <x:c r="AG589" s="193" t="b">
        <x:v>1</x:v>
      </x:c>
      <x:c r="AH589" s="193" t="b">
        <x:v>1</x:v>
      </x:c>
      <x:c r="AI589" s="193" t="b">
        <x:v>1</x:v>
      </x:c>
      <x:c r="AJ589" s="193" t="b">
        <x:v>1</x:v>
      </x:c>
    </x:row>
    <x:row r="590">
      <x:c r="A590" s="192" t="n">
        <x:v>1187061700423806700</x:v>
      </x:c>
      <x:c r="B590" s="192" t="str">
        <x:v>https://www.airbnb.com.br/rooms/1187061700423806804</x:v>
      </x:c>
      <x:c r="C590" s="192" t="str">
        <x:v>Apto aconchegante vista mar em Itapema - MHF0607</x:v>
      </x:c>
      <x:c r="D590" s="192" t="str">
        <x:v>Centro</x:v>
      </x:c>
      <x:c r="E590" s="192" t="n">
        <x:v>-27.0936908722</x:v>
      </x:c>
      <x:c r="F590" s="192" t="n">
        <x:v>-48.6131591797</x:v>
      </x:c>
      <x:c r="G590" s="192" t="str">
        <x:v>apartamento</x:v>
      </x:c>
      <x:c r="H590" s="192" t="n">
        <x:v>1</x:v>
      </x:c>
      <x:c r="I590" s="192" t="n">
        <x:v>1</x:v>
      </x:c>
      <x:c r="J590" s="192" t="n">
        <x:v>2</x:v>
      </x:c>
      <x:c r="K590" s="192" t="n">
        <x:v>4</x:v>
      </x:c>
      <x:c r="L590" s="192" t="n">
        <x:v>3</x:v>
      </x:c>
      <x:c r="M590" s="192" t="n">
        <x:v>5</x:v>
      </x:c>
      <x:c r="N590" s="192" t="n">
        <x:v>190</x:v>
      </x:c>
      <x:c r="O590" s="192" t="n">
        <x:v>0</x:v>
      </x:c>
      <x:c r="P590" s="193" t="b">
        <x:v>1</x:v>
      </x:c>
      <x:c r="Q590" s="193" t="b">
        <x:v>1</x:v>
      </x:c>
      <x:c r="R590" s="193" t="b">
        <x:v>0</x:v>
      </x:c>
      <x:c r="S590" s="193" t="b">
        <x:v>0</x:v>
      </x:c>
      <x:c r="T590" s="192" t="n">
        <x:v>73</x:v>
      </x:c>
      <x:c r="U590" s="192" t="n">
        <x:v>17</x:v>
      </x:c>
      <x:c r="V590" s="200" t="n">
        <x:v>0.1888888889</x:v>
      </x:c>
      <x:c r="W590" s="203" t="n">
        <x:v>509</x:v>
      </x:c>
      <x:c r="X590" s="203" t="n">
        <x:v>8567.9632237621</x:v>
      </x:c>
      <x:c r="Y590" s="203" t="n">
        <x:v>22151.7549181017</x:v>
      </x:c>
      <x:c r="Z590" s="193" t="b">
        <x:v>1</x:v>
      </x:c>
      <x:c r="AA590" s="193" t="b">
        <x:v>1</x:v>
      </x:c>
      <x:c r="AB590" s="193" t="b">
        <x:v>1</x:v>
      </x:c>
      <x:c r="AC590" s="193" t="b">
        <x:v>1</x:v>
      </x:c>
      <x:c r="AD590" s="193" t="b">
        <x:v>1</x:v>
      </x:c>
      <x:c r="AE590" s="193" t="b">
        <x:v>0</x:v>
      </x:c>
      <x:c r="AF590" s="193" t="b">
        <x:v>1</x:v>
      </x:c>
      <x:c r="AG590" s="193" t="b">
        <x:v>1</x:v>
      </x:c>
      <x:c r="AH590" s="193" t="b">
        <x:v>1</x:v>
      </x:c>
      <x:c r="AI590" s="193" t="b">
        <x:v>1</x:v>
      </x:c>
      <x:c r="AJ590" s="193" t="b">
        <x:v>0</x:v>
      </x:c>
    </x:row>
    <x:row r="591">
      <x:c r="A591" s="192" t="n">
        <x:v>1208735754877396500</x:v>
      </x:c>
      <x:c r="B591" s="192" t="str">
        <x:v>https://www.airbnb.com.br/rooms/1208735754877396448</x:v>
      </x:c>
      <x:c r="C591" s="192" t="str">
        <x:v>Belo studio 280m da praia, com vista mar MHFA0506</x:v>
      </x:c>
      <x:c r="D591" s="192" t="str">
        <x:v>Centro</x:v>
      </x:c>
      <x:c r="E591" s="192" t="n">
        <x:v>-27.09306</x:v>
      </x:c>
      <x:c r="F591" s="192" t="n">
        <x:v>-48.61326</x:v>
      </x:c>
      <x:c r="G591" s="192" t="str">
        <x:v>apartamento</x:v>
      </x:c>
      <x:c r="H591" s="192" t="n">
        <x:v>1</x:v>
      </x:c>
      <x:c r="I591" s="192" t="n">
        <x:v>1</x:v>
      </x:c>
      <x:c r="J591" s="192" t="n">
        <x:v>1</x:v>
      </x:c>
      <x:c r="K591" s="192" t="n">
        <x:v>2</x:v>
      </x:c>
      <x:c r="L591" s="192" t="n">
        <x:v>2</x:v>
      </x:c>
      <x:c r="M591" s="192" t="n">
        <x:v>5</x:v>
      </x:c>
      <x:c r="N591" s="192" t="n">
        <x:v>150</x:v>
      </x:c>
      <x:c r="O591" s="192" t="n">
        <x:v>0</x:v>
      </x:c>
      <x:c r="P591" s="193" t="b">
        <x:v>1</x:v>
      </x:c>
      <x:c r="Q591" s="193" t="b">
        <x:v>1</x:v>
      </x:c>
      <x:c r="R591" s="193" t="b">
        <x:v>0</x:v>
      </x:c>
      <x:c r="S591" s="193" t="b">
        <x:v>0</x:v>
      </x:c>
      <x:c r="T591" s="192" t="n">
        <x:v>68</x:v>
      </x:c>
      <x:c r="U591" s="192" t="n">
        <x:v>22</x:v>
      </x:c>
      <x:c r="V591" s="200" t="n">
        <x:v>0.2444444444</x:v>
      </x:c>
      <x:c r="W591" s="203" t="n">
        <x:v>427</x:v>
      </x:c>
      <x:c r="X591" s="203" t="n">
        <x:v>10004.2372295148</x:v>
      </x:c>
      <x:c r="Y591" s="203" t="n">
        <x:v>25865.1216704747</x:v>
      </x:c>
      <x:c r="Z591" s="193" t="b">
        <x:v>1</x:v>
      </x:c>
      <x:c r="AA591" s="193" t="b">
        <x:v>1</x:v>
      </x:c>
      <x:c r="AB591" s="193" t="b">
        <x:v>1</x:v>
      </x:c>
      <x:c r="AC591" s="193" t="b">
        <x:v>1</x:v>
      </x:c>
      <x:c r="AD591" s="193" t="b">
        <x:v>1</x:v>
      </x:c>
      <x:c r="AE591" s="193" t="b">
        <x:v>0</x:v>
      </x:c>
      <x:c r="AF591" s="193" t="b">
        <x:v>1</x:v>
      </x:c>
      <x:c r="AG591" s="193" t="b">
        <x:v>1</x:v>
      </x:c>
      <x:c r="AH591" s="193" t="b">
        <x:v>1</x:v>
      </x:c>
      <x:c r="AI591" s="193" t="b">
        <x:v>0</x:v>
      </x:c>
      <x:c r="AJ591" s="193" t="b">
        <x:v>0</x:v>
      </x:c>
    </x:row>
    <x:row r="592">
      <x:c r="A592" s="192" t="n">
        <x:v>45911990</x:v>
      </x:c>
      <x:c r="B592" s="192" t="str">
        <x:v>https://www.airbnb.com.br/rooms/45911990</x:v>
      </x:c>
      <x:c r="C592" s="192" t="str">
        <x:v>Apartamento de frente para o mar em Meia Praia</x:v>
      </x:c>
      <x:c r="D592" s="192" t="str">
        <x:v>Morretes</x:v>
      </x:c>
      <x:c r="E592" s="192" t="n">
        <x:v>-27.11645</x:v>
      </x:c>
      <x:c r="F592" s="192" t="n">
        <x:v>-48.60857</x:v>
      </x:c>
      <x:c r="G592" s="192" t="str">
        <x:v>apartamento</x:v>
      </x:c>
      <x:c r="H592" s="192" t="n">
        <x:v>3</x:v>
      </x:c>
      <x:c r="I592" s="192" t="n">
        <x:v>2</x:v>
      </x:c>
      <x:c r="J592" s="192" t="n">
        <x:v>3</x:v>
      </x:c>
      <x:c r="K592" s="192" t="n">
        <x:v>6</x:v>
      </x:c>
      <x:c r="L592" s="192" t="n">
        <x:v>38</x:v>
      </x:c>
      <x:c r="M592" s="192" t="n">
        <x:v>4.9499998093</x:v>
      </x:c>
      <x:c r="N592" s="192" t="n">
        <x:v>200</x:v>
      </x:c>
      <x:c r="O592" s="192" t="n">
        <x:v>8</x:v>
      </x:c>
      <x:c r="P592" s="193" t="b">
        <x:v>0</x:v>
      </x:c>
      <x:c r="Q592" s="193" t="b">
        <x:v>0</x:v>
      </x:c>
      <x:c r="R592" s="193" t="b">
        <x:v>1</x:v>
      </x:c>
      <x:c r="S592" s="193" t="b">
        <x:v>1</x:v>
      </x:c>
      <x:c r="T592" s="192" t="n">
        <x:v>3</x:v>
      </x:c>
      <x:c r="U592" s="192" t="n">
        <x:v>87</x:v>
      </x:c>
      <x:c r="V592" s="200" t="n">
        <x:v>0.9666666667</x:v>
      </x:c>
      <x:c r="W592" s="203" t="n">
        <x:v>1010.5</x:v>
      </x:c>
      <x:c r="X592" s="203" t="n">
        <x:v>87952.786583905</x:v>
      </x:c>
      <x:c r="Y592" s="203" t="n">
        <x:v>227394.6003138044</x:v>
      </x:c>
      <x:c r="Z592" s="193" t="b">
        <x:v>0</x:v>
      </x:c>
      <x:c r="AA592" s="193" t="b">
        <x:v>0</x:v>
      </x:c>
      <x:c r="AB592" s="193" t="b">
        <x:v>1</x:v>
      </x:c>
      <x:c r="AC592" s="193" t="b">
        <x:v>1</x:v>
      </x:c>
      <x:c r="AD592" s="193" t="b">
        <x:v>1</x:v>
      </x:c>
      <x:c r="AE592" s="193" t="b">
        <x:v>1</x:v>
      </x:c>
      <x:c r="AF592" s="193" t="b">
        <x:v>1</x:v>
      </x:c>
      <x:c r="AG592" s="193" t="b">
        <x:v>1</x:v>
      </x:c>
      <x:c r="AH592" s="193" t="b">
        <x:v>1</x:v>
      </x:c>
      <x:c r="AI592" s="193" t="b">
        <x:v>1</x:v>
      </x:c>
      <x:c r="AJ592" s="193" t="b">
        <x:v>1</x:v>
      </x:c>
    </x:row>
    <x:row r="593">
      <x:c r="A593" s="192" t="n">
        <x:v>45768161</x:v>
      </x:c>
      <x:c r="B593" s="192" t="str">
        <x:v>https://www.airbnb.com.br/rooms/45768161</x:v>
      </x:c>
      <x:c r="C593" s="192" t="str">
        <x:v>Ap R.255 Quadra mar - Meia Praia - ITAPEMA/SC</x:v>
      </x:c>
      <x:c r="D593" s="192" t="str">
        <x:v>Meia Praia</x:v>
      </x:c>
      <x:c r="E593" s="192" t="n">
        <x:v>-27.13302</x:v>
      </x:c>
      <x:c r="F593" s="192" t="n">
        <x:v>-48.59938</x:v>
      </x:c>
      <x:c r="G593" s="192" t="str">
        <x:v>apartamento</x:v>
      </x:c>
      <x:c r="H593" s="192" t="n">
        <x:v>3</x:v>
      </x:c>
      <x:c r="I593" s="192" t="n">
        <x:v>2</x:v>
      </x:c>
      <x:c r="J593" s="192" t="n">
        <x:v>3</x:v>
      </x:c>
      <x:c r="K593" s="192" t="n">
        <x:v>6</x:v>
      </x:c>
      <x:c r="L593" s="192" t="n">
        <x:v>22</x:v>
      </x:c>
      <x:c r="M593" s="192" t="n">
        <x:v>4.8200001717</x:v>
      </x:c>
      <x:c r="N593" s="192" t="n">
        <x:v>300</x:v>
      </x:c>
      <x:c r="O593" s="192" t="n">
        <x:v>9</x:v>
      </x:c>
      <x:c r="P593" s="193" t="b">
        <x:v>0</x:v>
      </x:c>
      <x:c r="Q593" s="193" t="b">
        <x:v>0</x:v>
      </x:c>
      <x:c r="R593" s="193" t="b">
        <x:v>0</x:v>
      </x:c>
      <x:c r="S593" s="193" t="b">
        <x:v>0</x:v>
      </x:c>
      <x:c r="T593" s="192" t="n">
        <x:v>71</x:v>
      </x:c>
      <x:c r="U593" s="192" t="n">
        <x:v>19</x:v>
      </x:c>
      <x:c r="V593" s="200" t="n">
        <x:v>0.2111111111</x:v>
      </x:c>
      <x:c r="W593" s="203" t="n">
        <x:v>450</x:v>
      </x:c>
      <x:c r="X593" s="203" t="n">
        <x:v>9241.4563001624</x:v>
      </x:c>
      <x:c r="Y593" s="203" t="n">
        <x:v>23893.0151427115</x:v>
      </x:c>
      <x:c r="Z593" s="193" t="b">
        <x:v>1</x:v>
      </x:c>
      <x:c r="AA593" s="193" t="b">
        <x:v>0</x:v>
      </x:c>
      <x:c r="AB593" s="193" t="b">
        <x:v>1</x:v>
      </x:c>
      <x:c r="AC593" s="193" t="b">
        <x:v>1</x:v>
      </x:c>
      <x:c r="AD593" s="193" t="b">
        <x:v>1</x:v>
      </x:c>
      <x:c r="AE593" s="193" t="b">
        <x:v>0</x:v>
      </x:c>
      <x:c r="AF593" s="193" t="b">
        <x:v>0</x:v>
      </x:c>
      <x:c r="AG593" s="193" t="b">
        <x:v>1</x:v>
      </x:c>
      <x:c r="AH593" s="193" t="b">
        <x:v>1</x:v>
      </x:c>
      <x:c r="AI593" s="193" t="b">
        <x:v>1</x:v>
      </x:c>
      <x:c r="AJ593" s="193" t="b">
        <x:v>1</x:v>
      </x:c>
    </x:row>
    <x:row r="594">
      <x:c r="A594" s="192" t="n">
        <x:v>39629644</x:v>
      </x:c>
      <x:c r="B594" s="192" t="str">
        <x:v>https://www.airbnb.com.br/rooms/39629644</x:v>
      </x:c>
      <x:c r="C594" s="192" t="str">
        <x:v>Apto Sob Medida (AR+WIFI+TVs+2v GARAGEM)Meia Praia</x:v>
      </x:c>
      <x:c r="D594" s="192" t="str">
        <x:v>Meia Praia</x:v>
      </x:c>
      <x:c r="E594" s="192" t="n">
        <x:v>-27.1368</x:v>
      </x:c>
      <x:c r="F594" s="192" t="n">
        <x:v>-48.6008</x:v>
      </x:c>
      <x:c r="G594" s="192" t="str">
        <x:v>apartamento</x:v>
      </x:c>
      <x:c r="H594" s="192" t="n">
        <x:v>3</x:v>
      </x:c>
      <x:c r="I594" s="192" t="n">
        <x:v>2</x:v>
      </x:c>
      <x:c r="J594" s="192" t="n">
        <x:v>3</x:v>
      </x:c>
      <x:c r="K594" s="192" t="n">
        <x:v>6</x:v>
      </x:c>
      <x:c r="L594" s="192" t="n">
        <x:v>84</x:v>
      </x:c>
      <x:c r="M594" s="192" t="n">
        <x:v>4.9499998093</x:v>
      </x:c>
      <x:c r="N594" s="192" t="n">
        <x:v>350</x:v>
      </x:c>
      <x:c r="O594" s="192" t="n">
        <x:v>23</x:v>
      </x:c>
      <x:c r="P594" s="193" t="b">
        <x:v>1</x:v>
      </x:c>
      <x:c r="Q594" s="193" t="b">
        <x:v>0</x:v>
      </x:c>
      <x:c r="R594" s="193" t="b">
        <x:v>1</x:v>
      </x:c>
      <x:c r="S594" s="193" t="b">
        <x:v>1</x:v>
      </x:c>
      <x:c r="T594" s="192" t="n">
        <x:v>17</x:v>
      </x:c>
      <x:c r="U594" s="192" t="n">
        <x:v>73</x:v>
      </x:c>
      <x:c r="V594" s="200" t="n">
        <x:v>0.8111111111</x:v>
      </x:c>
      <x:c r="W594" s="203" t="n">
        <x:v>350</x:v>
      </x:c>
      <x:c r="X594" s="203" t="n">
        <x:v>25436.3799654304</x:v>
      </x:c>
      <x:c r="Y594" s="203" t="n">
        <x:v>65763.6407022898</x:v>
      </x:c>
      <x:c r="Z594" s="193" t="b">
        <x:v>0</x:v>
      </x:c>
      <x:c r="AA594" s="193" t="b">
        <x:v>0</x:v>
      </x:c>
      <x:c r="AB594" s="193" t="b">
        <x:v>1</x:v>
      </x:c>
      <x:c r="AC594" s="193" t="b">
        <x:v>1</x:v>
      </x:c>
      <x:c r="AD594" s="193" t="b">
        <x:v>1</x:v>
      </x:c>
      <x:c r="AE594" s="193" t="b">
        <x:v>1</x:v>
      </x:c>
      <x:c r="AF594" s="193" t="b">
        <x:v>1</x:v>
      </x:c>
      <x:c r="AG594" s="193" t="b">
        <x:v>1</x:v>
      </x:c>
      <x:c r="AH594" s="193" t="b">
        <x:v>1</x:v>
      </x:c>
      <x:c r="AI594" s="193" t="b">
        <x:v>1</x:v>
      </x:c>
      <x:c r="AJ594" s="193" t="b">
        <x:v>1</x:v>
      </x:c>
    </x:row>
    <x:row r="595">
      <x:c r="A595" s="192" t="n">
        <x:v>787195284335262600</x:v>
      </x:c>
      <x:c r="B595" s="192" t="str">
        <x:v>https://www.airbnb.com.br/rooms/787195284335262595</x:v>
      </x:c>
      <x:c r="C595" s="192" t="str">
        <x:v>APT bem localizado quadra mar</x:v>
      </x:c>
      <x:c r="D595" s="192" t="str">
        <x:v>Meia Praia</x:v>
      </x:c>
      <x:c r="E595" s="192" t="n">
        <x:v>-27.1340007782</x:v>
      </x:c>
      <x:c r="F595" s="192" t="n">
        <x:v>-48.5970001221</x:v>
      </x:c>
      <x:c r="G595" s="192" t="str">
        <x:v>apartamento</x:v>
      </x:c>
      <x:c r="H595" s="192" t="n">
        <x:v>3</x:v>
      </x:c>
      <x:c r="I595" s="192" t="n">
        <x:v>2</x:v>
      </x:c>
      <x:c r="J595" s="192" t="n">
        <x:v>3</x:v>
      </x:c>
      <x:c r="K595" s="192" t="n">
        <x:v>7</x:v>
      </x:c>
      <x:c r="L595" s="192" t="n">
        <x:v>11</x:v>
      </x:c>
      <x:c r="M595" s="192" t="n">
        <x:v>5</x:v>
      </x:c>
      <x:c r="N595" s="192" t="n">
        <x:v>300</x:v>
      </x:c>
      <x:c r="O595" s="192" t="n">
        <x:v>18</x:v>
      </x:c>
      <x:c r="P595" s="193" t="b">
        <x:v>0</x:v>
      </x:c>
      <x:c r="Q595" s="193" t="b">
        <x:v>0</x:v>
      </x:c>
      <x:c r="R595" s="193" t="b">
        <x:v>1</x:v>
      </x:c>
      <x:c r="S595" s="193" t="b">
        <x:v>1</x:v>
      </x:c>
      <x:c r="T595" s="192" t="n">
        <x:v>50</x:v>
      </x:c>
      <x:c r="U595" s="192" t="n">
        <x:v>40</x:v>
      </x:c>
      <x:c r="V595" s="200" t="n">
        <x:v>0.4444444444</x:v>
      </x:c>
      <x:c r="W595" s="203" t="n">
        <x:v>543.625</x:v>
      </x:c>
      <x:c r="X595" s="203" t="n">
        <x:v>22425.7746162499</x:v>
      </x:c>
      <x:c r="Y595" s="203" t="n">
        <x:v>57979.9714557627</x:v>
      </x:c>
      <x:c r="Z595" s="193" t="b">
        <x:v>0</x:v>
      </x:c>
      <x:c r="AA595" s="193" t="b">
        <x:v>0</x:v>
      </x:c>
      <x:c r="AB595" s="193" t="b">
        <x:v>1</x:v>
      </x:c>
      <x:c r="AC595" s="193" t="b">
        <x:v>1</x:v>
      </x:c>
      <x:c r="AD595" s="193" t="b">
        <x:v>0</x:v>
      </x:c>
      <x:c r="AE595" s="193" t="b">
        <x:v>1</x:v>
      </x:c>
      <x:c r="AF595" s="193" t="b">
        <x:v>1</x:v>
      </x:c>
      <x:c r="AG595" s="193" t="b">
        <x:v>1</x:v>
      </x:c>
      <x:c r="AH595" s="193" t="b">
        <x:v>1</x:v>
      </x:c>
      <x:c r="AI595" s="193" t="b">
        <x:v>1</x:v>
      </x:c>
      <x:c r="AJ595" s="193" t="b">
        <x:v>1</x:v>
      </x:c>
    </x:row>
    <x:row r="596">
      <x:c r="A596" s="192" t="n">
        <x:v>1249371220066552300</x:v>
      </x:c>
      <x:c r="B596" s="192" t="str">
        <x:v>https://www.airbnb.com.br/rooms/1249371220066552412</x:v>
      </x:c>
      <x:c r="C596" s="192" t="str">
        <x:v>Apto moderno vista mar a 280m da Praia MHF2105</x:v>
      </x:c>
      <x:c r="D596" s="192" t="str">
        <x:v>Centro</x:v>
      </x:c>
      <x:c r="E596" s="192" t="n">
        <x:v>-27.0936893</x:v>
      </x:c>
      <x:c r="F596" s="192" t="n">
        <x:v>-48.6131638</x:v>
      </x:c>
      <x:c r="G596" s="192" t="str">
        <x:v>apartamento</x:v>
      </x:c>
      <x:c r="H596" s="192" t="n">
        <x:v>1</x:v>
      </x:c>
      <x:c r="I596" s="192" t="n">
        <x:v>1</x:v>
      </x:c>
      <x:c r="J596" s="192" t="n">
        <x:v>2</x:v>
      </x:c>
      <x:c r="K596" s="192" t="n">
        <x:v>4</x:v>
      </x:c>
      <x:c r="L596" s="192" t="n">
        <x:v>12</x:v>
      </x:c>
      <x:c r="M596" s="192" t="n">
        <x:v>4.9200000763</x:v>
      </x:c>
      <x:c r="N596" s="192" t="n">
        <x:v>180</x:v>
      </x:c>
      <x:c r="O596" s="192" t="n">
        <x:v>0</x:v>
      </x:c>
      <x:c r="P596" s="193" t="b">
        <x:v>1</x:v>
      </x:c>
      <x:c r="Q596" s="193" t="b">
        <x:v>1</x:v>
      </x:c>
      <x:c r="R596" s="193" t="b">
        <x:v>1</x:v>
      </x:c>
      <x:c r="S596" s="193" t="b">
        <x:v>0</x:v>
      </x:c>
      <x:c r="T596" s="192" t="n">
        <x:v>69</x:v>
      </x:c>
      <x:c r="U596" s="192" t="n">
        <x:v>21</x:v>
      </x:c>
      <x:c r="V596" s="200" t="n">
        <x:v>0.2333333333</x:v>
      </x:c>
      <x:c r="W596" s="203" t="n">
        <x:v>492</x:v>
      </x:c>
      <x:c r="X596" s="203" t="n">
        <x:v>10347.0510573256</x:v>
      </x:c>
      <x:c r="Y596" s="203" t="n">
        <x:v>26751.4382544606</x:v>
      </x:c>
      <x:c r="Z596" s="193" t="b">
        <x:v>1</x:v>
      </x:c>
      <x:c r="AA596" s="193" t="b">
        <x:v>1</x:v>
      </x:c>
      <x:c r="AB596" s="193" t="b">
        <x:v>1</x:v>
      </x:c>
      <x:c r="AC596" s="193" t="b">
        <x:v>1</x:v>
      </x:c>
      <x:c r="AD596" s="193" t="b">
        <x:v>1</x:v>
      </x:c>
      <x:c r="AE596" s="193" t="b">
        <x:v>1</x:v>
      </x:c>
      <x:c r="AF596" s="193" t="b">
        <x:v>1</x:v>
      </x:c>
      <x:c r="AG596" s="193" t="b">
        <x:v>1</x:v>
      </x:c>
      <x:c r="AH596" s="193" t="b">
        <x:v>1</x:v>
      </x:c>
      <x:c r="AI596" s="193" t="b">
        <x:v>1</x:v>
      </x:c>
      <x:c r="AJ596" s="193" t="b">
        <x:v>0</x:v>
      </x:c>
    </x:row>
    <x:row r="597">
      <x:c r="A597" s="192" t="n">
        <x:v>46604700</x:v>
      </x:c>
      <x:c r="B597" s="192" t="str">
        <x:v>https://www.airbnb.com.br/rooms/46604700</x:v>
      </x:c>
      <x:c r="C597" s="192" t="str">
        <x:v>Morada Gralha Azul, conforto em Itapema-SC</x:v>
      </x:c>
      <x:c r="D597" s="192" t="str">
        <x:v>Ilhota</x:v>
      </x:c>
      <x:c r="E597" s="192" t="n">
        <x:v>-27.06739</x:v>
      </x:c>
      <x:c r="F597" s="192" t="n">
        <x:v>-48.59626</x:v>
      </x:c>
      <x:c r="G597" s="192" t="str">
        <x:v>apartamento</x:v>
      </x:c>
      <x:c r="H597" s="192" t="n">
        <x:v>1</x:v>
      </x:c>
      <x:c r="I597" s="192" t="n">
        <x:v>1</x:v>
      </x:c>
      <x:c r="J597" s="192" t="n">
        <x:v>2</x:v>
      </x:c>
      <x:c r="K597" s="192" t="n">
        <x:v>4</x:v>
      </x:c>
      <x:c r="L597" s="192" t="n">
        <x:v>33</x:v>
      </x:c>
      <x:c r="M597" s="192" t="n">
        <x:v>5</x:v>
      </x:c>
      <x:c r="N597" s="192" t="n">
        <x:v>100</x:v>
      </x:c>
      <x:c r="O597" s="192" t="n">
        <x:v>13</x:v>
      </x:c>
      <x:c r="P597" s="193" t="b">
        <x:v>1</x:v>
      </x:c>
      <x:c r="Q597" s="193" t="b">
        <x:v>0</x:v>
      </x:c>
      <x:c r="R597" s="193" t="b">
        <x:v>1</x:v>
      </x:c>
      <x:c r="S597" s="193" t="b">
        <x:v>1</x:v>
      </x:c>
      <x:c r="T597" s="192" t="n">
        <x:v>87</x:v>
      </x:c>
      <x:c r="U597" s="192" t="n">
        <x:v>3</x:v>
      </x:c>
      <x:c r="V597" s="200" t="n">
        <x:v>0.0333333333</x:v>
      </x:c>
      <x:c r="W597" s="203" t="n">
        <x:v>350</x:v>
      </x:c>
      <x:c r="X597" s="203" t="n">
        <x:v>1056.3789396265</x:v>
      </x:c>
      <x:c r="Y597" s="203" t="n">
        <x:v>2731.1797168259</x:v>
      </x:c>
      <x:c r="Z597" s="193" t="b">
        <x:v>1</x:v>
      </x:c>
      <x:c r="AA597" s="193" t="b">
        <x:v>0</x:v>
      </x:c>
      <x:c r="AB597" s="193" t="b">
        <x:v>1</x:v>
      </x:c>
      <x:c r="AC597" s="193" t="b">
        <x:v>1</x:v>
      </x:c>
      <x:c r="AD597" s="193" t="b">
        <x:v>0</x:v>
      </x:c>
      <x:c r="AE597" s="193" t="b">
        <x:v>0</x:v>
      </x:c>
      <x:c r="AF597" s="193" t="b">
        <x:v>0</x:v>
      </x:c>
      <x:c r="AG597" s="193" t="b">
        <x:v>0</x:v>
      </x:c>
      <x:c r="AH597" s="193" t="b">
        <x:v>1</x:v>
      </x:c>
      <x:c r="AI597" s="193" t="b">
        <x:v>1</x:v>
      </x:c>
      <x:c r="AJ597" s="193" t="b">
        <x:v>1</x:v>
      </x:c>
    </x:row>
    <x:row r="598">
      <x:c r="A598" s="192" t="n">
        <x:v>783879004243392300</x:v>
      </x:c>
      <x:c r="B598" s="192" t="str">
        <x:v>https://www.airbnb.com.br/rooms/783879004243392314</x:v>
      </x:c>
      <x:c r="C598" s="192" t="str">
        <x:v>apartamento praia</x:v>
      </x:c>
      <x:c r="D598" s="192" t="str">
        <x:v>Meia Praia</x:v>
      </x:c>
      <x:c r="E598" s="192" t="n">
        <x:v>-27.125</x:v>
      </x:c>
      <x:c r="F598" s="192" t="n">
        <x:v>-48.6030006409</x:v>
      </x:c>
      <x:c r="G598" s="192" t="str">
        <x:v>apartamento</x:v>
      </x:c>
      <x:c r="H598" s="192" t="n">
        <x:v>3</x:v>
      </x:c>
      <x:c r="I598" s="192" t="n">
        <x:v>2</x:v>
      </x:c>
      <x:c r="J598" s="192" t="n">
        <x:v>3</x:v>
      </x:c>
      <x:c r="K598" s="192" t="n">
        <x:v>6</x:v>
      </x:c>
      <x:c r="L598" s="192" t="n">
        <x:v>30</x:v>
      </x:c>
      <x:c r="M598" s="192" t="n">
        <x:v>4.6700000763</x:v>
      </x:c>
      <x:c r="N598" s="192" t="n">
        <x:v>250</x:v>
      </x:c>
      <x:c r="O598" s="192" t="n">
        <x:v>19</x:v>
      </x:c>
      <x:c r="P598" s="193" t="b">
        <x:v>0</x:v>
      </x:c>
      <x:c r="Q598" s="193" t="b">
        <x:v>0</x:v>
      </x:c>
      <x:c r="R598" s="193" t="b">
        <x:v>0</x:v>
      </x:c>
      <x:c r="S598" s="193" t="b">
        <x:v>1</x:v>
      </x:c>
      <x:c r="T598" s="192" t="n">
        <x:v>71</x:v>
      </x:c>
      <x:c r="U598" s="192" t="n">
        <x:v>19</x:v>
      </x:c>
      <x:c r="V598" s="200" t="n">
        <x:v>0.2111111111</x:v>
      </x:c>
      <x:c r="W598" s="203" t="n">
        <x:v>624</x:v>
      </x:c>
      <x:c r="X598" s="203" t="n">
        <x:v>12822.9158980105</x:v>
      </x:c>
      <x:c r="Y598" s="203" t="n">
        <x:v>33152.5804779812</x:v>
      </x:c>
      <x:c r="Z598" s="193" t="b">
        <x:v>1</x:v>
      </x:c>
      <x:c r="AA598" s="193" t="b">
        <x:v>0</x:v>
      </x:c>
      <x:c r="AB598" s="193" t="b">
        <x:v>1</x:v>
      </x:c>
      <x:c r="AC598" s="193" t="b">
        <x:v>1</x:v>
      </x:c>
      <x:c r="AD598" s="193" t="b">
        <x:v>1</x:v>
      </x:c>
      <x:c r="AE598" s="193" t="b">
        <x:v>0</x:v>
      </x:c>
      <x:c r="AF598" s="193" t="b">
        <x:v>1</x:v>
      </x:c>
      <x:c r="AG598" s="193" t="b">
        <x:v>1</x:v>
      </x:c>
      <x:c r="AH598" s="193" t="b">
        <x:v>1</x:v>
      </x:c>
      <x:c r="AI598" s="193" t="b">
        <x:v>1</x:v>
      </x:c>
      <x:c r="AJ598" s="193" t="b">
        <x:v>0</x:v>
      </x:c>
    </x:row>
    <x:row r="599">
      <x:c r="A599" s="192" t="n">
        <x:v>30032994</x:v>
      </x:c>
      <x:c r="B599" s="192" t="str">
        <x:v>https://www.airbnb.com.br/rooms/30032994</x:v>
      </x:c>
      <x:c r="C599" s="192" t="str">
        <x:v>Pertinho da praia e de tudo</x:v>
      </x:c>
      <x:c r="D599" s="192" t="str">
        <x:v>Meia Praia</x:v>
      </x:c>
      <x:c r="E599" s="192" t="n">
        <x:v>-27.1310005188</x:v>
      </x:c>
      <x:c r="F599" s="192" t="n">
        <x:v>-48.6010017395</x:v>
      </x:c>
      <x:c r="G599" s="192" t="str">
        <x:v>apartamento</x:v>
      </x:c>
      <x:c r="H599" s="192" t="n">
        <x:v>2</x:v>
      </x:c>
      <x:c r="I599" s="192" t="n">
        <x:v>2</x:v>
      </x:c>
      <x:c r="J599" s="192" t="n">
        <x:v>3</x:v>
      </x:c>
      <x:c r="K599" s="192" t="n">
        <x:v>8</x:v>
      </x:c>
      <x:c r="L599" s="192" t="n">
        <x:v>11</x:v>
      </x:c>
      <x:c r="M599" s="192" t="n">
        <x:v>5</x:v>
      </x:c>
      <x:c r="N599" s="192" t="n">
        <x:v>280</x:v>
      </x:c>
      <x:c r="O599" s="192" t="n">
        <x:v>19</x:v>
      </x:c>
      <x:c r="P599" s="193" t="b">
        <x:v>0</x:v>
      </x:c>
      <x:c r="Q599" s="193" t="b">
        <x:v>0</x:v>
      </x:c>
      <x:c r="R599" s="193" t="b">
        <x:v>1</x:v>
      </x:c>
      <x:c r="S599" s="193" t="b">
        <x:v>1</x:v>
      </x:c>
      <x:c r="T599" s="192" t="n">
        <x:v>31</x:v>
      </x:c>
      <x:c r="U599" s="192" t="n">
        <x:v>59</x:v>
      </x:c>
      <x:c r="V599" s="200" t="n">
        <x:v>0.6555555556</x:v>
      </x:c>
      <x:c r="W599" s="203" t="n">
        <x:v>300</x:v>
      </x:c>
      <x:c r="X599" s="203" t="n">
        <x:v>17677.2486037848</x:v>
      </x:c>
      <x:c r="Y599" s="203" t="n">
        <x:v>45703.0531610354</x:v>
      </x:c>
      <x:c r="Z599" s="193" t="b">
        <x:v>1</x:v>
      </x:c>
      <x:c r="AA599" s="193" t="b">
        <x:v>0</x:v>
      </x:c>
      <x:c r="AB599" s="193" t="b">
        <x:v>1</x:v>
      </x:c>
      <x:c r="AC599" s="193" t="b">
        <x:v>1</x:v>
      </x:c>
      <x:c r="AD599" s="193" t="b">
        <x:v>1</x:v>
      </x:c>
      <x:c r="AE599" s="193" t="b">
        <x:v>1</x:v>
      </x:c>
      <x:c r="AF599" s="193" t="b">
        <x:v>1</x:v>
      </x:c>
      <x:c r="AG599" s="193" t="b">
        <x:v>1</x:v>
      </x:c>
      <x:c r="AH599" s="193" t="b">
        <x:v>1</x:v>
      </x:c>
      <x:c r="AI599" s="193" t="b">
        <x:v>1</x:v>
      </x:c>
      <x:c r="AJ599" s="193" t="b">
        <x:v>1</x:v>
      </x:c>
    </x:row>
    <x:row r="600">
      <x:c r="A600" s="192" t="n">
        <x:v>30153564</x:v>
      </x:c>
      <x:c r="B600" s="192" t="str">
        <x:v>https://www.airbnb.com.br/rooms/30153564</x:v>
      </x:c>
      <x:c r="C600" s="192" t="str">
        <x:v>Apto a 50 m da praia e perto dos parques de SC!</x:v>
      </x:c>
      <x:c r="D600" s="192" t="str">
        <x:v>Meia Praia</x:v>
      </x:c>
      <x:c r="E600" s="192" t="n">
        <x:v>-27.14334</x:v>
      </x:c>
      <x:c r="F600" s="192" t="n">
        <x:v>-48.58953</x:v>
      </x:c>
      <x:c r="G600" s="192" t="str">
        <x:v>apartamento</x:v>
      </x:c>
      <x:c r="H600" s="192" t="n">
        <x:v>2</x:v>
      </x:c>
      <x:c r="I600" s="192" t="n">
        <x:v>0</x:v>
      </x:c>
      <x:c r="J600" s="192" t="n">
        <x:v>3</x:v>
      </x:c>
      <x:c r="K600" s="192" t="n">
        <x:v>6</x:v>
      </x:c>
      <x:c r="L600" s="192" t="n">
        <x:v>39</x:v>
      </x:c>
      <x:c r="M600" s="192" t="n">
        <x:v>4.9000000954</x:v>
      </x:c>
      <x:c r="N600" s="192" t="n">
        <x:v>300</x:v>
      </x:c>
      <x:c r="O600" s="192" t="n">
        <x:v>56</x:v>
      </x:c>
      <x:c r="P600" s="193" t="b">
        <x:v>0</x:v>
      </x:c>
      <x:c r="Q600" s="193" t="b">
        <x:v>0</x:v>
      </x:c>
      <x:c r="R600" s="193" t="b">
        <x:v>1</x:v>
      </x:c>
      <x:c r="S600" s="193" t="b">
        <x:v>1</x:v>
      </x:c>
      <x:c r="T600" s="192" t="n">
        <x:v>44</x:v>
      </x:c>
      <x:c r="U600" s="192" t="n">
        <x:v>46</x:v>
      </x:c>
      <x:c r="V600" s="200" t="n">
        <x:v>0.5111111111</x:v>
      </x:c>
      <x:c r="W600" s="203" t="n">
        <x:v>396</x:v>
      </x:c>
      <x:c r="X600" s="203" t="n">
        <x:v>18023.7601684182</x:v>
      </x:c>
      <x:c r="Y600" s="203" t="n">
        <x:v>46598.9299354312</x:v>
      </x:c>
      <x:c r="Z600" s="193" t="b">
        <x:v>1</x:v>
      </x:c>
      <x:c r="AA600" s="193" t="b">
        <x:v>0</x:v>
      </x:c>
      <x:c r="AB600" s="193" t="b">
        <x:v>1</x:v>
      </x:c>
      <x:c r="AC600" s="193" t="b">
        <x:v>1</x:v>
      </x:c>
      <x:c r="AD600" s="193" t="b">
        <x:v>1</x:v>
      </x:c>
      <x:c r="AE600" s="193" t="b">
        <x:v>1</x:v>
      </x:c>
      <x:c r="AF600" s="193" t="b">
        <x:v>1</x:v>
      </x:c>
      <x:c r="AG600" s="193" t="b">
        <x:v>1</x:v>
      </x:c>
      <x:c r="AH600" s="193" t="b">
        <x:v>1</x:v>
      </x:c>
      <x:c r="AI600" s="193" t="b">
        <x:v>1</x:v>
      </x:c>
      <x:c r="AJ600" s="193" t="b">
        <x:v>1</x:v>
      </x:c>
    </x:row>
    <x:row r="601">
      <x:c r="A601" s="192" t="n">
        <x:v>798475021925579400</x:v>
      </x:c>
      <x:c r="B601" s="192" t="str">
        <x:v>https://www.airbnb.com.br/rooms/798475021925579344</x:v>
      </x:c>
      <x:c r="C601" s="192" t="str">
        <x:v>Um apartamento novo! Morretes, itapema</x:v>
      </x:c>
      <x:c r="D601" s="192" t="str">
        <x:v>Morretes</x:v>
      </x:c>
      <x:c r="E601" s="192" t="n">
        <x:v>-27.12377</x:v>
      </x:c>
      <x:c r="F601" s="192" t="n">
        <x:v>-48.61239</x:v>
      </x:c>
      <x:c r="G601" s="192" t="str">
        <x:v>apartamento</x:v>
      </x:c>
      <x:c r="H601" s="192" t="n">
        <x:v>2</x:v>
      </x:c>
      <x:c r="I601" s="192" t="n">
        <x:v>2</x:v>
      </x:c>
      <x:c r="J601" s="192" t="n">
        <x:v>4</x:v>
      </x:c>
      <x:c r="K601" s="192" t="n">
        <x:v>5</x:v>
      </x:c>
      <x:c r="L601" s="192" t="n">
        <x:v>20</x:v>
      </x:c>
      <x:c r="M601" s="192" t="n">
        <x:v>4.9000000954</x:v>
      </x:c>
      <x:c r="N601" s="192" t="n">
        <x:v>100</x:v>
      </x:c>
      <x:c r="O601" s="192" t="n">
        <x:v>25</x:v>
      </x:c>
      <x:c r="P601" s="193" t="b">
        <x:v>1</x:v>
      </x:c>
      <x:c r="Q601" s="193" t="b">
        <x:v>0</x:v>
      </x:c>
      <x:c r="R601" s="193" t="b">
        <x:v>1</x:v>
      </x:c>
      <x:c r="S601" s="193" t="b">
        <x:v>1</x:v>
      </x:c>
      <x:c r="T601" s="192" t="n">
        <x:v>25</x:v>
      </x:c>
      <x:c r="U601" s="192" t="n">
        <x:v>65</x:v>
      </x:c>
      <x:c r="V601" s="200" t="n">
        <x:v>0.7222222222</x:v>
      </x:c>
      <x:c r="W601" s="203" t="n">
        <x:v>300</x:v>
      </x:c>
      <x:c r="X601" s="203" t="n">
        <x:v>19309.5489333697</x:v>
      </x:c>
      <x:c r="Y601" s="203" t="n">
        <x:v>49923.2296381496</x:v>
      </x:c>
      <x:c r="Z601" s="193" t="b">
        <x:v>1</x:v>
      </x:c>
      <x:c r="AA601" s="193" t="b">
        <x:v>0</x:v>
      </x:c>
      <x:c r="AB601" s="193" t="b">
        <x:v>1</x:v>
      </x:c>
      <x:c r="AC601" s="193" t="b">
        <x:v>1</x:v>
      </x:c>
      <x:c r="AD601" s="193" t="b">
        <x:v>1</x:v>
      </x:c>
      <x:c r="AE601" s="193" t="b">
        <x:v>1</x:v>
      </x:c>
      <x:c r="AF601" s="193" t="b">
        <x:v>1</x:v>
      </x:c>
      <x:c r="AG601" s="193" t="b">
        <x:v>1</x:v>
      </x:c>
      <x:c r="AH601" s="193" t="b">
        <x:v>1</x:v>
      </x:c>
      <x:c r="AI601" s="193" t="b">
        <x:v>1</x:v>
      </x:c>
      <x:c r="AJ601" s="193" t="b">
        <x:v>1</x:v>
      </x:c>
    </x:row>
    <x:row r="602">
      <x:c r="A602" s="192" t="n">
        <x:v>1189331897618015200</x:v>
      </x:c>
      <x:c r="B602" s="192" t="str">
        <x:v>https://www.airbnb.com.br/rooms/1189331897618015345</x:v>
      </x:c>
      <x:c r="C602" s="192" t="str">
        <x:v>Apto Charmoso a Poucos Passos do Mar - MHF0609</x:v>
      </x:c>
      <x:c r="D602" s="192" t="str">
        <x:v>Centro</x:v>
      </x:c>
      <x:c r="E602" s="192" t="n">
        <x:v>-27.0936893</x:v>
      </x:c>
      <x:c r="F602" s="192" t="n">
        <x:v>-48.6131638</x:v>
      </x:c>
      <x:c r="G602" s="192" t="str">
        <x:v>apartamento</x:v>
      </x:c>
      <x:c r="H602" s="192" t="n">
        <x:v>2</x:v>
      </x:c>
      <x:c r="I602" s="192" t="n">
        <x:v>2</x:v>
      </x:c>
      <x:c r="J602" s="192" t="n">
        <x:v>3</x:v>
      </x:c>
      <x:c r="K602" s="192" t="n">
        <x:v>6</x:v>
      </x:c>
      <x:c r="L602" s="192" t="n">
        <x:v>17</x:v>
      </x:c>
      <x:c r="M602" s="192" t="n">
        <x:v>4.8200001717</x:v>
      </x:c>
      <x:c r="N602" s="192" t="n">
        <x:v>240</x:v>
      </x:c>
      <x:c r="O602" s="192" t="n">
        <x:v>0</x:v>
      </x:c>
      <x:c r="P602" s="193" t="b">
        <x:v>1</x:v>
      </x:c>
      <x:c r="Q602" s="193" t="b">
        <x:v>1</x:v>
      </x:c>
      <x:c r="R602" s="193" t="b">
        <x:v>1</x:v>
      </x:c>
      <x:c r="S602" s="193" t="b">
        <x:v>0</x:v>
      </x:c>
      <x:c r="T602" s="192" t="n">
        <x:v>62</x:v>
      </x:c>
      <x:c r="U602" s="192" t="n">
        <x:v>28</x:v>
      </x:c>
      <x:c r="V602" s="200" t="n">
        <x:v>0.3111111111</x:v>
      </x:c>
      <x:c r="W602" s="203" t="n">
        <x:v>631.5</x:v>
      </x:c>
      <x:c r="X602" s="203" t="n">
        <x:v>18106.2866604006</x:v>
      </x:c>
      <x:c r="Y602" s="203" t="n">
        <x:v>46812.295303244</x:v>
      </x:c>
      <x:c r="Z602" s="193" t="b">
        <x:v>1</x:v>
      </x:c>
      <x:c r="AA602" s="193" t="b">
        <x:v>1</x:v>
      </x:c>
      <x:c r="AB602" s="193" t="b">
        <x:v>1</x:v>
      </x:c>
      <x:c r="AC602" s="193" t="b">
        <x:v>1</x:v>
      </x:c>
      <x:c r="AD602" s="193" t="b">
        <x:v>1</x:v>
      </x:c>
      <x:c r="AE602" s="193" t="b">
        <x:v>0</x:v>
      </x:c>
      <x:c r="AF602" s="193" t="b">
        <x:v>1</x:v>
      </x:c>
      <x:c r="AG602" s="193" t="b">
        <x:v>1</x:v>
      </x:c>
      <x:c r="AH602" s="193" t="b">
        <x:v>1</x:v>
      </x:c>
      <x:c r="AI602" s="193" t="b">
        <x:v>1</x:v>
      </x:c>
      <x:c r="AJ602" s="193" t="b">
        <x:v>0</x:v>
      </x:c>
    </x:row>
    <x:row r="603">
      <x:c r="A603" s="192" t="n">
        <x:v>1054265461023254300</x:v>
      </x:c>
      <x:c r="B603" s="192" t="str">
        <x:v>https://www.airbnb.com.br/rooms/1054265461023254222</x:v>
      </x:c>
      <x:c r="C603" s="192" t="str">
        <x:v>Infinity Tower Flat - 1403</x:v>
      </x:c>
      <x:c r="D603" s="192" t="str">
        <x:v>Meia Praia</x:v>
      </x:c>
      <x:c r="E603" s="192" t="n">
        <x:v>-27.1280002594</x:v>
      </x:c>
      <x:c r="F603" s="192" t="n">
        <x:v>-48.6049995422</x:v>
      </x:c>
      <x:c r="G603" s="192" t="str">
        <x:v>apartamento</x:v>
      </x:c>
      <x:c r="H603" s="192" t="n">
        <x:v>1</x:v>
      </x:c>
      <x:c r="I603" s="192" t="n">
        <x:v>1</x:v>
      </x:c>
      <x:c r="J603" s="192" t="n">
        <x:v>2</x:v>
      </x:c>
      <x:c r="K603" s="192" t="n">
        <x:v>4</x:v>
      </x:c>
      <x:c r="L603" s="192" t="n">
        <x:v>5</x:v>
      </x:c>
      <x:c r="M603" s="192" t="n">
        <x:v>5</x:v>
      </x:c>
      <x:c r="N603" s="192" t="n">
        <x:v>200</x:v>
      </x:c>
      <x:c r="O603" s="192" t="n">
        <x:v>18</x:v>
      </x:c>
      <x:c r="P603" s="193" t="b">
        <x:v>1</x:v>
      </x:c>
      <x:c r="Q603" s="193" t="b">
        <x:v>0</x:v>
      </x:c>
      <x:c r="R603" s="193" t="b">
        <x:v>1</x:v>
      </x:c>
      <x:c r="S603" s="193" t="b">
        <x:v>0</x:v>
      </x:c>
      <x:c r="T603" s="192" t="n">
        <x:v>58</x:v>
      </x:c>
      <x:c r="U603" s="192" t="n">
        <x:v>32</x:v>
      </x:c>
      <x:c r="V603" s="200" t="n">
        <x:v>0.3555555556</x:v>
      </x:c>
      <x:c r="W603" s="203" t="n">
        <x:v>500</x:v>
      </x:c>
      <x:c r="X603" s="203" t="n">
        <x:v>16909.6804626632</x:v>
      </x:c>
      <x:c r="Y603" s="203" t="n">
        <x:v>43718.5696961772</x:v>
      </x:c>
      <x:c r="Z603" s="193" t="b">
        <x:v>1</x:v>
      </x:c>
      <x:c r="AA603" s="193" t="b">
        <x:v>1</x:v>
      </x:c>
      <x:c r="AB603" s="193" t="b">
        <x:v>1</x:v>
      </x:c>
      <x:c r="AC603" s="193" t="b">
        <x:v>1</x:v>
      </x:c>
      <x:c r="AD603" s="193" t="b">
        <x:v>1</x:v>
      </x:c>
      <x:c r="AE603" s="193" t="b">
        <x:v>1</x:v>
      </x:c>
      <x:c r="AF603" s="193" t="b">
        <x:v>0</x:v>
      </x:c>
      <x:c r="AG603" s="193" t="b">
        <x:v>1</x:v>
      </x:c>
      <x:c r="AH603" s="193" t="b">
        <x:v>1</x:v>
      </x:c>
      <x:c r="AI603" s="193" t="b">
        <x:v>1</x:v>
      </x:c>
      <x:c r="AJ603" s="193" t="b">
        <x:v>1</x:v>
      </x:c>
    </x:row>
    <x:row r="604">
      <x:c r="A604" s="192" t="n">
        <x:v>1321022086036905000</x:v>
      </x:c>
      <x:c r="B604" s="192" t="str">
        <x:v>https://www.airbnb.com.br/rooms/1321022086036905023</x:v>
      </x:c>
      <x:c r="C604" s="192" t="str">
        <x:v>Apartamento c/ Piscina e Academia MHF1202</x:v>
      </x:c>
      <x:c r="D604" s="192" t="str">
        <x:v>Centro</x:v>
      </x:c>
      <x:c r="E604" s="192" t="n">
        <x:v>-27.09364</x:v>
      </x:c>
      <x:c r="F604" s="192" t="n">
        <x:v>-48.6131</x:v>
      </x:c>
      <x:c r="G604" s="192" t="str">
        <x:v>apartamento</x:v>
      </x:c>
      <x:c r="H604" s="192" t="n">
        <x:v>2</x:v>
      </x:c>
      <x:c r="I604" s="192" t="n">
        <x:v>1</x:v>
      </x:c>
      <x:c r="J604" s="192" t="n">
        <x:v>2</x:v>
      </x:c>
      <x:c r="K604" s="192" t="n">
        <x:v>5</x:v>
      </x:c>
      <x:c r="L604" s="192" t="n">
        <x:v>0</x:v>
      </x:c>
      <x:c r="M604" s="192"/>
      <x:c r="N604" s="192" t="n">
        <x:v>220</x:v>
      </x:c>
      <x:c r="O604" s="192" t="n">
        <x:v>0</x:v>
      </x:c>
      <x:c r="P604" s="193" t="b">
        <x:v>1</x:v>
      </x:c>
      <x:c r="Q604" s="193" t="b">
        <x:v>1</x:v>
      </x:c>
      <x:c r="R604" s="193" t="b">
        <x:v>0</x:v>
      </x:c>
      <x:c r="S604" s="193" t="b">
        <x:v>0</x:v>
      </x:c>
      <x:c r="T604" s="192" t="n">
        <x:v>84</x:v>
      </x:c>
      <x:c r="U604" s="192" t="n">
        <x:v>6</x:v>
      </x:c>
      <x:c r="V604" s="200" t="n">
        <x:v>0.0666666667</x:v>
      </x:c>
      <x:c r="W604" s="203" t="n">
        <x:v>858</x:v>
      </x:c>
      <x:c r="X604" s="203" t="n">
        <x:v>5276.5177769491</x:v>
      </x:c>
      <x:c r="Y604" s="203" t="n">
        <x:v>13641.9970024871</x:v>
      </x:c>
      <x:c r="Z604" s="193" t="b">
        <x:v>1</x:v>
      </x:c>
      <x:c r="AA604" s="193" t="b">
        <x:v>1</x:v>
      </x:c>
      <x:c r="AB604" s="193" t="b">
        <x:v>1</x:v>
      </x:c>
      <x:c r="AC604" s="193" t="b">
        <x:v>1</x:v>
      </x:c>
      <x:c r="AD604" s="193" t="b">
        <x:v>1</x:v>
      </x:c>
      <x:c r="AE604" s="193" t="b">
        <x:v>0</x:v>
      </x:c>
      <x:c r="AF604" s="193" t="b">
        <x:v>1</x:v>
      </x:c>
      <x:c r="AG604" s="193" t="b">
        <x:v>1</x:v>
      </x:c>
      <x:c r="AH604" s="193" t="b">
        <x:v>1</x:v>
      </x:c>
      <x:c r="AI604" s="193" t="b">
        <x:v>1</x:v>
      </x:c>
      <x:c r="AJ604" s="193" t="b">
        <x:v>0</x:v>
      </x:c>
    </x:row>
    <x:row r="605">
      <x:c r="A605" s="192" t="n">
        <x:v>38998610</x:v>
      </x:c>
      <x:c r="B605" s="192" t="str">
        <x:v>https://www.airbnb.com.br/rooms/38998610</x:v>
      </x:c>
      <x:c r="C605" s="192" t="str">
        <x:v>Kitnet Aconchegante na Praia</x:v>
      </x:c>
      <x:c r="D605" s="192" t="str">
        <x:v>Meia Praia</x:v>
      </x:c>
      <x:c r="E605" s="192" t="n">
        <x:v>-27.14459</x:v>
      </x:c>
      <x:c r="F605" s="192" t="n">
        <x:v>-48.60141</x:v>
      </x:c>
      <x:c r="G605" s="192" t="str">
        <x:v>casa</x:v>
      </x:c>
      <x:c r="H605" s="192" t="n">
        <x:v>1</x:v>
      </x:c>
      <x:c r="I605" s="192" t="n">
        <x:v>1</x:v>
      </x:c>
      <x:c r="J605" s="192" t="n">
        <x:v>2</x:v>
      </x:c>
      <x:c r="K605" s="192" t="n">
        <x:v>3</x:v>
      </x:c>
      <x:c r="L605" s="192" t="n">
        <x:v>13</x:v>
      </x:c>
      <x:c r="M605" s="192" t="n">
        <x:v>4.8499999046</x:v>
      </x:c>
      <x:c r="N605" s="192" t="n">
        <x:v>100</x:v>
      </x:c>
      <x:c r="O605" s="192" t="n">
        <x:v>12</x:v>
      </x:c>
      <x:c r="P605" s="193" t="b">
        <x:v>0</x:v>
      </x:c>
      <x:c r="Q605" s="193" t="b">
        <x:v>0</x:v>
      </x:c>
      <x:c r="R605" s="193" t="b">
        <x:v>0</x:v>
      </x:c>
      <x:c r="S605" s="193" t="b">
        <x:v>0</x:v>
      </x:c>
      <x:c r="T605" s="192" t="n">
        <x:v>68</x:v>
      </x:c>
      <x:c r="U605" s="192" t="n">
        <x:v>22</x:v>
      </x:c>
      <x:c r="V605" s="200" t="n">
        <x:v>0.2444444444</x:v>
      </x:c>
      <x:c r="W605" s="203" t="n">
        <x:v>195</x:v>
      </x:c>
      <x:c r="X605" s="203" t="n">
        <x:v>4518.9083254597</x:v>
      </x:c>
      <x:c r="Y605" s="203" t="n">
        <x:v>11683.2608997823</x:v>
      </x:c>
      <x:c r="Z605" s="193" t="b">
        <x:v>1</x:v>
      </x:c>
      <x:c r="AA605" s="193" t="b">
        <x:v>0</x:v>
      </x:c>
      <x:c r="AB605" s="193" t="b">
        <x:v>1</x:v>
      </x:c>
      <x:c r="AC605" s="193" t="b">
        <x:v>1</x:v>
      </x:c>
      <x:c r="AD605" s="193" t="b">
        <x:v>0</x:v>
      </x:c>
      <x:c r="AE605" s="193" t="b">
        <x:v>1</x:v>
      </x:c>
      <x:c r="AF605" s="193" t="b">
        <x:v>1</x:v>
      </x:c>
      <x:c r="AG605" s="193" t="b">
        <x:v>1</x:v>
      </x:c>
      <x:c r="AH605" s="193" t="b">
        <x:v>1</x:v>
      </x:c>
      <x:c r="AI605" s="193" t="b">
        <x:v>1</x:v>
      </x:c>
      <x:c r="AJ605" s="193" t="b">
        <x:v>1</x:v>
      </x:c>
    </x:row>
    <x:row r="606">
      <x:c r="A606" s="192" t="n">
        <x:v>1037004838842410100</x:v>
      </x:c>
      <x:c r="B606" s="192" t="str">
        <x:v>https://www.airbnb.com.br/rooms/1037004838842410100</x:v>
      </x:c>
      <x:c r="C606" s="192" t="str">
        <x:v>Clube do Mar-Rua 224 Itapema Meia Praia Apto 104 B</x:v>
      </x:c>
      <x:c r="D606" s="192" t="str">
        <x:v>Meia Praia</x:v>
      </x:c>
      <x:c r="E606" s="192" t="n">
        <x:v>-27.1247291565</x:v>
      </x:c>
      <x:c r="F606" s="192" t="n">
        <x:v>-48.6073684692</x:v>
      </x:c>
      <x:c r="G606" s="192" t="str">
        <x:v>apartamento</x:v>
      </x:c>
      <x:c r="H606" s="192" t="n">
        <x:v>1</x:v>
      </x:c>
      <x:c r="I606" s="192" t="n">
        <x:v>1</x:v>
      </x:c>
      <x:c r="J606" s="192" t="n">
        <x:v>2</x:v>
      </x:c>
      <x:c r="K606" s="192" t="n">
        <x:v>3</x:v>
      </x:c>
      <x:c r="L606" s="192" t="n">
        <x:v>12</x:v>
      </x:c>
      <x:c r="M606" s="192" t="n">
        <x:v>4.5799999237</x:v>
      </x:c>
      <x:c r="N606" s="192" t="n">
        <x:v>120</x:v>
      </x:c>
      <x:c r="O606" s="192" t="n">
        <x:v>17</x:v>
      </x:c>
      <x:c r="P606" s="193" t="b">
        <x:v>1</x:v>
      </x:c>
      <x:c r="Q606" s="193" t="b">
        <x:v>0</x:v>
      </x:c>
      <x:c r="R606" s="193" t="b">
        <x:v>0</x:v>
      </x:c>
      <x:c r="S606" s="193" t="b">
        <x:v>1</x:v>
      </x:c>
      <x:c r="T606" s="192" t="n">
        <x:v>35</x:v>
      </x:c>
      <x:c r="U606" s="192" t="n">
        <x:v>55</x:v>
      </x:c>
      <x:c r="V606" s="200" t="n">
        <x:v>0.6111111111</x:v>
      </x:c>
      <x:c r="W606" s="203" t="n">
        <x:v>330</x:v>
      </x:c>
      <x:c r="X606" s="203" t="n">
        <x:v>17612.3607984299</x:v>
      </x:c>
      <x:c r="Y606" s="203" t="n">
        <x:v>45535.2911476074</x:v>
      </x:c>
      <x:c r="Z606" s="193" t="b">
        <x:v>1</x:v>
      </x:c>
      <x:c r="AA606" s="193" t="b">
        <x:v>1</x:v>
      </x:c>
      <x:c r="AB606" s="193" t="b">
        <x:v>1</x:v>
      </x:c>
      <x:c r="AC606" s="193" t="b">
        <x:v>1</x:v>
      </x:c>
      <x:c r="AD606" s="193" t="b">
        <x:v>0</x:v>
      </x:c>
      <x:c r="AE606" s="193" t="b">
        <x:v>1</x:v>
      </x:c>
      <x:c r="AF606" s="193" t="b">
        <x:v>1</x:v>
      </x:c>
      <x:c r="AG606" s="193" t="b">
        <x:v>1</x:v>
      </x:c>
      <x:c r="AH606" s="193" t="b">
        <x:v>1</x:v>
      </x:c>
      <x:c r="AI606" s="193" t="b">
        <x:v>1</x:v>
      </x:c>
      <x:c r="AJ606" s="193" t="b">
        <x:v>1</x:v>
      </x:c>
    </x:row>
    <x:row r="607">
      <x:c r="A607" s="192" t="n">
        <x:v>668715506986619800</x:v>
      </x:c>
      <x:c r="B607" s="192" t="str">
        <x:v>https://www.airbnb.com.br/rooms/668715506986619718</x:v>
      </x:c>
      <x:c r="C607" s="192" t="str">
        <x:v>Apartamento maravilhoso em Meia Praia e vista mar</x:v>
      </x:c>
      <x:c r="D607" s="192" t="str">
        <x:v>Meia Praia</x:v>
      </x:c>
      <x:c r="E607" s="192" t="n">
        <x:v>-27.1315382903</x:v>
      </x:c>
      <x:c r="F607" s="192" t="n">
        <x:v>-48.5999644484</x:v>
      </x:c>
      <x:c r="G607" s="192" t="str">
        <x:v>apartamento</x:v>
      </x:c>
      <x:c r="H607" s="192" t="n">
        <x:v>3</x:v>
      </x:c>
      <x:c r="I607" s="192" t="n">
        <x:v>3</x:v>
      </x:c>
      <x:c r="J607" s="192" t="n">
        <x:v>4</x:v>
      </x:c>
      <x:c r="K607" s="192" t="n">
        <x:v>8</x:v>
      </x:c>
      <x:c r="L607" s="192" t="n">
        <x:v>17</x:v>
      </x:c>
      <x:c r="M607" s="192" t="n">
        <x:v>4.9400000572</x:v>
      </x:c>
      <x:c r="N607" s="192" t="n">
        <x:v>320</x:v>
      </x:c>
      <x:c r="O607" s="192" t="n">
        <x:v>14</x:v>
      </x:c>
      <x:c r="P607" s="193" t="b">
        <x:v>0</x:v>
      </x:c>
      <x:c r="Q607" s="193" t="b">
        <x:v>0</x:v>
      </x:c>
      <x:c r="R607" s="193" t="b">
        <x:v>1</x:v>
      </x:c>
      <x:c r="S607" s="193" t="b">
        <x:v>1</x:v>
      </x:c>
      <x:c r="T607" s="192" t="n">
        <x:v>23</x:v>
      </x:c>
      <x:c r="U607" s="192" t="n">
        <x:v>67</x:v>
      </x:c>
      <x:c r="V607" s="200" t="n">
        <x:v>0.7444444444</x:v>
      </x:c>
      <x:c r="W607" s="203" t="n">
        <x:v>450</x:v>
      </x:c>
      <x:c r="X607" s="203" t="n">
        <x:v>30565.3908958305</x:v>
      </x:c>
      <x:c r="Y607" s="203" t="n">
        <x:v>79024.2710452617</x:v>
      </x:c>
      <x:c r="Z607" s="193" t="b">
        <x:v>1</x:v>
      </x:c>
      <x:c r="AA607" s="193" t="b">
        <x:v>0</x:v>
      </x:c>
      <x:c r="AB607" s="193" t="b">
        <x:v>1</x:v>
      </x:c>
      <x:c r="AC607" s="193" t="b">
        <x:v>1</x:v>
      </x:c>
      <x:c r="AD607" s="193" t="b">
        <x:v>1</x:v>
      </x:c>
      <x:c r="AE607" s="193" t="b">
        <x:v>1</x:v>
      </x:c>
      <x:c r="AF607" s="193" t="b">
        <x:v>1</x:v>
      </x:c>
      <x:c r="AG607" s="193" t="b">
        <x:v>1</x:v>
      </x:c>
      <x:c r="AH607" s="193" t="b">
        <x:v>1</x:v>
      </x:c>
      <x:c r="AI607" s="193" t="b">
        <x:v>1</x:v>
      </x:c>
      <x:c r="AJ607" s="193" t="b">
        <x:v>0</x:v>
      </x:c>
    </x:row>
    <x:row r="608">
      <x:c r="A608" s="192" t="n">
        <x:v>50561328</x:v>
      </x:c>
      <x:c r="B608" s="192" t="str">
        <x:v>https://www.airbnb.com.br/rooms/50561328</x:v>
      </x:c>
      <x:c r="C608" s="192" t="str">
        <x:v>"LINDOAPÊ SACADA VISTAMAR-MELHOR REGIAO MEIA PRAIA</x:v>
      </x:c>
      <x:c r="D608" s="192" t="str">
        <x:v>Meia Praia</x:v>
      </x:c>
      <x:c r="E608" s="192" t="n">
        <x:v>-27.12856</x:v>
      </x:c>
      <x:c r="F608" s="192" t="n">
        <x:v>-48.6008</x:v>
      </x:c>
      <x:c r="G608" s="192" t="str">
        <x:v>apartamento</x:v>
      </x:c>
      <x:c r="H608" s="192" t="n">
        <x:v>3</x:v>
      </x:c>
      <x:c r="I608" s="192" t="n">
        <x:v>2</x:v>
      </x:c>
      <x:c r="J608" s="192" t="n">
        <x:v>4</x:v>
      </x:c>
      <x:c r="K608" s="192" t="n">
        <x:v>7</x:v>
      </x:c>
      <x:c r="L608" s="192" t="n">
        <x:v>32</x:v>
      </x:c>
      <x:c r="M608" s="192" t="n">
        <x:v>4.7800002098</x:v>
      </x:c>
      <x:c r="N608" s="192" t="n">
        <x:v>200</x:v>
      </x:c>
      <x:c r="O608" s="192" t="n">
        <x:v>32</x:v>
      </x:c>
      <x:c r="P608" s="193" t="b">
        <x:v>0</x:v>
      </x:c>
      <x:c r="Q608" s="193" t="b">
        <x:v>0</x:v>
      </x:c>
      <x:c r="R608" s="193" t="b">
        <x:v>0</x:v>
      </x:c>
      <x:c r="S608" s="193" t="b">
        <x:v>1</x:v>
      </x:c>
      <x:c r="T608" s="192" t="n">
        <x:v>10</x:v>
      </x:c>
      <x:c r="U608" s="192" t="n">
        <x:v>80</x:v>
      </x:c>
      <x:c r="V608" s="200" t="n">
        <x:v>0.8888888889</x:v>
      </x:c>
      <x:c r="W608" s="203" t="n">
        <x:v>1400</x:v>
      </x:c>
      <x:c r="X608" s="203" t="n">
        <x:v>109335.0495144846</x:v>
      </x:c>
      <x:c r="Y608" s="203" t="n">
        <x:v>282676.6592655738</x:v>
      </x:c>
      <x:c r="Z608" s="193" t="b">
        <x:v>0</x:v>
      </x:c>
      <x:c r="AA608" s="193" t="b">
        <x:v>0</x:v>
      </x:c>
      <x:c r="AB608" s="193" t="b">
        <x:v>1</x:v>
      </x:c>
      <x:c r="AC608" s="193" t="b">
        <x:v>1</x:v>
      </x:c>
      <x:c r="AD608" s="193" t="b">
        <x:v>1</x:v>
      </x:c>
      <x:c r="AE608" s="193" t="b">
        <x:v>0</x:v>
      </x:c>
      <x:c r="AF608" s="193" t="b">
        <x:v>1</x:v>
      </x:c>
      <x:c r="AG608" s="193" t="b">
        <x:v>1</x:v>
      </x:c>
      <x:c r="AH608" s="193" t="b">
        <x:v>1</x:v>
      </x:c>
      <x:c r="AI608" s="193" t="b">
        <x:v>1</x:v>
      </x:c>
      <x:c r="AJ608" s="193" t="b">
        <x:v>1</x:v>
      </x:c>
    </x:row>
    <x:row r="609">
      <x:c r="A609" s="192" t="n">
        <x:v>53314692</x:v>
      </x:c>
      <x:c r="B609" s="192" t="str">
        <x:v>https://www.airbnb.com.br/rooms/53314692</x:v>
      </x:c>
      <x:c r="C609" s="192" t="str">
        <x:v>Cobertura  visão panorâmica de toda praia Itapema</x:v>
      </x:c>
      <x:c r="D609" s="192" t="str">
        <x:v>Centro</x:v>
      </x:c>
      <x:c r="E609" s="192" t="n">
        <x:v>-27.09766</x:v>
      </x:c>
      <x:c r="F609" s="192" t="n">
        <x:v>-48.61253</x:v>
      </x:c>
      <x:c r="G609" s="192" t="str">
        <x:v>apartamento</x:v>
      </x:c>
      <x:c r="H609" s="192" t="n">
        <x:v>1</x:v>
      </x:c>
      <x:c r="I609" s="192" t="n">
        <x:v>1</x:v>
      </x:c>
      <x:c r="J609" s="192" t="n">
        <x:v>1</x:v>
      </x:c>
      <x:c r="K609" s="192" t="n">
        <x:v>5</x:v>
      </x:c>
      <x:c r="L609" s="192" t="n">
        <x:v>19</x:v>
      </x:c>
      <x:c r="M609" s="192" t="n">
        <x:v>4.5799999237</x:v>
      </x:c>
      <x:c r="N609" s="192" t="n">
        <x:v>250</x:v>
      </x:c>
      <x:c r="O609" s="192" t="n">
        <x:v>86</x:v>
      </x:c>
      <x:c r="P609" s="193" t="b">
        <x:v>1</x:v>
      </x:c>
      <x:c r="Q609" s="193" t="b">
        <x:v>0</x:v>
      </x:c>
      <x:c r="R609" s="193" t="b">
        <x:v>0</x:v>
      </x:c>
      <x:c r="S609" s="193" t="b">
        <x:v>0</x:v>
      </x:c>
      <x:c r="T609" s="192" t="n">
        <x:v>53</x:v>
      </x:c>
      <x:c r="U609" s="192" t="n">
        <x:v>37</x:v>
      </x:c>
      <x:c r="V609" s="200" t="n">
        <x:v>0.4111111111</x:v>
      </x:c>
      <x:c r="W609" s="203" t="n">
        <x:v>780</x:v>
      </x:c>
      <x:c r="X609" s="203" t="n">
        <x:v>29979.3152013487</x:v>
      </x:c>
      <x:c r="Y609" s="203" t="n">
        <x:v>77509.0211768204</x:v>
      </x:c>
      <x:c r="Z609" s="193" t="b">
        <x:v>1</x:v>
      </x:c>
      <x:c r="AA609" s="193" t="b">
        <x:v>0</x:v>
      </x:c>
      <x:c r="AB609" s="193" t="b">
        <x:v>1</x:v>
      </x:c>
      <x:c r="AC609" s="193" t="b">
        <x:v>1</x:v>
      </x:c>
      <x:c r="AD609" s="193" t="b">
        <x:v>1</x:v>
      </x:c>
      <x:c r="AE609" s="193" t="b">
        <x:v>1</x:v>
      </x:c>
      <x:c r="AF609" s="193" t="b">
        <x:v>1</x:v>
      </x:c>
      <x:c r="AG609" s="193" t="b">
        <x:v>1</x:v>
      </x:c>
      <x:c r="AH609" s="193" t="b">
        <x:v>1</x:v>
      </x:c>
      <x:c r="AI609" s="193" t="b">
        <x:v>1</x:v>
      </x:c>
      <x:c r="AJ609" s="193" t="b">
        <x:v>1</x:v>
      </x:c>
    </x:row>
    <x:row r="610">
      <x:c r="A610" s="192" t="n">
        <x:v>797261187302810000</x:v>
      </x:c>
      <x:c r="B610" s="192" t="str">
        <x:v>https://www.airbnb.com.br/rooms/797261187302809924</x:v>
      </x:c>
      <x:c r="C610" s="192" t="str">
        <x:v>Apartamento em Itapema.</x:v>
      </x:c>
      <x:c r="D610" s="192" t="str">
        <x:v>Centro</x:v>
      </x:c>
      <x:c r="E610" s="192" t="n">
        <x:v>-27.0949993134</x:v>
      </x:c>
      <x:c r="F610" s="192" t="n">
        <x:v>-48.6129989624</x:v>
      </x:c>
      <x:c r="G610" s="192" t="str">
        <x:v>apartamento</x:v>
      </x:c>
      <x:c r="H610" s="192" t="n">
        <x:v>2</x:v>
      </x:c>
      <x:c r="I610" s="192" t="n">
        <x:v>2</x:v>
      </x:c>
      <x:c r="J610" s="192" t="n">
        <x:v>2</x:v>
      </x:c>
      <x:c r="K610" s="192" t="n">
        <x:v>5</x:v>
      </x:c>
      <x:c r="L610" s="192" t="n">
        <x:v>15</x:v>
      </x:c>
      <x:c r="M610" s="192" t="n">
        <x:v>5</x:v>
      </x:c>
      <x:c r="N610" s="192" t="n">
        <x:v>250</x:v>
      </x:c>
      <x:c r="O610" s="192" t="n">
        <x:v>41</x:v>
      </x:c>
      <x:c r="P610" s="193" t="b">
        <x:v>0</x:v>
      </x:c>
      <x:c r="Q610" s="193" t="b">
        <x:v>0</x:v>
      </x:c>
      <x:c r="R610" s="193" t="b">
        <x:v>1</x:v>
      </x:c>
      <x:c r="S610" s="193" t="b">
        <x:v>1</x:v>
      </x:c>
      <x:c r="T610" s="192" t="n">
        <x:v>68</x:v>
      </x:c>
      <x:c r="U610" s="192" t="n">
        <x:v>22</x:v>
      </x:c>
      <x:c r="V610" s="200" t="n">
        <x:v>0.2444444444</x:v>
      </x:c>
      <x:c r="W610" s="203" t="n">
        <x:v>500</x:v>
      </x:c>
      <x:c r="X610" s="203" t="n">
        <x:v>12049.0293727521</x:v>
      </x:c>
      <x:c r="Y610" s="203" t="n">
        <x:v>31151.7613574694</x:v>
      </x:c>
      <x:c r="Z610" s="193" t="b">
        <x:v>1</x:v>
      </x:c>
      <x:c r="AA610" s="193" t="b">
        <x:v>0</x:v>
      </x:c>
      <x:c r="AB610" s="193" t="b">
        <x:v>1</x:v>
      </x:c>
      <x:c r="AC610" s="193" t="b">
        <x:v>1</x:v>
      </x:c>
      <x:c r="AD610" s="193" t="b">
        <x:v>0</x:v>
      </x:c>
      <x:c r="AE610" s="193" t="b">
        <x:v>1</x:v>
      </x:c>
      <x:c r="AF610" s="193" t="b">
        <x:v>1</x:v>
      </x:c>
      <x:c r="AG610" s="193" t="b">
        <x:v>1</x:v>
      </x:c>
      <x:c r="AH610" s="193" t="b">
        <x:v>1</x:v>
      </x:c>
      <x:c r="AI610" s="193" t="b">
        <x:v>1</x:v>
      </x:c>
      <x:c r="AJ610" s="193" t="b">
        <x:v>0</x:v>
      </x:c>
    </x:row>
    <x:row r="611">
      <x:c r="A611" s="192" t="n">
        <x:v>53643568</x:v>
      </x:c>
      <x:c r="B611" s="192" t="str">
        <x:v>https://www.airbnb.com.br/rooms/53643568</x:v>
      </x:c>
      <x:c r="C611" s="192" t="str">
        <x:v>Uma Quadra e Meia do MAR - 3 Ar / Wi-Fi / SmartTV</x:v>
      </x:c>
      <x:c r="D611" s="192" t="str">
        <x:v>Meia Praia</x:v>
      </x:c>
      <x:c r="E611" s="192" t="n">
        <x:v>-27.13755</x:v>
      </x:c>
      <x:c r="F611" s="192" t="n">
        <x:v>-48.59968</x:v>
      </x:c>
      <x:c r="G611" s="192" t="str">
        <x:v>apartamento</x:v>
      </x:c>
      <x:c r="H611" s="192" t="n">
        <x:v>3</x:v>
      </x:c>
      <x:c r="I611" s="192" t="n">
        <x:v>2</x:v>
      </x:c>
      <x:c r="J611" s="192" t="n">
        <x:v>5</x:v>
      </x:c>
      <x:c r="K611" s="192" t="n">
        <x:v>7</x:v>
      </x:c>
      <x:c r="L611" s="192" t="n">
        <x:v>19</x:v>
      </x:c>
      <x:c r="M611" s="192" t="n">
        <x:v>5</x:v>
      </x:c>
      <x:c r="N611" s="192" t="n">
        <x:v>199</x:v>
      </x:c>
      <x:c r="O611" s="192" t="n">
        <x:v>52</x:v>
      </x:c>
      <x:c r="P611" s="193" t="b">
        <x:v>0</x:v>
      </x:c>
      <x:c r="Q611" s="193" t="b">
        <x:v>1</x:v>
      </x:c>
      <x:c r="R611" s="193" t="b">
        <x:v>1</x:v>
      </x:c>
      <x:c r="S611" s="193" t="b">
        <x:v>1</x:v>
      </x:c>
      <x:c r="T611" s="192" t="n">
        <x:v>17</x:v>
      </x:c>
      <x:c r="U611" s="192" t="n">
        <x:v>73</x:v>
      </x:c>
      <x:c r="V611" s="200" t="n">
        <x:v>0.8111111111</x:v>
      </x:c>
      <x:c r="W611" s="203" t="n">
        <x:v>700</x:v>
      </x:c>
      <x:c r="X611" s="203" t="n">
        <x:v>49581.6327797574</x:v>
      </x:c>
      <x:c r="Y611" s="203" t="n">
        <x:v>128189.1797493312</x:v>
      </x:c>
      <x:c r="Z611" s="193" t="b">
        <x:v>0</x:v>
      </x:c>
      <x:c r="AA611" s="193" t="b">
        <x:v>0</x:v>
      </x:c>
      <x:c r="AB611" s="193" t="b">
        <x:v>1</x:v>
      </x:c>
      <x:c r="AC611" s="193" t="b">
        <x:v>1</x:v>
      </x:c>
      <x:c r="AD611" s="193" t="b">
        <x:v>1</x:v>
      </x:c>
      <x:c r="AE611" s="193" t="b">
        <x:v>1</x:v>
      </x:c>
      <x:c r="AF611" s="193" t="b">
        <x:v>1</x:v>
      </x:c>
      <x:c r="AG611" s="193" t="b">
        <x:v>1</x:v>
      </x:c>
      <x:c r="AH611" s="193" t="b">
        <x:v>1</x:v>
      </x:c>
      <x:c r="AI611" s="193" t="b">
        <x:v>1</x:v>
      </x:c>
      <x:c r="AJ611" s="193" t="b">
        <x:v>1</x:v>
      </x:c>
    </x:row>
    <x:row r="612">
      <x:c r="A612" s="192" t="n">
        <x:v>1004910078575857500</x:v>
      </x:c>
      <x:c r="B612" s="192" t="str">
        <x:v>https://www.airbnb.com.br/rooms/1004910078575857573</x:v>
      </x:c>
      <x:c r="C612" s="192" t="str">
        <x:v>Sintam-se em casa com vista mar!</x:v>
      </x:c>
      <x:c r="D612" s="192" t="str">
        <x:v>Meia Praia</x:v>
      </x:c>
      <x:c r="E612" s="192" t="n">
        <x:v>-27.1219997406</x:v>
      </x:c>
      <x:c r="F612" s="192" t="n">
        <x:v>-48.6059989929</x:v>
      </x:c>
      <x:c r="G612" s="192" t="str">
        <x:v>apartamento</x:v>
      </x:c>
      <x:c r="H612" s="192" t="n">
        <x:v>3</x:v>
      </x:c>
      <x:c r="I612" s="192" t="n">
        <x:v>2</x:v>
      </x:c>
      <x:c r="J612" s="192" t="n">
        <x:v>5</x:v>
      </x:c>
      <x:c r="K612" s="192" t="n">
        <x:v>7</x:v>
      </x:c>
      <x:c r="L612" s="192" t="n">
        <x:v>12</x:v>
      </x:c>
      <x:c r="M612" s="192" t="n">
        <x:v>5</x:v>
      </x:c>
      <x:c r="N612" s="192" t="n">
        <x:v>300</x:v>
      </x:c>
      <x:c r="O612" s="192" t="n">
        <x:v>28</x:v>
      </x:c>
      <x:c r="P612" s="193" t="b">
        <x:v>0</x:v>
      </x:c>
      <x:c r="Q612" s="193" t="b">
        <x:v>0</x:v>
      </x:c>
      <x:c r="R612" s="193" t="b">
        <x:v>1</x:v>
      </x:c>
      <x:c r="S612" s="193" t="b">
        <x:v>1</x:v>
      </x:c>
      <x:c r="T612" s="192" t="n">
        <x:v>19</x:v>
      </x:c>
      <x:c r="U612" s="192" t="n">
        <x:v>71</x:v>
      </x:c>
      <x:c r="V612" s="200" t="n">
        <x:v>0.7888888889</x:v>
      </x:c>
      <x:c r="W612" s="203" t="n">
        <x:v>750</x:v>
      </x:c>
      <x:c r="X612" s="203" t="n">
        <x:v>53020.0568325754</x:v>
      </x:c>
      <x:c r="Y612" s="203" t="n">
        <x:v>137078.9386025543</x:v>
      </x:c>
      <x:c r="Z612" s="193" t="b">
        <x:v>0</x:v>
      </x:c>
      <x:c r="AA612" s="193" t="b">
        <x:v>0</x:v>
      </x:c>
      <x:c r="AB612" s="193" t="b">
        <x:v>1</x:v>
      </x:c>
      <x:c r="AC612" s="193" t="b">
        <x:v>1</x:v>
      </x:c>
      <x:c r="AD612" s="193" t="b">
        <x:v>1</x:v>
      </x:c>
      <x:c r="AE612" s="193" t="b">
        <x:v>1</x:v>
      </x:c>
      <x:c r="AF612" s="193" t="b">
        <x:v>1</x:v>
      </x:c>
      <x:c r="AG612" s="193" t="b">
        <x:v>1</x:v>
      </x:c>
      <x:c r="AH612" s="193" t="b">
        <x:v>1</x:v>
      </x:c>
      <x:c r="AI612" s="193" t="b">
        <x:v>1</x:v>
      </x:c>
      <x:c r="AJ612" s="193" t="b">
        <x:v>1</x:v>
      </x:c>
    </x:row>
    <x:row r="613">
      <x:c r="A613" s="192" t="n">
        <x:v>1053030252161966800</x:v>
      </x:c>
      <x:c r="B613" s="192" t="str">
        <x:v>https://www.airbnb.com.br/rooms/1053030252161966865</x:v>
      </x:c>
      <x:c r="C613" s="192" t="str">
        <x:v>Apartamento aconchegante</x:v>
      </x:c>
      <x:c r="D613" s="192" t="str">
        <x:v>Casa Branca</x:v>
      </x:c>
      <x:c r="E613" s="192" t="n">
        <x:v>-27.0924510956</x:v>
      </x:c>
      <x:c r="F613" s="192" t="n">
        <x:v>-48.6188583374</x:v>
      </x:c>
      <x:c r="G613" s="192" t="str">
        <x:v>apartamento</x:v>
      </x:c>
      <x:c r="H613" s="192" t="n">
        <x:v>2</x:v>
      </x:c>
      <x:c r="I613" s="192" t="n">
        <x:v>1</x:v>
      </x:c>
      <x:c r="J613" s="192" t="n">
        <x:v>2</x:v>
      </x:c>
      <x:c r="K613" s="192" t="n">
        <x:v>6</x:v>
      </x:c>
      <x:c r="L613" s="192" t="n">
        <x:v>5</x:v>
      </x:c>
      <x:c r="M613" s="192" t="n">
        <x:v>5</x:v>
      </x:c>
      <x:c r="N613" s="192" t="n">
        <x:v>80</x:v>
      </x:c>
      <x:c r="O613" s="192" t="n">
        <x:v>29</x:v>
      </x:c>
      <x:c r="P613" s="193" t="b">
        <x:v>0</x:v>
      </x:c>
      <x:c r="Q613" s="193" t="b">
        <x:v>0</x:v>
      </x:c>
      <x:c r="R613" s="193" t="b">
        <x:v>1</x:v>
      </x:c>
      <x:c r="S613" s="193" t="b">
        <x:v>0</x:v>
      </x:c>
      <x:c r="T613" s="192" t="n">
        <x:v>83</x:v>
      </x:c>
      <x:c r="U613" s="192" t="n">
        <x:v>7</x:v>
      </x:c>
      <x:c r="V613" s="200" t="n">
        <x:v>0.0777777778</x:v>
      </x:c>
      <x:c r="W613" s="203" t="n">
        <x:v>280</x:v>
      </x:c>
      <x:c r="X613" s="203" t="n">
        <x:v>1993.8320662495</x:v>
      </x:c>
      <x:c r="Y613" s="203" t="n">
        <x:v>5154.886654616</x:v>
      </x:c>
      <x:c r="Z613" s="193" t="b">
        <x:v>1</x:v>
      </x:c>
      <x:c r="AA613" s="193" t="b">
        <x:v>0</x:v>
      </x:c>
      <x:c r="AB613" s="193" t="b">
        <x:v>1</x:v>
      </x:c>
      <x:c r="AC613" s="193" t="b">
        <x:v>1</x:v>
      </x:c>
      <x:c r="AD613" s="193" t="b">
        <x:v>1</x:v>
      </x:c>
      <x:c r="AE613" s="193" t="b">
        <x:v>0</x:v>
      </x:c>
      <x:c r="AF613" s="193" t="b">
        <x:v>1</x:v>
      </x:c>
      <x:c r="AG613" s="193" t="b">
        <x:v>1</x:v>
      </x:c>
      <x:c r="AH613" s="193" t="b">
        <x:v>1</x:v>
      </x:c>
      <x:c r="AI613" s="193" t="b">
        <x:v>1</x:v>
      </x:c>
      <x:c r="AJ613" s="193" t="b">
        <x:v>1</x:v>
      </x:c>
    </x:row>
    <x:row r="614">
      <x:c r="A614" s="192" t="n">
        <x:v>3977675</x:v>
      </x:c>
      <x:c r="B614" s="192" t="str">
        <x:v>https://www.airbnb.com.br/rooms/3977675</x:v>
      </x:c>
      <x:c r="C614" s="192" t="str">
        <x:v>RP Estúdio Meia Praia ar wifi vaga coz. tv smart</x:v>
      </x:c>
      <x:c r="D614" s="192" t="str">
        <x:v>Meia Praia</x:v>
      </x:c>
      <x:c r="E614" s="192" t="n">
        <x:v>-27.14327</x:v>
      </x:c>
      <x:c r="F614" s="192" t="n">
        <x:v>-48.60145</x:v>
      </x:c>
      <x:c r="G614" s="192" t="str">
        <x:v>apartamento</x:v>
      </x:c>
      <x:c r="H614" s="192" t="n">
        <x:v>0</x:v>
      </x:c>
      <x:c r="I614" s="192" t="n">
        <x:v>1</x:v>
      </x:c>
      <x:c r="J614" s="192" t="n">
        <x:v>3</x:v>
      </x:c>
      <x:c r="K614" s="192" t="n">
        <x:v>5</x:v>
      </x:c>
      <x:c r="L614" s="192" t="n">
        <x:v>21</x:v>
      </x:c>
      <x:c r="M614" s="192" t="n">
        <x:v>4.6199998856</x:v>
      </x:c>
      <x:c r="N614" s="192" t="n">
        <x:v>50</x:v>
      </x:c>
      <x:c r="O614" s="192" t="n">
        <x:v>8</x:v>
      </x:c>
      <x:c r="P614" s="193" t="b">
        <x:v>0</x:v>
      </x:c>
      <x:c r="Q614" s="193" t="b">
        <x:v>0</x:v>
      </x:c>
      <x:c r="R614" s="193" t="b">
        <x:v>0</x:v>
      </x:c>
      <x:c r="S614" s="193" t="b">
        <x:v>0</x:v>
      </x:c>
      <x:c r="T614" s="192" t="n">
        <x:v>55</x:v>
      </x:c>
      <x:c r="U614" s="192" t="n">
        <x:v>35</x:v>
      </x:c>
      <x:c r="V614" s="200" t="n">
        <x:v>0.3888888889</x:v>
      </x:c>
      <x:c r="W614" s="203" t="n">
        <x:v>198</x:v>
      </x:c>
      <x:c r="X614" s="203" t="n">
        <x:v>6704.4663974036</x:v>
      </x:c>
      <x:c r="Y614" s="203" t="n">
        <x:v>17333.8391649538</x:v>
      </x:c>
      <x:c r="Z614" s="193" t="b">
        <x:v>1</x:v>
      </x:c>
      <x:c r="AA614" s="193" t="b">
        <x:v>0</x:v>
      </x:c>
      <x:c r="AB614" s="193" t="b">
        <x:v>1</x:v>
      </x:c>
      <x:c r="AC614" s="193" t="b">
        <x:v>1</x:v>
      </x:c>
      <x:c r="AD614" s="193" t="b">
        <x:v>0</x:v>
      </x:c>
      <x:c r="AE614" s="193" t="b">
        <x:v>0</x:v>
      </x:c>
      <x:c r="AF614" s="193" t="b">
        <x:v>0</x:v>
      </x:c>
      <x:c r="AG614" s="193" t="b">
        <x:v>1</x:v>
      </x:c>
      <x:c r="AH614" s="193" t="b">
        <x:v>1</x:v>
      </x:c>
      <x:c r="AI614" s="193" t="b">
        <x:v>1</x:v>
      </x:c>
      <x:c r="AJ614" s="193" t="b">
        <x:v>1</x:v>
      </x:c>
    </x:row>
    <x:row r="615">
      <x:c r="A615" s="192" t="n">
        <x:v>772261416620745100</x:v>
      </x:c>
      <x:c r="B615" s="192" t="str">
        <x:v>https://www.airbnb.com.br/rooms/772261416620745030</x:v>
      </x:c>
      <x:c r="C615" s="192" t="str">
        <x:v>Apartamento Lindo e confortável perto da praia !</x:v>
      </x:c>
      <x:c r="D615" s="192" t="str">
        <x:v>Meia Praia</x:v>
      </x:c>
      <x:c r="E615" s="192" t="n">
        <x:v>-27.1314907074</x:v>
      </x:c>
      <x:c r="F615" s="192" t="n">
        <x:v>-48.6008911133</x:v>
      </x:c>
      <x:c r="G615" s="192" t="str">
        <x:v>apartamento</x:v>
      </x:c>
      <x:c r="H615" s="192" t="n">
        <x:v>3</x:v>
      </x:c>
      <x:c r="I615" s="192" t="n">
        <x:v>3</x:v>
      </x:c>
      <x:c r="J615" s="192" t="n">
        <x:v>3</x:v>
      </x:c>
      <x:c r="K615" s="192" t="n">
        <x:v>6</x:v>
      </x:c>
      <x:c r="L615" s="192" t="n">
        <x:v>10</x:v>
      </x:c>
      <x:c r="M615" s="192" t="n">
        <x:v>5</x:v>
      </x:c>
      <x:c r="N615" s="192" t="n">
        <x:v>300</x:v>
      </x:c>
      <x:c r="O615" s="192" t="n">
        <x:v>19</x:v>
      </x:c>
      <x:c r="P615" s="193" t="b">
        <x:v>0</x:v>
      </x:c>
      <x:c r="Q615" s="193" t="b">
        <x:v>0</x:v>
      </x:c>
      <x:c r="R615" s="193" t="b">
        <x:v>1</x:v>
      </x:c>
      <x:c r="S615" s="193" t="b">
        <x:v>0</x:v>
      </x:c>
      <x:c r="T615" s="192" t="n">
        <x:v>74</x:v>
      </x:c>
      <x:c r="U615" s="192" t="n">
        <x:v>16</x:v>
      </x:c>
      <x:c r="V615" s="200" t="n">
        <x:v>0.1777777778</x:v>
      </x:c>
      <x:c r="W615" s="203" t="n">
        <x:v>825</x:v>
      </x:c>
      <x:c r="X615" s="203" t="n">
        <x:v>13285.386853974</x:v>
      </x:c>
      <x:c r="Y615" s="203" t="n">
        <x:v>34348.2605953787</x:v>
      </x:c>
      <x:c r="Z615" s="193" t="b">
        <x:v>1</x:v>
      </x:c>
      <x:c r="AA615" s="193" t="b">
        <x:v>0</x:v>
      </x:c>
      <x:c r="AB615" s="193" t="b">
        <x:v>1</x:v>
      </x:c>
      <x:c r="AC615" s="193" t="b">
        <x:v>1</x:v>
      </x:c>
      <x:c r="AD615" s="193" t="b">
        <x:v>1</x:v>
      </x:c>
      <x:c r="AE615" s="193" t="b">
        <x:v>0</x:v>
      </x:c>
      <x:c r="AF615" s="193" t="b">
        <x:v>1</x:v>
      </x:c>
      <x:c r="AG615" s="193" t="b">
        <x:v>1</x:v>
      </x:c>
      <x:c r="AH615" s="193" t="b">
        <x:v>1</x:v>
      </x:c>
      <x:c r="AI615" s="193" t="b">
        <x:v>1</x:v>
      </x:c>
      <x:c r="AJ615" s="193" t="b">
        <x:v>0</x:v>
      </x:c>
    </x:row>
    <x:row r="616">
      <x:c r="A616" s="192" t="n">
        <x:v>31560419</x:v>
      </x:c>
      <x:c r="B616" s="192" t="str">
        <x:v>https://www.airbnb.com.br/rooms/31560419</x:v>
      </x:c>
      <x:c r="C616" s="192" t="str">
        <x:v>Apto quadra do mar 90 mts praia central Itapema</x:v>
      </x:c>
      <x:c r="D616" s="192" t="str">
        <x:v>Centro</x:v>
      </x:c>
      <x:c r="E616" s="192" t="n">
        <x:v>-27.09713</x:v>
      </x:c>
      <x:c r="F616" s="192" t="n">
        <x:v>-48.61486</x:v>
      </x:c>
      <x:c r="G616" s="192" t="str">
        <x:v>apartamento</x:v>
      </x:c>
      <x:c r="H616" s="192" t="n">
        <x:v>2</x:v>
      </x:c>
      <x:c r="I616" s="192" t="n">
        <x:v>2</x:v>
      </x:c>
      <x:c r="J616" s="192" t="n">
        <x:v>4</x:v>
      </x:c>
      <x:c r="K616" s="192" t="n">
        <x:v>6</x:v>
      </x:c>
      <x:c r="L616" s="192" t="n">
        <x:v>16</x:v>
      </x:c>
      <x:c r="M616" s="192" t="n">
        <x:v>5</x:v>
      </x:c>
      <x:c r="N616" s="192" t="n">
        <x:v>220</x:v>
      </x:c>
      <x:c r="O616" s="192" t="n">
        <x:v>30</x:v>
      </x:c>
      <x:c r="P616" s="193" t="b">
        <x:v>1</x:v>
      </x:c>
      <x:c r="Q616" s="193" t="b">
        <x:v>0</x:v>
      </x:c>
      <x:c r="R616" s="193" t="b">
        <x:v>1</x:v>
      </x:c>
      <x:c r="S616" s="193" t="b">
        <x:v>0</x:v>
      </x:c>
      <x:c r="T616" s="192" t="n">
        <x:v>41</x:v>
      </x:c>
      <x:c r="U616" s="192" t="n">
        <x:v>49</x:v>
      </x:c>
      <x:c r="V616" s="200" t="n">
        <x:v>0.5444444444</x:v>
      </x:c>
      <x:c r="W616" s="203" t="n">
        <x:v>449</x:v>
      </x:c>
      <x:c r="X616" s="203" t="n">
        <x:v>22970.9271385026</x:v>
      </x:c>
      <x:c r="Y616" s="203" t="n">
        <x:v>59389.4178726703</x:v>
      </x:c>
      <x:c r="Z616" s="193" t="b">
        <x:v>0</x:v>
      </x:c>
      <x:c r="AA616" s="193" t="b">
        <x:v>0</x:v>
      </x:c>
      <x:c r="AB616" s="193" t="b">
        <x:v>1</x:v>
      </x:c>
      <x:c r="AC616" s="193" t="b">
        <x:v>1</x:v>
      </x:c>
      <x:c r="AD616" s="193" t="b">
        <x:v>1</x:v>
      </x:c>
      <x:c r="AE616" s="193" t="b">
        <x:v>1</x:v>
      </x:c>
      <x:c r="AF616" s="193" t="b">
        <x:v>0</x:v>
      </x:c>
      <x:c r="AG616" s="193" t="b">
        <x:v>1</x:v>
      </x:c>
      <x:c r="AH616" s="193" t="b">
        <x:v>1</x:v>
      </x:c>
      <x:c r="AI616" s="193" t="b">
        <x:v>1</x:v>
      </x:c>
      <x:c r="AJ616" s="193" t="b">
        <x:v>1</x:v>
      </x:c>
    </x:row>
    <x:row r="617">
      <x:c r="A617" s="192" t="n">
        <x:v>45889892</x:v>
      </x:c>
      <x:c r="B617" s="192" t="str">
        <x:v>https://www.airbnb.com.br/rooms/45889892</x:v>
      </x:c>
      <x:c r="C617" s="192" t="str">
        <x:v>Pequeno refúgio a 20m do mar, centro de Meia Praia</x:v>
      </x:c>
      <x:c r="D617" s="192" t="str">
        <x:v>Meia Praia</x:v>
      </x:c>
      <x:c r="E617" s="192" t="n">
        <x:v>-27.13125</x:v>
      </x:c>
      <x:c r="F617" s="192" t="n">
        <x:v>-48.59979</x:v>
      </x:c>
      <x:c r="G617" s="192" t="str">
        <x:v>apartamento</x:v>
      </x:c>
      <x:c r="H617" s="192" t="n">
        <x:v>2</x:v>
      </x:c>
      <x:c r="I617" s="192" t="n">
        <x:v>2</x:v>
      </x:c>
      <x:c r="J617" s="192" t="n">
        <x:v>4</x:v>
      </x:c>
      <x:c r="K617" s="192" t="n">
        <x:v>6</x:v>
      </x:c>
      <x:c r="L617" s="192" t="n">
        <x:v>58</x:v>
      </x:c>
      <x:c r="M617" s="192" t="n">
        <x:v>4.9800000191</x:v>
      </x:c>
      <x:c r="N617" s="192" t="n">
        <x:v>250</x:v>
      </x:c>
      <x:c r="O617" s="192" t="n">
        <x:v>12</x:v>
      </x:c>
      <x:c r="P617" s="193" t="b">
        <x:v>0</x:v>
      </x:c>
      <x:c r="Q617" s="193" t="b">
        <x:v>0</x:v>
      </x:c>
      <x:c r="R617" s="193" t="b">
        <x:v>1</x:v>
      </x:c>
      <x:c r="S617" s="193" t="b">
        <x:v>1</x:v>
      </x:c>
      <x:c r="T617" s="192" t="n">
        <x:v>58</x:v>
      </x:c>
      <x:c r="U617" s="192" t="n">
        <x:v>32</x:v>
      </x:c>
      <x:c r="V617" s="200" t="n">
        <x:v>0.3555555556</x:v>
      </x:c>
      <x:c r="W617" s="203" t="n">
        <x:v>595</x:v>
      </x:c>
      <x:c r="X617" s="203" t="n">
        <x:v>20142.1641671502</x:v>
      </x:c>
      <x:c r="Y617" s="203" t="n">
        <x:v>52075.8869404864</x:v>
      </x:c>
      <x:c r="Z617" s="193" t="b">
        <x:v>1</x:v>
      </x:c>
      <x:c r="AA617" s="193" t="b">
        <x:v>0</x:v>
      </x:c>
      <x:c r="AB617" s="193" t="b">
        <x:v>1</x:v>
      </x:c>
      <x:c r="AC617" s="193" t="b">
        <x:v>1</x:v>
      </x:c>
      <x:c r="AD617" s="193" t="b">
        <x:v>1</x:v>
      </x:c>
      <x:c r="AE617" s="193" t="b">
        <x:v>0</x:v>
      </x:c>
      <x:c r="AF617" s="193" t="b">
        <x:v>1</x:v>
      </x:c>
      <x:c r="AG617" s="193" t="b">
        <x:v>1</x:v>
      </x:c>
      <x:c r="AH617" s="193" t="b">
        <x:v>1</x:v>
      </x:c>
      <x:c r="AI617" s="193" t="b">
        <x:v>1</x:v>
      </x:c>
      <x:c r="AJ617" s="193" t="b">
        <x:v>1</x:v>
      </x:c>
    </x:row>
    <x:row r="618">
      <x:c r="A618" s="192" t="n">
        <x:v>15549803</x:v>
      </x:c>
      <x:c r="B618" s="192" t="str">
        <x:v>https://www.airbnb.com.br/rooms/15549803</x:v>
      </x:c>
      <x:c r="C618" s="192" t="str">
        <x:v>Apto de Frente Pro Mar - ITAPEMA - SC - Brasil</x:v>
      </x:c>
      <x:c r="D618" s="192" t="str">
        <x:v>Morretes</x:v>
      </x:c>
      <x:c r="E618" s="192" t="n">
        <x:v>-27.11511</x:v>
      </x:c>
      <x:c r="F618" s="192" t="n">
        <x:v>-48.60905</x:v>
      </x:c>
      <x:c r="G618" s="192" t="str">
        <x:v>apartamento</x:v>
      </x:c>
      <x:c r="H618" s="192" t="n">
        <x:v>4</x:v>
      </x:c>
      <x:c r="I618" s="192" t="n">
        <x:v>3</x:v>
      </x:c>
      <x:c r="J618" s="192" t="n">
        <x:v>6</x:v>
      </x:c>
      <x:c r="K618" s="192" t="n">
        <x:v>8</x:v>
      </x:c>
      <x:c r="L618" s="192" t="n">
        <x:v>82</x:v>
      </x:c>
      <x:c r="M618" s="192" t="n">
        <x:v>4.9299998283</x:v>
      </x:c>
      <x:c r="N618" s="192" t="n">
        <x:v>350</x:v>
      </x:c>
      <x:c r="O618" s="192" t="n">
        <x:v>53</x:v>
      </x:c>
      <x:c r="P618" s="193" t="b">
        <x:v>0</x:v>
      </x:c>
      <x:c r="Q618" s="193" t="b">
        <x:v>0</x:v>
      </x:c>
      <x:c r="R618" s="193" t="b">
        <x:v>1</x:v>
      </x:c>
      <x:c r="S618" s="193" t="b">
        <x:v>1</x:v>
      </x:c>
      <x:c r="T618" s="192" t="n">
        <x:v>41</x:v>
      </x:c>
      <x:c r="U618" s="192" t="n">
        <x:v>49</x:v>
      </x:c>
      <x:c r="V618" s="200" t="n">
        <x:v>0.5444444444</x:v>
      </x:c>
      <x:c r="W618" s="203" t="n">
        <x:v>590</x:v>
      </x:c>
      <x:c r="X618" s="203" t="n">
        <x:v>30009.8421758003</x:v>
      </x:c>
      <x:c r="Y618" s="203" t="n">
        <x:v>77587.9461253504</x:v>
      </x:c>
      <x:c r="Z618" s="193" t="b">
        <x:v>1</x:v>
      </x:c>
      <x:c r="AA618" s="193" t="b">
        <x:v>0</x:v>
      </x:c>
      <x:c r="AB618" s="193" t="b">
        <x:v>1</x:v>
      </x:c>
      <x:c r="AC618" s="193" t="b">
        <x:v>1</x:v>
      </x:c>
      <x:c r="AD618" s="193" t="b">
        <x:v>1</x:v>
      </x:c>
      <x:c r="AE618" s="193" t="b">
        <x:v>1</x:v>
      </x:c>
      <x:c r="AF618" s="193" t="b">
        <x:v>1</x:v>
      </x:c>
      <x:c r="AG618" s="193" t="b">
        <x:v>1</x:v>
      </x:c>
      <x:c r="AH618" s="193" t="b">
        <x:v>1</x:v>
      </x:c>
      <x:c r="AI618" s="193" t="b">
        <x:v>1</x:v>
      </x:c>
      <x:c r="AJ618" s="193" t="b">
        <x:v>1</x:v>
      </x:c>
    </x:row>
    <x:row r="619">
      <x:c r="A619" s="192" t="n">
        <x:v>39507664</x:v>
      </x:c>
      <x:c r="B619" s="192" t="str">
        <x:v>https://www.airbnb.com.br/rooms/39507664</x:v>
      </x:c>
      <x:c r="C619" s="192" t="str">
        <x:v>Meia praia itapema, 8 pessoas, 2 suítes, beira mar</x:v>
      </x:c>
      <x:c r="D619" s="192" t="str">
        <x:v>Meia Praia</x:v>
      </x:c>
      <x:c r="E619" s="192" t="n">
        <x:v>-27.12024</x:v>
      </x:c>
      <x:c r="F619" s="192" t="n">
        <x:v>-48.60706</x:v>
      </x:c>
      <x:c r="G619" s="192" t="str">
        <x:v>apartamento</x:v>
      </x:c>
      <x:c r="H619" s="192" t="n">
        <x:v>4</x:v>
      </x:c>
      <x:c r="I619" s="192" t="n">
        <x:v>3</x:v>
      </x:c>
      <x:c r="J619" s="192" t="n">
        <x:v>4</x:v>
      </x:c>
      <x:c r="K619" s="192" t="n">
        <x:v>8</x:v>
      </x:c>
      <x:c r="L619" s="192" t="n">
        <x:v>50</x:v>
      </x:c>
      <x:c r="M619" s="192" t="n">
        <x:v>4.8400001526</x:v>
      </x:c>
      <x:c r="N619" s="192" t="n">
        <x:v>275</x:v>
      </x:c>
      <x:c r="O619" s="192" t="n">
        <x:v>32</x:v>
      </x:c>
      <x:c r="P619" s="193" t="b">
        <x:v>0</x:v>
      </x:c>
      <x:c r="Q619" s="193" t="b">
        <x:v>0</x:v>
      </x:c>
      <x:c r="R619" s="193" t="b">
        <x:v>1</x:v>
      </x:c>
      <x:c r="S619" s="193" t="b">
        <x:v>1</x:v>
      </x:c>
      <x:c r="T619" s="192" t="n">
        <x:v>39</x:v>
      </x:c>
      <x:c r="U619" s="192" t="n">
        <x:v>51</x:v>
      </x:c>
      <x:c r="V619" s="200" t="n">
        <x:v>0.5666666667</x:v>
      </x:c>
      <x:c r="W619" s="203" t="n">
        <x:v>599</x:v>
      </x:c>
      <x:c r="X619" s="203" t="n">
        <x:v>31011.5041824319</x:v>
      </x:c>
      <x:c r="Y619" s="203" t="n">
        <x:v>80177.6597716624</x:v>
      </x:c>
      <x:c r="Z619" s="193" t="b">
        <x:v>1</x:v>
      </x:c>
      <x:c r="AA619" s="193" t="b">
        <x:v>0</x:v>
      </x:c>
      <x:c r="AB619" s="193" t="b">
        <x:v>1</x:v>
      </x:c>
      <x:c r="AC619" s="193" t="b">
        <x:v>1</x:v>
      </x:c>
      <x:c r="AD619" s="193" t="b">
        <x:v>1</x:v>
      </x:c>
      <x:c r="AE619" s="193" t="b">
        <x:v>1</x:v>
      </x:c>
      <x:c r="AF619" s="193" t="b">
        <x:v>1</x:v>
      </x:c>
      <x:c r="AG619" s="193" t="b">
        <x:v>1</x:v>
      </x:c>
      <x:c r="AH619" s="193" t="b">
        <x:v>1</x:v>
      </x:c>
      <x:c r="AI619" s="193" t="b">
        <x:v>1</x:v>
      </x:c>
      <x:c r="AJ619" s="193" t="b">
        <x:v>1</x:v>
      </x:c>
    </x:row>
    <x:row r="620">
      <x:c r="A620" s="192" t="n">
        <x:v>1056816282920055600</x:v>
      </x:c>
      <x:c r="B620" s="192" t="str">
        <x:v>https://www.airbnb.com.br/rooms/1056816282920055514</x:v>
      </x:c>
      <x:c r="C620" s="192" t="str">
        <x:v>(286) Confort</x:v>
      </x:c>
      <x:c r="D620" s="192" t="str">
        <x:v>Meia Praia</x:v>
      </x:c>
      <x:c r="E620" s="192" t="n">
        <x:v>-27.1369991302</x:v>
      </x:c>
      <x:c r="F620" s="192" t="n">
        <x:v>-48.6010017395</x:v>
      </x:c>
      <x:c r="G620" s="192" t="str">
        <x:v>apartamento</x:v>
      </x:c>
      <x:c r="H620" s="192" t="n">
        <x:v>3</x:v>
      </x:c>
      <x:c r="I620" s="192" t="n">
        <x:v>3</x:v>
      </x:c>
      <x:c r="J620" s="192" t="n">
        <x:v>3</x:v>
      </x:c>
      <x:c r="K620" s="192" t="n">
        <x:v>6</x:v>
      </x:c>
      <x:c r="L620" s="192" t="n">
        <x:v>15</x:v>
      </x:c>
      <x:c r="M620" s="192" t="n">
        <x:v>4.9299998283</x:v>
      </x:c>
      <x:c r="N620" s="192" t="n">
        <x:v>250</x:v>
      </x:c>
      <x:c r="O620" s="192" t="n">
        <x:v>35</x:v>
      </x:c>
      <x:c r="P620" s="193" t="b">
        <x:v>0</x:v>
      </x:c>
      <x:c r="Q620" s="193" t="b">
        <x:v>1</x:v>
      </x:c>
      <x:c r="R620" s="193" t="b">
        <x:v>1</x:v>
      </x:c>
      <x:c r="S620" s="193" t="b">
        <x:v>1</x:v>
      </x:c>
      <x:c r="T620" s="192" t="n">
        <x:v>43</x:v>
      </x:c>
      <x:c r="U620" s="192" t="n">
        <x:v>47</x:v>
      </x:c>
      <x:c r="V620" s="200" t="n">
        <x:v>0.5222222222</x:v>
      </x:c>
      <x:c r="W620" s="203" t="n">
        <x:v>540</x:v>
      </x:c>
      <x:c r="X620" s="203" t="n">
        <x:v>24661.5657603121</x:v>
      </x:c>
      <x:c r="Y620" s="203" t="n">
        <x:v>63760.423142807</x:v>
      </x:c>
      <x:c r="Z620" s="193" t="b">
        <x:v>1</x:v>
      </x:c>
      <x:c r="AA620" s="193" t="b">
        <x:v>0</x:v>
      </x:c>
      <x:c r="AB620" s="193" t="b">
        <x:v>1</x:v>
      </x:c>
      <x:c r="AC620" s="193" t="b">
        <x:v>1</x:v>
      </x:c>
      <x:c r="AD620" s="193" t="b">
        <x:v>0</x:v>
      </x:c>
      <x:c r="AE620" s="193" t="b">
        <x:v>0</x:v>
      </x:c>
      <x:c r="AF620" s="193" t="b">
        <x:v>0</x:v>
      </x:c>
      <x:c r="AG620" s="193" t="b">
        <x:v>1</x:v>
      </x:c>
      <x:c r="AH620" s="193" t="b">
        <x:v>1</x:v>
      </x:c>
      <x:c r="AI620" s="193" t="b">
        <x:v>1</x:v>
      </x:c>
      <x:c r="AJ620" s="193" t="b">
        <x:v>0</x:v>
      </x:c>
    </x:row>
    <x:row r="621">
      <x:c r="A621" s="192" t="n">
        <x:v>16618715</x:v>
      </x:c>
      <x:c r="B621" s="192" t="str">
        <x:v>https://www.airbnb.com.br/rooms/16618715</x:v>
      </x:c>
      <x:c r="C621" s="192" t="str">
        <x:v>Apartamento - Meia-praia - central e quadra do mar</x:v>
      </x:c>
      <x:c r="D621" s="192" t="str">
        <x:v>Meia Praia</x:v>
      </x:c>
      <x:c r="E621" s="192" t="n">
        <x:v>-27.131</x:v>
      </x:c>
      <x:c r="F621" s="192" t="n">
        <x:v>-48.599</x:v>
      </x:c>
      <x:c r="G621" s="192" t="str">
        <x:v>apartamento</x:v>
      </x:c>
      <x:c r="H621" s="192" t="n">
        <x:v>3</x:v>
      </x:c>
      <x:c r="I621" s="192" t="n">
        <x:v>2</x:v>
      </x:c>
      <x:c r="J621" s="192" t="n">
        <x:v>3</x:v>
      </x:c>
      <x:c r="K621" s="192" t="n">
        <x:v>8</x:v>
      </x:c>
      <x:c r="L621" s="192" t="n">
        <x:v>59</x:v>
      </x:c>
      <x:c r="M621" s="192" t="n">
        <x:v>4.9200000763</x:v>
      </x:c>
      <x:c r="N621" s="192" t="n">
        <x:v>189</x:v>
      </x:c>
      <x:c r="O621" s="192" t="n">
        <x:v>15</x:v>
      </x:c>
      <x:c r="P621" s="193" t="b">
        <x:v>0</x:v>
      </x:c>
      <x:c r="Q621" s="193" t="b">
        <x:v>0</x:v>
      </x:c>
      <x:c r="R621" s="193" t="b">
        <x:v>1</x:v>
      </x:c>
      <x:c r="S621" s="193" t="b">
        <x:v>1</x:v>
      </x:c>
      <x:c r="T621" s="192" t="n">
        <x:v>67</x:v>
      </x:c>
      <x:c r="U621" s="192" t="n">
        <x:v>23</x:v>
      </x:c>
      <x:c r="V621" s="200" t="n">
        <x:v>0.2555555556</x:v>
      </x:c>
      <x:c r="W621" s="203" t="n">
        <x:v>715.125</x:v>
      </x:c>
      <x:c r="X621" s="203" t="n">
        <x:v>16345.1817313652</x:v>
      </x:c>
      <x:c r="Y621" s="203" t="n">
        <x:v>42259.1052679671</x:v>
      </x:c>
      <x:c r="Z621" s="193" t="b">
        <x:v>1</x:v>
      </x:c>
      <x:c r="AA621" s="193" t="b">
        <x:v>0</x:v>
      </x:c>
      <x:c r="AB621" s="193" t="b">
        <x:v>1</x:v>
      </x:c>
      <x:c r="AC621" s="193" t="b">
        <x:v>1</x:v>
      </x:c>
      <x:c r="AD621" s="193" t="b">
        <x:v>1</x:v>
      </x:c>
      <x:c r="AE621" s="193" t="b">
        <x:v>1</x:v>
      </x:c>
      <x:c r="AF621" s="193" t="b">
        <x:v>1</x:v>
      </x:c>
      <x:c r="AG621" s="193" t="b">
        <x:v>1</x:v>
      </x:c>
      <x:c r="AH621" s="193" t="b">
        <x:v>1</x:v>
      </x:c>
      <x:c r="AI621" s="193" t="b">
        <x:v>1</x:v>
      </x:c>
      <x:c r="AJ621" s="193" t="b">
        <x:v>1</x:v>
      </x:c>
    </x:row>
    <x:row r="622">
      <x:c r="A622" s="192" t="n">
        <x:v>20555680</x:v>
      </x:c>
      <x:c r="B622" s="192" t="str">
        <x:v>https://www.airbnb.com.br/rooms/20555680</x:v>
      </x:c>
      <x:c r="C622" s="192" t="str">
        <x:v>Lindo apartamento a 50m da praia</x:v>
      </x:c>
      <x:c r="D622" s="192" t="str">
        <x:v>Centro</x:v>
      </x:c>
      <x:c r="E622" s="192" t="n">
        <x:v>-27.1038</x:v>
      </x:c>
      <x:c r="F622" s="192" t="n">
        <x:v>-48.61318</x:v>
      </x:c>
      <x:c r="G622" s="192" t="str">
        <x:v>apartamento</x:v>
      </x:c>
      <x:c r="H622" s="192" t="n">
        <x:v>1</x:v>
      </x:c>
      <x:c r="I622" s="192" t="n">
        <x:v>1</x:v>
      </x:c>
      <x:c r="J622" s="192" t="n">
        <x:v>1</x:v>
      </x:c>
      <x:c r="K622" s="192" t="n">
        <x:v>4</x:v>
      </x:c>
      <x:c r="L622" s="192" t="n">
        <x:v>12</x:v>
      </x:c>
      <x:c r="M622" s="192" t="n">
        <x:v>4.8299999237</x:v>
      </x:c>
      <x:c r="N622" s="192" t="n">
        <x:v>150</x:v>
      </x:c>
      <x:c r="O622" s="192" t="n">
        <x:v>18</x:v>
      </x:c>
      <x:c r="P622" s="193" t="b">
        <x:v>0</x:v>
      </x:c>
      <x:c r="Q622" s="193" t="b">
        <x:v>0</x:v>
      </x:c>
      <x:c r="R622" s="193" t="b">
        <x:v>0</x:v>
      </x:c>
      <x:c r="S622" s="193" t="b">
        <x:v>0</x:v>
      </x:c>
      <x:c r="T622" s="192" t="n">
        <x:v>19</x:v>
      </x:c>
      <x:c r="U622" s="192" t="n">
        <x:v>71</x:v>
      </x:c>
      <x:c r="V622" s="200" t="n">
        <x:v>0.7888888889</x:v>
      </x:c>
      <x:c r="W622" s="203" t="n">
        <x:v>200</x:v>
      </x:c>
      <x:c r="X622" s="203" t="n">
        <x:v>14433.5716715432</x:v>
      </x:c>
      <x:c r="Y622" s="203" t="n">
        <x:v>37316.7967591356</x:v>
      </x:c>
      <x:c r="Z622" s="193" t="b">
        <x:v>0</x:v>
      </x:c>
      <x:c r="AA622" s="193" t="b">
        <x:v>0</x:v>
      </x:c>
      <x:c r="AB622" s="193" t="b">
        <x:v>1</x:v>
      </x:c>
      <x:c r="AC622" s="193" t="b">
        <x:v>1</x:v>
      </x:c>
      <x:c r="AD622" s="193" t="b">
        <x:v>0</x:v>
      </x:c>
      <x:c r="AE622" s="193" t="b">
        <x:v>0</x:v>
      </x:c>
      <x:c r="AF622" s="193" t="b">
        <x:v>1</x:v>
      </x:c>
      <x:c r="AG622" s="193" t="b">
        <x:v>1</x:v>
      </x:c>
      <x:c r="AH622" s="193" t="b">
        <x:v>1</x:v>
      </x:c>
      <x:c r="AI622" s="193" t="b">
        <x:v>1</x:v>
      </x:c>
      <x:c r="AJ622" s="193" t="b">
        <x:v>1</x:v>
      </x:c>
    </x:row>
    <x:row r="623">
      <x:c r="A623" s="192" t="n">
        <x:v>1977915</x:v>
      </x:c>
      <x:c r="B623" s="192" t="str">
        <x:v>https://www.airbnb.com.br/rooms/1977915</x:v>
      </x:c>
      <x:c r="C623" s="192" t="str">
        <x:v>Conforto em frente ao mar!</x:v>
      </x:c>
      <x:c r="D623" s="192" t="str">
        <x:v>Meia Praia</x:v>
      </x:c>
      <x:c r="E623" s="192" t="n">
        <x:v>-27.13283</x:v>
      </x:c>
      <x:c r="F623" s="192" t="n">
        <x:v>-48.59872</x:v>
      </x:c>
      <x:c r="G623" s="192" t="str">
        <x:v>apartamento</x:v>
      </x:c>
      <x:c r="H623" s="192" t="n">
        <x:v>3</x:v>
      </x:c>
      <x:c r="I623" s="192" t="n">
        <x:v>2</x:v>
      </x:c>
      <x:c r="J623" s="192" t="n">
        <x:v>3</x:v>
      </x:c>
      <x:c r="K623" s="192" t="n">
        <x:v>6</x:v>
      </x:c>
      <x:c r="L623" s="192" t="n">
        <x:v>42</x:v>
      </x:c>
      <x:c r="M623" s="192" t="n">
        <x:v>4.8800001144</x:v>
      </x:c>
      <x:c r="N623" s="192" t="n">
        <x:v>240</x:v>
      </x:c>
      <x:c r="O623" s="192" t="n">
        <x:v>42</x:v>
      </x:c>
      <x:c r="P623" s="193" t="b">
        <x:v>0</x:v>
      </x:c>
      <x:c r="Q623" s="193" t="b">
        <x:v>0</x:v>
      </x:c>
      <x:c r="R623" s="193" t="b">
        <x:v>1</x:v>
      </x:c>
      <x:c r="S623" s="193" t="b">
        <x:v>1</x:v>
      </x:c>
      <x:c r="T623" s="192" t="n">
        <x:v>52</x:v>
      </x:c>
      <x:c r="U623" s="192" t="n">
        <x:v>38</x:v>
      </x:c>
      <x:c r="V623" s="200" t="n">
        <x:v>0.4222222222</x:v>
      </x:c>
      <x:c r="W623" s="203" t="n">
        <x:v>750</x:v>
      </x:c>
      <x:c r="X623" s="203" t="n">
        <x:v>28746.8937772202</x:v>
      </x:c>
      <x:c r="Y623" s="203" t="n">
        <x:v>74322.6982865215</x:v>
      </x:c>
      <x:c r="Z623" s="193" t="b">
        <x:v>0</x:v>
      </x:c>
      <x:c r="AA623" s="193" t="b">
        <x:v>0</x:v>
      </x:c>
      <x:c r="AB623" s="193" t="b">
        <x:v>1</x:v>
      </x:c>
      <x:c r="AC623" s="193" t="b">
        <x:v>1</x:v>
      </x:c>
      <x:c r="AD623" s="193" t="b">
        <x:v>1</x:v>
      </x:c>
      <x:c r="AE623" s="193" t="b">
        <x:v>1</x:v>
      </x:c>
      <x:c r="AF623" s="193" t="b">
        <x:v>1</x:v>
      </x:c>
      <x:c r="AG623" s="193" t="b">
        <x:v>1</x:v>
      </x:c>
      <x:c r="AH623" s="193" t="b">
        <x:v>1</x:v>
      </x:c>
      <x:c r="AI623" s="193" t="b">
        <x:v>1</x:v>
      </x:c>
      <x:c r="AJ623" s="193" t="b">
        <x:v>1</x:v>
      </x:c>
    </x:row>
    <x:row r="624">
      <x:c r="A624" s="192" t="n">
        <x:v>45687710</x:v>
      </x:c>
      <x:c r="B624" s="192" t="str">
        <x:v>https://www.airbnb.com.br/rooms/45687710</x:v>
      </x:c>
      <x:c r="C624" s="192" t="str">
        <x:v>Apto quadra mar 30 m da orla</x:v>
      </x:c>
      <x:c r="D624" s="192" t="str">
        <x:v>Meia Praia</x:v>
      </x:c>
      <x:c r="E624" s="192" t="n">
        <x:v>-27.1438694</x:v>
      </x:c>
      <x:c r="F624" s="192" t="n">
        <x:v>-48.5882911682</x:v>
      </x:c>
      <x:c r="G624" s="192" t="str">
        <x:v>apartamento</x:v>
      </x:c>
      <x:c r="H624" s="192" t="n">
        <x:v>2</x:v>
      </x:c>
      <x:c r="I624" s="192" t="n">
        <x:v>1</x:v>
      </x:c>
      <x:c r="J624" s="192" t="n">
        <x:v>5</x:v>
      </x:c>
      <x:c r="K624" s="192" t="n">
        <x:v>6</x:v>
      </x:c>
      <x:c r="L624" s="192" t="n">
        <x:v>11</x:v>
      </x:c>
      <x:c r="M624" s="192" t="n">
        <x:v>4.9099998474</x:v>
      </x:c>
      <x:c r="N624" s="192" t="n">
        <x:v>130</x:v>
      </x:c>
      <x:c r="O624" s="192" t="n">
        <x:v>12</x:v>
      </x:c>
      <x:c r="P624" s="193" t="b">
        <x:v>0</x:v>
      </x:c>
      <x:c r="Q624" s="193" t="b">
        <x:v>0</x:v>
      </x:c>
      <x:c r="R624" s="193" t="b">
        <x:v>1</x:v>
      </x:c>
      <x:c r="S624" s="193" t="b">
        <x:v>0</x:v>
      </x:c>
      <x:c r="T624" s="192" t="n">
        <x:v>79</x:v>
      </x:c>
      <x:c r="U624" s="192" t="n">
        <x:v>11</x:v>
      </x:c>
      <x:c r="V624" s="200" t="n">
        <x:v>0.1222222222</x:v>
      </x:c>
      <x:c r="W624" s="203" t="n">
        <x:v>350</x:v>
      </x:c>
      <x:c r="X624" s="203" t="n">
        <x:v>3902.021646409</x:v>
      </x:c>
      <x:c r="Y624" s="203" t="n">
        <x:v>10088.3517983199</x:v>
      </x:c>
      <x:c r="Z624" s="193" t="b">
        <x:v>1</x:v>
      </x:c>
      <x:c r="AA624" s="193" t="b">
        <x:v>0</x:v>
      </x:c>
      <x:c r="AB624" s="193" t="b">
        <x:v>1</x:v>
      </x:c>
      <x:c r="AC624" s="193" t="b">
        <x:v>1</x:v>
      </x:c>
      <x:c r="AD624" s="193" t="b">
        <x:v>0</x:v>
      </x:c>
      <x:c r="AE624" s="193" t="b">
        <x:v>0</x:v>
      </x:c>
      <x:c r="AF624" s="193" t="b">
        <x:v>1</x:v>
      </x:c>
      <x:c r="AG624" s="193" t="b">
        <x:v>1</x:v>
      </x:c>
      <x:c r="AH624" s="193" t="b">
        <x:v>1</x:v>
      </x:c>
      <x:c r="AI624" s="193" t="b">
        <x:v>1</x:v>
      </x:c>
      <x:c r="AJ624" s="193" t="b">
        <x:v>0</x:v>
      </x:c>
    </x:row>
    <x:row r="625">
      <x:c r="A625" s="192" t="n">
        <x:v>21552865</x:v>
      </x:c>
      <x:c r="B625" s="192" t="str">
        <x:v>https://www.airbnb.com.br/rooms/21552865</x:v>
      </x:c>
      <x:c r="C625" s="192" t="str">
        <x:v>Na Meia Praia, 250 metros do mar</x:v>
      </x:c>
      <x:c r="D625" s="192" t="str">
        <x:v>Meia Praia</x:v>
      </x:c>
      <x:c r="E625" s="192" t="n">
        <x:v>-27.13115</x:v>
      </x:c>
      <x:c r="F625" s="192" t="n">
        <x:v>-48.60259</x:v>
      </x:c>
      <x:c r="G625" s="192" t="str">
        <x:v>apartamento</x:v>
      </x:c>
      <x:c r="H625" s="192" t="n">
        <x:v>2</x:v>
      </x:c>
      <x:c r="I625" s="192" t="n">
        <x:v>2</x:v>
      </x:c>
      <x:c r="J625" s="192" t="n">
        <x:v>2</x:v>
      </x:c>
      <x:c r="K625" s="192" t="n">
        <x:v>6</x:v>
      </x:c>
      <x:c r="L625" s="192" t="n">
        <x:v>49</x:v>
      </x:c>
      <x:c r="M625" s="192" t="n">
        <x:v>4.9600000381</x:v>
      </x:c>
      <x:c r="N625" s="192" t="n">
        <x:v>200</x:v>
      </x:c>
      <x:c r="O625" s="192" t="n">
        <x:v>36</x:v>
      </x:c>
      <x:c r="P625" s="193" t="b">
        <x:v>1</x:v>
      </x:c>
      <x:c r="Q625" s="193" t="b">
        <x:v>0</x:v>
      </x:c>
      <x:c r="R625" s="193" t="b">
        <x:v>1</x:v>
      </x:c>
      <x:c r="S625" s="193" t="b">
        <x:v>1</x:v>
      </x:c>
      <x:c r="T625" s="192" t="n">
        <x:v>27</x:v>
      </x:c>
      <x:c r="U625" s="192" t="n">
        <x:v>63</x:v>
      </x:c>
      <x:c r="V625" s="200" t="n">
        <x:v>0.7</x:v>
      </x:c>
      <x:c r="W625" s="203" t="n">
        <x:v>650</x:v>
      </x:c>
      <x:c r="X625" s="203" t="n">
        <x:v>39422.9796170526</x:v>
      </x:c>
      <x:c r="Y625" s="203" t="n">
        <x:v>101924.828551588</x:v>
      </x:c>
      <x:c r="Z625" s="193" t="b">
        <x:v>0</x:v>
      </x:c>
      <x:c r="AA625" s="193" t="b">
        <x:v>0</x:v>
      </x:c>
      <x:c r="AB625" s="193" t="b">
        <x:v>1</x:v>
      </x:c>
      <x:c r="AC625" s="193" t="b">
        <x:v>1</x:v>
      </x:c>
      <x:c r="AD625" s="193" t="b">
        <x:v>1</x:v>
      </x:c>
      <x:c r="AE625" s="193" t="b">
        <x:v>0</x:v>
      </x:c>
      <x:c r="AF625" s="193" t="b">
        <x:v>1</x:v>
      </x:c>
      <x:c r="AG625" s="193" t="b">
        <x:v>1</x:v>
      </x:c>
      <x:c r="AH625" s="193" t="b">
        <x:v>1</x:v>
      </x:c>
      <x:c r="AI625" s="193" t="b">
        <x:v>1</x:v>
      </x:c>
      <x:c r="AJ625" s="193" t="b">
        <x:v>1</x:v>
      </x:c>
    </x:row>
    <x:row r="626">
      <x:c r="A626" s="192" t="n">
        <x:v>26570136</x:v>
      </x:c>
      <x:c r="B626" s="192" t="str">
        <x:v>https://www.airbnb.com.br/rooms/26570136</x:v>
      </x:c>
      <x:c r="C626" s="192" t="str">
        <x:v>Apartamento vista mar com 3 quartos</x:v>
      </x:c>
      <x:c r="D626" s="192" t="str">
        <x:v>Meia Praia</x:v>
      </x:c>
      <x:c r="E626" s="192" t="n">
        <x:v>-27.13654</x:v>
      </x:c>
      <x:c r="F626" s="192" t="n">
        <x:v>-48.59565</x:v>
      </x:c>
      <x:c r="G626" s="192" t="str">
        <x:v>apartamento</x:v>
      </x:c>
      <x:c r="H626" s="192" t="n">
        <x:v>3</x:v>
      </x:c>
      <x:c r="I626" s="192" t="n">
        <x:v>2</x:v>
      </x:c>
      <x:c r="J626" s="192" t="n">
        <x:v>3</x:v>
      </x:c>
      <x:c r="K626" s="192" t="n">
        <x:v>8</x:v>
      </x:c>
      <x:c r="L626" s="192" t="n">
        <x:v>22</x:v>
      </x:c>
      <x:c r="M626" s="192" t="n">
        <x:v>4.8600001335</x:v>
      </x:c>
      <x:c r="N626" s="192" t="n">
        <x:v>370</x:v>
      </x:c>
      <x:c r="O626" s="192" t="n">
        <x:v>15</x:v>
      </x:c>
      <x:c r="P626" s="193" t="b">
        <x:v>0</x:v>
      </x:c>
      <x:c r="Q626" s="193" t="b">
        <x:v>0</x:v>
      </x:c>
      <x:c r="R626" s="193" t="b">
        <x:v>0</x:v>
      </x:c>
      <x:c r="S626" s="193" t="b">
        <x:v>0</x:v>
      </x:c>
      <x:c r="T626" s="192" t="n">
        <x:v>63</x:v>
      </x:c>
      <x:c r="U626" s="192" t="n">
        <x:v>27</x:v>
      </x:c>
      <x:c r="V626" s="200" t="n">
        <x:v>0.3</x:v>
      </x:c>
      <x:c r="W626" s="203" t="n">
        <x:v>533.3333</x:v>
      </x:c>
      <x:c r="X626" s="203" t="n">
        <x:v>14309.9482524914</x:v>
      </x:c>
      <x:c r="Y626" s="203" t="n">
        <x:v>36997.1787111288</x:v>
      </x:c>
      <x:c r="Z626" s="193" t="b">
        <x:v>1</x:v>
      </x:c>
      <x:c r="AA626" s="193" t="b">
        <x:v>0</x:v>
      </x:c>
      <x:c r="AB626" s="193" t="b">
        <x:v>1</x:v>
      </x:c>
      <x:c r="AC626" s="193" t="b">
        <x:v>1</x:v>
      </x:c>
      <x:c r="AD626" s="193" t="b">
        <x:v>1</x:v>
      </x:c>
      <x:c r="AE626" s="193" t="b">
        <x:v>1</x:v>
      </x:c>
      <x:c r="AF626" s="193" t="b">
        <x:v>1</x:v>
      </x:c>
      <x:c r="AG626" s="193" t="b">
        <x:v>1</x:v>
      </x:c>
      <x:c r="AH626" s="193" t="b">
        <x:v>1</x:v>
      </x:c>
      <x:c r="AI626" s="193" t="b">
        <x:v>1</x:v>
      </x:c>
      <x:c r="AJ626" s="193" t="b">
        <x:v>1</x:v>
      </x:c>
    </x:row>
    <x:row r="627">
      <x:c r="A627" s="192" t="n">
        <x:v>1269636598524749000</x:v>
      </x:c>
      <x:c r="B627" s="192" t="str">
        <x:v>https://www.airbnb.com.br/rooms/1269636598524749154</x:v>
      </x:c>
      <x:c r="C627" s="192" t="str">
        <x:v>Moderno Studio vista mar 280m da praia MHFB0605</x:v>
      </x:c>
      <x:c r="D627" s="192" t="str">
        <x:v>Centro</x:v>
      </x:c>
      <x:c r="E627" s="192" t="n">
        <x:v>-27.0936893</x:v>
      </x:c>
      <x:c r="F627" s="192" t="n">
        <x:v>-48.6131638</x:v>
      </x:c>
      <x:c r="G627" s="192" t="str">
        <x:v>apartamento</x:v>
      </x:c>
      <x:c r="H627" s="192" t="n">
        <x:v>1</x:v>
      </x:c>
      <x:c r="I627" s="192" t="n">
        <x:v>1</x:v>
      </x:c>
      <x:c r="J627" s="192" t="n">
        <x:v>1</x:v>
      </x:c>
      <x:c r="K627" s="192" t="n">
        <x:v>3</x:v>
      </x:c>
      <x:c r="L627" s="192" t="n">
        <x:v>9</x:v>
      </x:c>
      <x:c r="M627" s="192" t="n">
        <x:v>4.2199997902</x:v>
      </x:c>
      <x:c r="N627" s="192" t="n">
        <x:v>190</x:v>
      </x:c>
      <x:c r="O627" s="192" t="n">
        <x:v>0</x:v>
      </x:c>
      <x:c r="P627" s="193" t="b">
        <x:v>1</x:v>
      </x:c>
      <x:c r="Q627" s="193" t="b">
        <x:v>1</x:v>
      </x:c>
      <x:c r="R627" s="193" t="b">
        <x:v>0</x:v>
      </x:c>
      <x:c r="S627" s="193" t="b">
        <x:v>0</x:v>
      </x:c>
      <x:c r="T627" s="192" t="n">
        <x:v>63</x:v>
      </x:c>
      <x:c r="U627" s="192" t="n">
        <x:v>27</x:v>
      </x:c>
      <x:c r="V627" s="200" t="n">
        <x:v>0.3</x:v>
      </x:c>
      <x:c r="W627" s="203" t="n">
        <x:v>372</x:v>
      </x:c>
      <x:c r="X627" s="203" t="n">
        <x:v>10000.3014387638</x:v>
      </x:c>
      <x:c r="Y627" s="203" t="n">
        <x:v>25854.9460114705</x:v>
      </x:c>
      <x:c r="Z627" s="193" t="b">
        <x:v>1</x:v>
      </x:c>
      <x:c r="AA627" s="193" t="b">
        <x:v>1</x:v>
      </x:c>
      <x:c r="AB627" s="193" t="b">
        <x:v>1</x:v>
      </x:c>
      <x:c r="AC627" s="193" t="b">
        <x:v>1</x:v>
      </x:c>
      <x:c r="AD627" s="193" t="b">
        <x:v>1</x:v>
      </x:c>
      <x:c r="AE627" s="193" t="b">
        <x:v>0</x:v>
      </x:c>
      <x:c r="AF627" s="193" t="b">
        <x:v>1</x:v>
      </x:c>
      <x:c r="AG627" s="193" t="b">
        <x:v>1</x:v>
      </x:c>
      <x:c r="AH627" s="193" t="b">
        <x:v>1</x:v>
      </x:c>
      <x:c r="AI627" s="193" t="b">
        <x:v>1</x:v>
      </x:c>
      <x:c r="AJ627" s="193" t="b">
        <x:v>0</x:v>
      </x:c>
    </x:row>
    <x:row r="628">
      <x:c r="A628" s="192" t="n">
        <x:v>8287843</x:v>
      </x:c>
      <x:c r="B628" s="192" t="str">
        <x:v>https://www.airbnb.com.br/rooms/8287843</x:v>
      </x:c>
      <x:c r="C628" s="192" t="str">
        <x:v>Apartamento Lateral Mar (Ar condicionado e Wi-Fi)</x:v>
      </x:c>
      <x:c r="D628" s="192" t="str">
        <x:v>Meia Praia</x:v>
      </x:c>
      <x:c r="E628" s="192" t="n">
        <x:v>-27.13834</x:v>
      </x:c>
      <x:c r="F628" s="192" t="n">
        <x:v>-48.59205</x:v>
      </x:c>
      <x:c r="G628" s="192" t="str">
        <x:v>apartamento</x:v>
      </x:c>
      <x:c r="H628" s="192" t="n">
        <x:v>2</x:v>
      </x:c>
      <x:c r="I628" s="192" t="n">
        <x:v>2</x:v>
      </x:c>
      <x:c r="J628" s="192" t="n">
        <x:v>2</x:v>
      </x:c>
      <x:c r="K628" s="192" t="n">
        <x:v>6</x:v>
      </x:c>
      <x:c r="L628" s="192" t="n">
        <x:v>42</x:v>
      </x:c>
      <x:c r="M628" s="192" t="n">
        <x:v>4.8800001144</x:v>
      </x:c>
      <x:c r="N628" s="192" t="n">
        <x:v>270</x:v>
      </x:c>
      <x:c r="O628" s="192" t="n">
        <x:v>16</x:v>
      </x:c>
      <x:c r="P628" s="193" t="b">
        <x:v>1</x:v>
      </x:c>
      <x:c r="Q628" s="193" t="b">
        <x:v>0</x:v>
      </x:c>
      <x:c r="R628" s="193" t="b">
        <x:v>1</x:v>
      </x:c>
      <x:c r="S628" s="193" t="b">
        <x:v>0</x:v>
      </x:c>
      <x:c r="T628" s="192" t="n">
        <x:v>67</x:v>
      </x:c>
      <x:c r="U628" s="192" t="n">
        <x:v>23</x:v>
      </x:c>
      <x:c r="V628" s="200" t="n">
        <x:v>0.2555555556</x:v>
      </x:c>
      <x:c r="W628" s="203" t="n">
        <x:v>700</x:v>
      </x:c>
      <x:c r="X628" s="203" t="n">
        <x:v>17163.6416379126</x:v>
      </x:c>
      <x:c r="Y628" s="203" t="n">
        <x:v>44375.1651513533</x:v>
      </x:c>
      <x:c r="Z628" s="193" t="b">
        <x:v>1</x:v>
      </x:c>
      <x:c r="AA628" s="193" t="b">
        <x:v>0</x:v>
      </x:c>
      <x:c r="AB628" s="193" t="b">
        <x:v>1</x:v>
      </x:c>
      <x:c r="AC628" s="193" t="b">
        <x:v>1</x:v>
      </x:c>
      <x:c r="AD628" s="193" t="b">
        <x:v>1</x:v>
      </x:c>
      <x:c r="AE628" s="193" t="b">
        <x:v>1</x:v>
      </x:c>
      <x:c r="AF628" s="193" t="b">
        <x:v>1</x:v>
      </x:c>
      <x:c r="AG628" s="193" t="b">
        <x:v>1</x:v>
      </x:c>
      <x:c r="AH628" s="193" t="b">
        <x:v>1</x:v>
      </x:c>
      <x:c r="AI628" s="193" t="b">
        <x:v>1</x:v>
      </x:c>
      <x:c r="AJ628" s="193" t="b">
        <x:v>1</x:v>
      </x:c>
    </x:row>
    <x:row r="629">
      <x:c r="A629" s="192" t="n">
        <x:v>543584528464360770</x:v>
      </x:c>
      <x:c r="B629" s="192" t="str">
        <x:v>https://www.airbnb.com.br/rooms/543584528464360785</x:v>
      </x:c>
      <x:c r="C629" s="192" t="str">
        <x:v>Apartamento a 70m do mar</x:v>
      </x:c>
      <x:c r="D629" s="192" t="str">
        <x:v>Meia Praia</x:v>
      </x:c>
      <x:c r="E629" s="192" t="n">
        <x:v>-27.135307</x:v>
      </x:c>
      <x:c r="F629" s="192" t="n">
        <x:v>-48.597923</x:v>
      </x:c>
      <x:c r="G629" s="192" t="str">
        <x:v>apartamento</x:v>
      </x:c>
      <x:c r="H629" s="192" t="n">
        <x:v>2</x:v>
      </x:c>
      <x:c r="I629" s="192" t="n">
        <x:v>2</x:v>
      </x:c>
      <x:c r="J629" s="192" t="n">
        <x:v>5</x:v>
      </x:c>
      <x:c r="K629" s="192" t="n">
        <x:v>6</x:v>
      </x:c>
      <x:c r="L629" s="192" t="n">
        <x:v>26</x:v>
      </x:c>
      <x:c r="M629" s="192" t="n">
        <x:v>4.9200000763</x:v>
      </x:c>
      <x:c r="N629" s="192" t="n">
        <x:v>350</x:v>
      </x:c>
      <x:c r="O629" s="192" t="n">
        <x:v>25</x:v>
      </x:c>
      <x:c r="P629" s="193" t="b">
        <x:v>0</x:v>
      </x:c>
      <x:c r="Q629" s="193" t="b">
        <x:v>0</x:v>
      </x:c>
      <x:c r="R629" s="193" t="b">
        <x:v>1</x:v>
      </x:c>
      <x:c r="S629" s="193" t="b">
        <x:v>1</x:v>
      </x:c>
      <x:c r="T629" s="192" t="n">
        <x:v>60</x:v>
      </x:c>
      <x:c r="U629" s="192" t="n">
        <x:v>30</x:v>
      </x:c>
      <x:c r="V629" s="200" t="n">
        <x:v>0.3333333333</x:v>
      </x:c>
      <x:c r="W629" s="203" t="n">
        <x:v>350</x:v>
      </x:c>
      <x:c r="X629" s="203" t="n">
        <x:v>10453.682399469</x:v>
      </x:c>
      <x:c r="Y629" s="203" t="n">
        <x:v>27027.1247036272</x:v>
      </x:c>
      <x:c r="Z629" s="193" t="b">
        <x:v>0</x:v>
      </x:c>
      <x:c r="AA629" s="193" t="b">
        <x:v>0</x:v>
      </x:c>
      <x:c r="AB629" s="193" t="b">
        <x:v>1</x:v>
      </x:c>
      <x:c r="AC629" s="193" t="b">
        <x:v>1</x:v>
      </x:c>
      <x:c r="AD629" s="193" t="b">
        <x:v>1</x:v>
      </x:c>
      <x:c r="AE629" s="193" t="b">
        <x:v>1</x:v>
      </x:c>
      <x:c r="AF629" s="193" t="b">
        <x:v>1</x:v>
      </x:c>
      <x:c r="AG629" s="193" t="b">
        <x:v>1</x:v>
      </x:c>
      <x:c r="AH629" s="193" t="b">
        <x:v>1</x:v>
      </x:c>
      <x:c r="AI629" s="193" t="b">
        <x:v>1</x:v>
      </x:c>
      <x:c r="AJ629" s="193" t="b">
        <x:v>1</x:v>
      </x:c>
    </x:row>
    <x:row r="630">
      <x:c r="A630" s="192" t="n">
        <x:v>41761142</x:v>
      </x:c>
      <x:c r="B630" s="192" t="str">
        <x:v>https://www.airbnb.com.br/rooms/41761142</x:v>
      </x:c>
      <x:c r="C630" s="192" t="str">
        <x:v>Apartamento quadra mar Meia Praia/Itapema</x:v>
      </x:c>
      <x:c r="D630" s="192" t="str">
        <x:v>Meia Praia</x:v>
      </x:c>
      <x:c r="E630" s="192" t="n">
        <x:v>-27.13614</x:v>
      </x:c>
      <x:c r="F630" s="192" t="n">
        <x:v>-48.59508</x:v>
      </x:c>
      <x:c r="G630" s="192" t="str">
        <x:v>apartamento</x:v>
      </x:c>
      <x:c r="H630" s="192" t="n">
        <x:v>2</x:v>
      </x:c>
      <x:c r="I630" s="192" t="n">
        <x:v>2</x:v>
      </x:c>
      <x:c r="J630" s="192" t="n">
        <x:v>5</x:v>
      </x:c>
      <x:c r="K630" s="192" t="n">
        <x:v>6</x:v>
      </x:c>
      <x:c r="L630" s="192" t="n">
        <x:v>60</x:v>
      </x:c>
      <x:c r="M630" s="192" t="n">
        <x:v>4.7699999809</x:v>
      </x:c>
      <x:c r="N630" s="192" t="n">
        <x:v>170</x:v>
      </x:c>
      <x:c r="O630" s="192" t="n">
        <x:v>20</x:v>
      </x:c>
      <x:c r="P630" s="193" t="b">
        <x:v>1</x:v>
      </x:c>
      <x:c r="Q630" s="193" t="b">
        <x:v>0</x:v>
      </x:c>
      <x:c r="R630" s="193" t="b">
        <x:v>1</x:v>
      </x:c>
      <x:c r="S630" s="193" t="b">
        <x:v>1</x:v>
      </x:c>
      <x:c r="T630" s="192" t="n">
        <x:v>34</x:v>
      </x:c>
      <x:c r="U630" s="192" t="n">
        <x:v>56</x:v>
      </x:c>
      <x:c r="V630" s="200" t="n">
        <x:v>0.6222222222</x:v>
      </x:c>
      <x:c r="W630" s="203" t="n">
        <x:v>270</x:v>
      </x:c>
      <x:c r="X630" s="203" t="n">
        <x:v>15293.844719463</x:v>
      </x:c>
      <x:c r="Y630" s="203" t="n">
        <x:v>39540.9610351116</x:v>
      </x:c>
      <x:c r="Z630" s="193" t="b">
        <x:v>0</x:v>
      </x:c>
      <x:c r="AA630" s="193" t="b">
        <x:v>0</x:v>
      </x:c>
      <x:c r="AB630" s="193" t="b">
        <x:v>1</x:v>
      </x:c>
      <x:c r="AC630" s="193" t="b">
        <x:v>1</x:v>
      </x:c>
      <x:c r="AD630" s="193" t="b">
        <x:v>1</x:v>
      </x:c>
      <x:c r="AE630" s="193" t="b">
        <x:v>1</x:v>
      </x:c>
      <x:c r="AF630" s="193" t="b">
        <x:v>1</x:v>
      </x:c>
      <x:c r="AG630" s="193" t="b">
        <x:v>1</x:v>
      </x:c>
      <x:c r="AH630" s="193" t="b">
        <x:v>1</x:v>
      </x:c>
      <x:c r="AI630" s="193" t="b">
        <x:v>1</x:v>
      </x:c>
      <x:c r="AJ630" s="193" t="b">
        <x:v>0</x:v>
      </x:c>
    </x:row>
    <x:row r="631">
      <x:c r="A631" s="192" t="n">
        <x:v>48080102</x:v>
      </x:c>
      <x:c r="B631" s="192" t="str">
        <x:v>https://www.airbnb.com.br/rooms/48080102</x:v>
      </x:c>
      <x:c r="C631" s="192" t="str">
        <x:v>APARTAMENTO QUADRA MAR, MEIA PRAIA.</x:v>
      </x:c>
      <x:c r="D631" s="192" t="str">
        <x:v>Meia Praia</x:v>
      </x:c>
      <x:c r="E631" s="192" t="n">
        <x:v>-27.13524</x:v>
      </x:c>
      <x:c r="F631" s="192" t="n">
        <x:v>-48.59563</x:v>
      </x:c>
      <x:c r="G631" s="192" t="str">
        <x:v>apartamento</x:v>
      </x:c>
      <x:c r="H631" s="192" t="n">
        <x:v>3</x:v>
      </x:c>
      <x:c r="I631" s="192" t="n">
        <x:v>2</x:v>
      </x:c>
      <x:c r="J631" s="192" t="n">
        <x:v>6</x:v>
      </x:c>
      <x:c r="K631" s="192" t="n">
        <x:v>8</x:v>
      </x:c>
      <x:c r="L631" s="192" t="n">
        <x:v>17</x:v>
      </x:c>
      <x:c r="M631" s="192" t="n">
        <x:v>4.9400000572</x:v>
      </x:c>
      <x:c r="N631" s="192" t="n">
        <x:v>250</x:v>
      </x:c>
      <x:c r="O631" s="192" t="n">
        <x:v>10</x:v>
      </x:c>
      <x:c r="P631" s="193" t="b">
        <x:v>1</x:v>
      </x:c>
      <x:c r="Q631" s="193" t="b">
        <x:v>0</x:v>
      </x:c>
      <x:c r="R631" s="193" t="b">
        <x:v>0</x:v>
      </x:c>
      <x:c r="S631" s="193" t="b">
        <x:v>0</x:v>
      </x:c>
      <x:c r="T631" s="192" t="n">
        <x:v>36</x:v>
      </x:c>
      <x:c r="U631" s="192" t="n">
        <x:v>54</x:v>
      </x:c>
      <x:c r="V631" s="200" t="n">
        <x:v>0.6</x:v>
      </x:c>
      <x:c r="W631" s="203" t="n">
        <x:v>350</x:v>
      </x:c>
      <x:c r="X631" s="203" t="n">
        <x:v>19416.5084591897</x:v>
      </x:c>
      <x:c r="Y631" s="203" t="n">
        <x:v>50199.7645788635</x:v>
      </x:c>
      <x:c r="Z631" s="193" t="b">
        <x:v>0</x:v>
      </x:c>
      <x:c r="AA631" s="193" t="b">
        <x:v>0</x:v>
      </x:c>
      <x:c r="AB631" s="193" t="b">
        <x:v>1</x:v>
      </x:c>
      <x:c r="AC631" s="193" t="b">
        <x:v>1</x:v>
      </x:c>
      <x:c r="AD631" s="193" t="b">
        <x:v>0</x:v>
      </x:c>
      <x:c r="AE631" s="193" t="b">
        <x:v>0</x:v>
      </x:c>
      <x:c r="AF631" s="193" t="b">
        <x:v>1</x:v>
      </x:c>
      <x:c r="AG631" s="193" t="b">
        <x:v>1</x:v>
      </x:c>
      <x:c r="AH631" s="193" t="b">
        <x:v>1</x:v>
      </x:c>
      <x:c r="AI631" s="193" t="b">
        <x:v>1</x:v>
      </x:c>
      <x:c r="AJ631" s="193" t="b">
        <x:v>1</x:v>
      </x:c>
    </x:row>
    <x:row r="632">
      <x:c r="A632" s="192" t="n">
        <x:v>32185033</x:v>
      </x:c>
      <x:c r="B632" s="192" t="str">
        <x:v>https://www.airbnb.com.br/rooms/32185033</x:v>
      </x:c>
      <x:c r="C632" s="192" t="str">
        <x:v>4 Quartos / Piscina / Lazer - Chácara Iporanga</x:v>
      </x:c>
      <x:c r="D632" s="192" t="str">
        <x:v>Sertao do Trombudo</x:v>
      </x:c>
      <x:c r="E632" s="192" t="n">
        <x:v>-27.1254</x:v>
      </x:c>
      <x:c r="F632" s="192" t="n">
        <x:v>-48.63112</x:v>
      </x:c>
      <x:c r="G632" s="192" t="str">
        <x:v>casa</x:v>
      </x:c>
      <x:c r="H632" s="192" t="n">
        <x:v>4</x:v>
      </x:c>
      <x:c r="I632" s="192" t="n">
        <x:v>4</x:v>
      </x:c>
      <x:c r="J632" s="192" t="n">
        <x:v>8</x:v>
      </x:c>
      <x:c r="K632" s="192" t="n">
        <x:v>15</x:v>
      </x:c>
      <x:c r="L632" s="192" t="n">
        <x:v>28</x:v>
      </x:c>
      <x:c r="M632" s="192" t="n">
        <x:v>4.9299998283</x:v>
      </x:c>
      <x:c r="N632" s="192" t="n">
        <x:v>500</x:v>
      </x:c>
      <x:c r="O632" s="192" t="n">
        <x:v>84</x:v>
      </x:c>
      <x:c r="P632" s="193" t="b">
        <x:v>0</x:v>
      </x:c>
      <x:c r="Q632" s="193" t="b">
        <x:v>0</x:v>
      </x:c>
      <x:c r="R632" s="193" t="b">
        <x:v>1</x:v>
      </x:c>
      <x:c r="S632" s="193" t="b">
        <x:v>1</x:v>
      </x:c>
      <x:c r="T632" s="192" t="n">
        <x:v>37</x:v>
      </x:c>
      <x:c r="U632" s="192" t="n">
        <x:v>53</x:v>
      </x:c>
      <x:c r="V632" s="200" t="n">
        <x:v>0.5888888889</x:v>
      </x:c>
      <x:c r="W632" s="203" t="n">
        <x:v>1000</x:v>
      </x:c>
      <x:c r="X632" s="203" t="n">
        <x:v>54107.2058082858</x:v>
      </x:c>
      <x:c r="Y632" s="203" t="n">
        <x:v>139889.6716835055</x:v>
      </x:c>
      <x:c r="Z632" s="193" t="b">
        <x:v>1</x:v>
      </x:c>
      <x:c r="AA632" s="193" t="b">
        <x:v>1</x:v>
      </x:c>
      <x:c r="AB632" s="193" t="b">
        <x:v>1</x:v>
      </x:c>
      <x:c r="AC632" s="193" t="b">
        <x:v>1</x:v>
      </x:c>
      <x:c r="AD632" s="193" t="b">
        <x:v>0</x:v>
      </x:c>
      <x:c r="AE632" s="193" t="b">
        <x:v>0</x:v>
      </x:c>
      <x:c r="AF632" s="193" t="b">
        <x:v>1</x:v>
      </x:c>
      <x:c r="AG632" s="193" t="b">
        <x:v>1</x:v>
      </x:c>
      <x:c r="AH632" s="193" t="b">
        <x:v>1</x:v>
      </x:c>
      <x:c r="AI632" s="193" t="b">
        <x:v>1</x:v>
      </x:c>
      <x:c r="AJ632" s="193" t="b">
        <x:v>1</x:v>
      </x:c>
    </x:row>
    <x:row r="633">
      <x:c r="A633" s="192" t="n">
        <x:v>40532740</x:v>
      </x:c>
      <x:c r="B633" s="192" t="str">
        <x:v>https://www.airbnb.com.br/rooms/40532740</x:v>
      </x:c>
      <x:c r="C633" s="192" t="str">
        <x:v>Itapema Meia Praia 2 QTS – 1 quadra praia</x:v>
      </x:c>
      <x:c r="D633" s="192" t="str">
        <x:v>Meia Praia</x:v>
      </x:c>
      <x:c r="E633" s="192" t="n">
        <x:v>-27.13009</x:v>
      </x:c>
      <x:c r="F633" s="192" t="n">
        <x:v>-48.60155</x:v>
      </x:c>
      <x:c r="G633" s="192" t="str">
        <x:v>apartamento</x:v>
      </x:c>
      <x:c r="H633" s="192" t="n">
        <x:v>2</x:v>
      </x:c>
      <x:c r="I633" s="192" t="n">
        <x:v>2</x:v>
      </x:c>
      <x:c r="J633" s="192" t="n">
        <x:v>5</x:v>
      </x:c>
      <x:c r="K633" s="192" t="n">
        <x:v>6</x:v>
      </x:c>
      <x:c r="L633" s="192" t="n">
        <x:v>28</x:v>
      </x:c>
      <x:c r="M633" s="192" t="n">
        <x:v>4.9600000381</x:v>
      </x:c>
      <x:c r="N633" s="192" t="n">
        <x:v>200</x:v>
      </x:c>
      <x:c r="O633" s="192" t="n">
        <x:v>20</x:v>
      </x:c>
      <x:c r="P633" s="193" t="b">
        <x:v>1</x:v>
      </x:c>
      <x:c r="Q633" s="193" t="b">
        <x:v>0</x:v>
      </x:c>
      <x:c r="R633" s="193" t="b">
        <x:v>1</x:v>
      </x:c>
      <x:c r="S633" s="193" t="b">
        <x:v>1</x:v>
      </x:c>
      <x:c r="T633" s="192" t="n">
        <x:v>40</x:v>
      </x:c>
      <x:c r="U633" s="192" t="n">
        <x:v>50</x:v>
      </x:c>
      <x:c r="V633" s="200" t="n">
        <x:v>0.5555555556</x:v>
      </x:c>
      <x:c r="W633" s="203" t="n">
        <x:v>330</x:v>
      </x:c>
      <x:c r="X633" s="203" t="n">
        <x:v>16966.060925429</x:v>
      </x:c>
      <x:c r="Y633" s="203" t="n">
        <x:v>43864.3366842861</x:v>
      </x:c>
      <x:c r="Z633" s="193" t="b">
        <x:v>0</x:v>
      </x:c>
      <x:c r="AA633" s="193" t="b">
        <x:v>0</x:v>
      </x:c>
      <x:c r="AB633" s="193" t="b">
        <x:v>1</x:v>
      </x:c>
      <x:c r="AC633" s="193" t="b">
        <x:v>1</x:v>
      </x:c>
      <x:c r="AD633" s="193" t="b">
        <x:v>1</x:v>
      </x:c>
      <x:c r="AE633" s="193" t="b">
        <x:v>1</x:v>
      </x:c>
      <x:c r="AF633" s="193" t="b">
        <x:v>1</x:v>
      </x:c>
      <x:c r="AG633" s="193" t="b">
        <x:v>1</x:v>
      </x:c>
      <x:c r="AH633" s="193" t="b">
        <x:v>1</x:v>
      </x:c>
      <x:c r="AI633" s="193" t="b">
        <x:v>1</x:v>
      </x:c>
      <x:c r="AJ633" s="193" t="b">
        <x:v>1</x:v>
      </x:c>
    </x:row>
    <x:row r="634">
      <x:c r="A634" s="192" t="n">
        <x:v>871084107630048400</x:v>
      </x:c>
      <x:c r="B634" s="192" t="str">
        <x:v>https://www.airbnb.com.br/rooms/871084107630048364</x:v>
      </x:c>
      <x:c r="C634" s="192" t="str">
        <x:v>Marga Rizzon
6 pessoas
2 quartos</x:v>
      </x:c>
      <x:c r="D634" s="192" t="str">
        <x:v>Meia Praia</x:v>
      </x:c>
      <x:c r="E634" s="192" t="n">
        <x:v>-27.1267742</x:v>
      </x:c>
      <x:c r="F634" s="192" t="n">
        <x:v>-48.6054368</x:v>
      </x:c>
      <x:c r="G634" s="192" t="str">
        <x:v>apartamento</x:v>
      </x:c>
      <x:c r="H634" s="192" t="n">
        <x:v>2</x:v>
      </x:c>
      <x:c r="I634" s="192" t="n">
        <x:v>2</x:v>
      </x:c>
      <x:c r="J634" s="192" t="n">
        <x:v>2</x:v>
      </x:c>
      <x:c r="K634" s="192" t="n">
        <x:v>6</x:v>
      </x:c>
      <x:c r="L634" s="192" t="n">
        <x:v>44</x:v>
      </x:c>
      <x:c r="M634" s="192" t="n">
        <x:v>5</x:v>
      </x:c>
      <x:c r="N634" s="192" t="n">
        <x:v>99</x:v>
      </x:c>
      <x:c r="O634" s="192" t="n">
        <x:v>30</x:v>
      </x:c>
      <x:c r="P634" s="193" t="b">
        <x:v>0</x:v>
      </x:c>
      <x:c r="Q634" s="193" t="b">
        <x:v>0</x:v>
      </x:c>
      <x:c r="R634" s="193" t="b">
        <x:v>1</x:v>
      </x:c>
      <x:c r="S634" s="193" t="b">
        <x:v>1</x:v>
      </x:c>
      <x:c r="T634" s="192" t="n">
        <x:v>54</x:v>
      </x:c>
      <x:c r="U634" s="192" t="n">
        <x:v>36</x:v>
      </x:c>
      <x:c r="V634" s="200" t="n">
        <x:v>0.4</x:v>
      </x:c>
      <x:c r="W634" s="203" t="n">
        <x:v>450</x:v>
      </x:c>
      <x:c r="X634" s="203" t="n">
        <x:v>16963.4077877443</x:v>
      </x:c>
      <x:c r="Y634" s="203" t="n">
        <x:v>43857.4772178972</x:v>
      </x:c>
      <x:c r="Z634" s="193" t="b">
        <x:v>1</x:v>
      </x:c>
      <x:c r="AA634" s="193" t="b">
        <x:v>0</x:v>
      </x:c>
      <x:c r="AB634" s="193" t="b">
        <x:v>1</x:v>
      </x:c>
      <x:c r="AC634" s="193" t="b">
        <x:v>1</x:v>
      </x:c>
      <x:c r="AD634" s="193" t="b">
        <x:v>0</x:v>
      </x:c>
      <x:c r="AE634" s="193" t="b">
        <x:v>1</x:v>
      </x:c>
      <x:c r="AF634" s="193" t="b">
        <x:v>1</x:v>
      </x:c>
      <x:c r="AG634" s="193" t="b">
        <x:v>1</x:v>
      </x:c>
      <x:c r="AH634" s="193" t="b">
        <x:v>1</x:v>
      </x:c>
      <x:c r="AI634" s="193" t="b">
        <x:v>1</x:v>
      </x:c>
      <x:c r="AJ634" s="193" t="b">
        <x:v>1</x:v>
      </x:c>
    </x:row>
    <x:row r="635">
      <x:c r="A635" s="192" t="n">
        <x:v>43379132</x:v>
      </x:c>
      <x:c r="B635" s="192" t="str">
        <x:v>https://www.airbnb.com.br/rooms/43379132</x:v>
      </x:c>
      <x:c r="C635" s="192" t="str">
        <x:v>Lindo apartamento no coração da Meia Praia.</x:v>
      </x:c>
      <x:c r="D635" s="192" t="str">
        <x:v>Meia Praia</x:v>
      </x:c>
      <x:c r="E635" s="192" t="n">
        <x:v>-27.1257</x:v>
      </x:c>
      <x:c r="F635" s="192" t="n">
        <x:v>-48.60331</x:v>
      </x:c>
      <x:c r="G635" s="192" t="str">
        <x:v>apartamento</x:v>
      </x:c>
      <x:c r="H635" s="192" t="n">
        <x:v>2</x:v>
      </x:c>
      <x:c r="I635" s="192" t="n">
        <x:v>2</x:v>
      </x:c>
      <x:c r="J635" s="192" t="n">
        <x:v>3</x:v>
      </x:c>
      <x:c r="K635" s="192" t="n">
        <x:v>5</x:v>
      </x:c>
      <x:c r="L635" s="192" t="n">
        <x:v>48</x:v>
      </x:c>
      <x:c r="M635" s="192" t="n">
        <x:v>4.9800000191</x:v>
      </x:c>
      <x:c r="N635" s="192" t="n">
        <x:v>250</x:v>
      </x:c>
      <x:c r="O635" s="192" t="n">
        <x:v>18</x:v>
      </x:c>
      <x:c r="P635" s="193" t="b">
        <x:v>1</x:v>
      </x:c>
      <x:c r="Q635" s="193" t="b">
        <x:v>0</x:v>
      </x:c>
      <x:c r="R635" s="193" t="b">
        <x:v>1</x:v>
      </x:c>
      <x:c r="S635" s="193" t="b">
        <x:v>1</x:v>
      </x:c>
      <x:c r="T635" s="192" t="n">
        <x:v>26</x:v>
      </x:c>
      <x:c r="U635" s="192" t="n">
        <x:v>64</x:v>
      </x:c>
      <x:c r="V635" s="200" t="n">
        <x:v>0.7111111111</x:v>
      </x:c>
      <x:c r="W635" s="203" t="n">
        <x:v>340</x:v>
      </x:c>
      <x:c r="X635" s="203" t="n">
        <x:v>22022.0666636513</x:v>
      </x:c>
      <x:c r="Y635" s="203" t="n">
        <x:v>56936.2181866485</x:v>
      </x:c>
      <x:c r="Z635" s="193" t="b">
        <x:v>1</x:v>
      </x:c>
      <x:c r="AA635" s="193" t="b">
        <x:v>0</x:v>
      </x:c>
      <x:c r="AB635" s="193" t="b">
        <x:v>1</x:v>
      </x:c>
      <x:c r="AC635" s="193" t="b">
        <x:v>1</x:v>
      </x:c>
      <x:c r="AD635" s="193" t="b">
        <x:v>0</x:v>
      </x:c>
      <x:c r="AE635" s="193" t="b">
        <x:v>0</x:v>
      </x:c>
      <x:c r="AF635" s="193" t="b">
        <x:v>0</x:v>
      </x:c>
      <x:c r="AG635" s="193" t="b">
        <x:v>1</x:v>
      </x:c>
      <x:c r="AH635" s="193" t="b">
        <x:v>1</x:v>
      </x:c>
      <x:c r="AI635" s="193" t="b">
        <x:v>1</x:v>
      </x:c>
      <x:c r="AJ635" s="193" t="b">
        <x:v>0</x:v>
      </x:c>
    </x:row>
    <x:row r="636">
      <x:c r="A636" s="192" t="n">
        <x:v>1173260792743932700</x:v>
      </x:c>
      <x:c r="B636" s="192" t="str">
        <x:v>https://www.airbnb.com.br/rooms/1173260792743932663</x:v>
      </x:c>
      <x:c r="C636" s="192" t="str">
        <x:v>Achei Itapema 3dorm QDmar • Res Águas do Atlântico</x:v>
      </x:c>
      <x:c r="D636" s="192" t="str">
        <x:v>Meia Praia</x:v>
      </x:c>
      <x:c r="E636" s="192" t="n">
        <x:v>-27.14386</x:v>
      </x:c>
      <x:c r="F636" s="192" t="n">
        <x:v>-48.58636</x:v>
      </x:c>
      <x:c r="G636" s="192" t="str">
        <x:v>apartamento</x:v>
      </x:c>
      <x:c r="H636" s="192" t="n">
        <x:v>3</x:v>
      </x:c>
      <x:c r="I636" s="192" t="n">
        <x:v>2</x:v>
      </x:c>
      <x:c r="J636" s="192" t="n">
        <x:v>4</x:v>
      </x:c>
      <x:c r="K636" s="192" t="n">
        <x:v>7</x:v>
      </x:c>
      <x:c r="L636" s="192" t="n">
        <x:v>2</x:v>
      </x:c>
      <x:c r="M636" s="192" t="n">
        <x:v>5</x:v>
      </x:c>
      <x:c r="N636" s="192" t="n">
        <x:v>270</x:v>
      </x:c>
      <x:c r="O636" s="192" t="n">
        <x:v>33</x:v>
      </x:c>
      <x:c r="P636" s="193" t="b">
        <x:v>1</x:v>
      </x:c>
      <x:c r="Q636" s="193" t="b">
        <x:v>1</x:v>
      </x:c>
      <x:c r="R636" s="193" t="b">
        <x:v>0</x:v>
      </x:c>
      <x:c r="S636" s="193" t="b">
        <x:v>1</x:v>
      </x:c>
      <x:c r="T636" s="192" t="n">
        <x:v>31</x:v>
      </x:c>
      <x:c r="U636" s="192" t="n">
        <x:v>59</x:v>
      </x:c>
      <x:c r="V636" s="200" t="n">
        <x:v>0.6555555556</x:v>
      </x:c>
      <x:c r="W636" s="203" t="n">
        <x:v>1077.5</x:v>
      </x:c>
      <x:c r="X636" s="203" t="n">
        <x:v>62987.3748664444</x:v>
      </x:c>
      <x:c r="Y636" s="203" t="n">
        <x:v>162848.6087692865</x:v>
      </x:c>
      <x:c r="Z636" s="193" t="b">
        <x:v>0</x:v>
      </x:c>
      <x:c r="AA636" s="193" t="b">
        <x:v>0</x:v>
      </x:c>
      <x:c r="AB636" s="193" t="b">
        <x:v>0</x:v>
      </x:c>
      <x:c r="AC636" s="193" t="b">
        <x:v>1</x:v>
      </x:c>
      <x:c r="AD636" s="193" t="b">
        <x:v>1</x:v>
      </x:c>
      <x:c r="AE636" s="193" t="b">
        <x:v>1</x:v>
      </x:c>
      <x:c r="AF636" s="193" t="b">
        <x:v>1</x:v>
      </x:c>
      <x:c r="AG636" s="193" t="b">
        <x:v>1</x:v>
      </x:c>
      <x:c r="AH636" s="193" t="b">
        <x:v>1</x:v>
      </x:c>
      <x:c r="AI636" s="193" t="b">
        <x:v>1</x:v>
      </x:c>
      <x:c r="AJ636" s="193" t="b">
        <x:v>0</x:v>
      </x:c>
    </x:row>
    <x:row r="637">
      <x:c r="A637" s="192" t="n">
        <x:v>46896012</x:v>
      </x:c>
      <x:c r="B637" s="192" t="str">
        <x:v>https://www.airbnb.com.br/rooms/46896012</x:v>
      </x:c>
      <x:c r="C637" s="192" t="str">
        <x:v>Apto 3 quartos, Meia Praia, Itapema, 90 m da praia</x:v>
      </x:c>
      <x:c r="D637" s="192" t="str">
        <x:v>Meia Praia</x:v>
      </x:c>
      <x:c r="E637" s="192" t="n">
        <x:v>-27.13048</x:v>
      </x:c>
      <x:c r="F637" s="192" t="n">
        <x:v>-48.60246</x:v>
      </x:c>
      <x:c r="G637" s="192" t="str">
        <x:v>apartamento</x:v>
      </x:c>
      <x:c r="H637" s="192" t="n">
        <x:v>3</x:v>
      </x:c>
      <x:c r="I637" s="192" t="n">
        <x:v>2</x:v>
      </x:c>
      <x:c r="J637" s="192" t="n">
        <x:v>4</x:v>
      </x:c>
      <x:c r="K637" s="192" t="n">
        <x:v>8</x:v>
      </x:c>
      <x:c r="L637" s="192" t="n">
        <x:v>14</x:v>
      </x:c>
      <x:c r="M637" s="192" t="n">
        <x:v>4.9299998283</x:v>
      </x:c>
      <x:c r="N637" s="192" t="n">
        <x:v>350</x:v>
      </x:c>
      <x:c r="O637" s="192" t="n">
        <x:v>17</x:v>
      </x:c>
      <x:c r="P637" s="193" t="b">
        <x:v>1</x:v>
      </x:c>
      <x:c r="Q637" s="193" t="b">
        <x:v>1</x:v>
      </x:c>
      <x:c r="R637" s="193" t="b">
        <x:v>1</x:v>
      </x:c>
      <x:c r="S637" s="193" t="b">
        <x:v>0</x:v>
      </x:c>
      <x:c r="T637" s="192" t="n">
        <x:v>56</x:v>
      </x:c>
      <x:c r="U637" s="192" t="n">
        <x:v>34</x:v>
      </x:c>
      <x:c r="V637" s="200" t="n">
        <x:v>0.3777777778</x:v>
      </x:c>
      <x:c r="W637" s="203" t="n">
        <x:v>550</x:v>
      </x:c>
      <x:c r="X637" s="203" t="n">
        <x:v>19400.0447398453</x:v>
      </x:c>
      <x:c r="Y637" s="203" t="n">
        <x:v>50157.1990044751</x:v>
      </x:c>
      <x:c r="Z637" s="193" t="b">
        <x:v>1</x:v>
      </x:c>
      <x:c r="AA637" s="193" t="b">
        <x:v>0</x:v>
      </x:c>
      <x:c r="AB637" s="193" t="b">
        <x:v>1</x:v>
      </x:c>
      <x:c r="AC637" s="193" t="b">
        <x:v>1</x:v>
      </x:c>
      <x:c r="AD637" s="193" t="b">
        <x:v>1</x:v>
      </x:c>
      <x:c r="AE637" s="193" t="b">
        <x:v>1</x:v>
      </x:c>
      <x:c r="AF637" s="193" t="b">
        <x:v>1</x:v>
      </x:c>
      <x:c r="AG637" s="193" t="b">
        <x:v>1</x:v>
      </x:c>
      <x:c r="AH637" s="193" t="b">
        <x:v>1</x:v>
      </x:c>
      <x:c r="AI637" s="193" t="b">
        <x:v>1</x:v>
      </x:c>
      <x:c r="AJ637" s="193" t="b">
        <x:v>1</x:v>
      </x:c>
    </x:row>
    <x:row r="638">
      <x:c r="A638" s="192" t="n">
        <x:v>674566887638611500</x:v>
      </x:c>
      <x:c r="B638" s="192" t="str">
        <x:v>https://www.airbnb.com.br/rooms/674566887638611404</x:v>
      </x:c>
      <x:c r="C638" s="192" t="str">
        <x:v>Excelente apartamento próximo ao mar e shoppings!</x:v>
      </x:c>
      <x:c r="D638" s="192" t="str">
        <x:v>Meia Praia</x:v>
      </x:c>
      <x:c r="E638" s="192" t="n">
        <x:v>-27.1280719</x:v>
      </x:c>
      <x:c r="F638" s="192" t="n">
        <x:v>-48.6037175</x:v>
      </x:c>
      <x:c r="G638" s="192" t="str">
        <x:v>apartamento</x:v>
      </x:c>
      <x:c r="H638" s="192" t="n">
        <x:v>3</x:v>
      </x:c>
      <x:c r="I638" s="192" t="n">
        <x:v>2</x:v>
      </x:c>
      <x:c r="J638" s="192" t="n">
        <x:v>3</x:v>
      </x:c>
      <x:c r="K638" s="192" t="n">
        <x:v>6</x:v>
      </x:c>
      <x:c r="L638" s="192" t="n">
        <x:v>15</x:v>
      </x:c>
      <x:c r="M638" s="192" t="n">
        <x:v>5</x:v>
      </x:c>
      <x:c r="N638" s="192" t="n">
        <x:v>420</x:v>
      </x:c>
      <x:c r="O638" s="192" t="n">
        <x:v>25</x:v>
      </x:c>
      <x:c r="P638" s="193" t="b">
        <x:v>1</x:v>
      </x:c>
      <x:c r="Q638" s="193" t="b">
        <x:v>0</x:v>
      </x:c>
      <x:c r="R638" s="193" t="b">
        <x:v>1</x:v>
      </x:c>
      <x:c r="S638" s="193" t="b">
        <x:v>1</x:v>
      </x:c>
      <x:c r="T638" s="192" t="n">
        <x:v>40</x:v>
      </x:c>
      <x:c r="U638" s="192" t="n">
        <x:v>50</x:v>
      </x:c>
      <x:c r="V638" s="200" t="n">
        <x:v>0.5555555556</x:v>
      </x:c>
      <x:c r="W638" s="203" t="n">
        <x:v>600</x:v>
      </x:c>
      <x:c r="X638" s="203" t="n">
        <x:v>30952.3084380894</x:v>
      </x:c>
      <x:c r="Y638" s="203" t="n">
        <x:v>80024.6141076436</x:v>
      </x:c>
      <x:c r="Z638" s="193" t="b">
        <x:v>1</x:v>
      </x:c>
      <x:c r="AA638" s="193" t="b">
        <x:v>0</x:v>
      </x:c>
      <x:c r="AB638" s="193" t="b">
        <x:v>1</x:v>
      </x:c>
      <x:c r="AC638" s="193" t="b">
        <x:v>1</x:v>
      </x:c>
      <x:c r="AD638" s="193" t="b">
        <x:v>1</x:v>
      </x:c>
      <x:c r="AE638" s="193" t="b">
        <x:v>1</x:v>
      </x:c>
      <x:c r="AF638" s="193" t="b">
        <x:v>1</x:v>
      </x:c>
      <x:c r="AG638" s="193" t="b">
        <x:v>1</x:v>
      </x:c>
      <x:c r="AH638" s="193" t="b">
        <x:v>1</x:v>
      </x:c>
      <x:c r="AI638" s="193" t="b">
        <x:v>1</x:v>
      </x:c>
      <x:c r="AJ638" s="193" t="b">
        <x:v>1</x:v>
      </x:c>
    </x:row>
    <x:row r="639">
      <x:c r="A639" s="192" t="n">
        <x:v>703678241822238300</x:v>
      </x:c>
      <x:c r="B639" s="192" t="str">
        <x:v>https://www.airbnb.com.br/rooms/703678241822238330</x:v>
      </x:c>
      <x:c r="C639" s="192" t="str">
        <x:v>Lugar e preço perfeito de Itapema Meia Praia</x:v>
      </x:c>
      <x:c r="D639" s="192" t="str">
        <x:v>Meia Praia</x:v>
      </x:c>
      <x:c r="E639" s="192" t="n">
        <x:v>-27.14152</x:v>
      </x:c>
      <x:c r="F639" s="192" t="n">
        <x:v>-48.59796</x:v>
      </x:c>
      <x:c r="G639" s="192" t="str">
        <x:v>apartamento</x:v>
      </x:c>
      <x:c r="H639" s="192" t="n">
        <x:v>2</x:v>
      </x:c>
      <x:c r="I639" s="192" t="n">
        <x:v>1</x:v>
      </x:c>
      <x:c r="J639" s="192" t="n">
        <x:v>4</x:v>
      </x:c>
      <x:c r="K639" s="192" t="n">
        <x:v>5</x:v>
      </x:c>
      <x:c r="L639" s="192" t="n">
        <x:v>15</x:v>
      </x:c>
      <x:c r="M639" s="192" t="n">
        <x:v>4.9299998283</x:v>
      </x:c>
      <x:c r="N639" s="192" t="n">
        <x:v>300</x:v>
      </x:c>
      <x:c r="O639" s="192" t="n">
        <x:v>9</x:v>
      </x:c>
      <x:c r="P639" s="193" t="b">
        <x:v>0</x:v>
      </x:c>
      <x:c r="Q639" s="193" t="b">
        <x:v>0</x:v>
      </x:c>
      <x:c r="R639" s="193" t="b">
        <x:v>1</x:v>
      </x:c>
      <x:c r="S639" s="193" t="b">
        <x:v>1</x:v>
      </x:c>
      <x:c r="T639" s="192" t="n">
        <x:v>60</x:v>
      </x:c>
      <x:c r="U639" s="192" t="n">
        <x:v>30</x:v>
      </x:c>
      <x:c r="V639" s="200" t="n">
        <x:v>0.3333333333</x:v>
      </x:c>
      <x:c r="W639" s="203" t="n">
        <x:v>300</x:v>
      </x:c>
      <x:c r="X639" s="203" t="n">
        <x:v>9479.3482823967</x:v>
      </x:c>
      <x:c r="Y639" s="203" t="n">
        <x:v>24508.0650384466</x:v>
      </x:c>
      <x:c r="Z639" s="193" t="b">
        <x:v>1</x:v>
      </x:c>
      <x:c r="AA639" s="193" t="b">
        <x:v>0</x:v>
      </x:c>
      <x:c r="AB639" s="193" t="b">
        <x:v>1</x:v>
      </x:c>
      <x:c r="AC639" s="193" t="b">
        <x:v>1</x:v>
      </x:c>
      <x:c r="AD639" s="193" t="b">
        <x:v>0</x:v>
      </x:c>
      <x:c r="AE639" s="193" t="b">
        <x:v>1</x:v>
      </x:c>
      <x:c r="AF639" s="193" t="b">
        <x:v>1</x:v>
      </x:c>
      <x:c r="AG639" s="193" t="b">
        <x:v>0</x:v>
      </x:c>
      <x:c r="AH639" s="193" t="b">
        <x:v>1</x:v>
      </x:c>
      <x:c r="AI639" s="193" t="b">
        <x:v>1</x:v>
      </x:c>
      <x:c r="AJ639" s="193" t="b">
        <x:v>1</x:v>
      </x:c>
    </x:row>
    <x:row r="640">
      <x:c r="A640" s="192" t="n">
        <x:v>965310801955633200</x:v>
      </x:c>
      <x:c r="B640" s="192" t="str">
        <x:v>https://www.airbnb.com.br/rooms/965310801955633109</x:v>
      </x:c>
      <x:c r="C640" s="192" t="str">
        <x:v>Pé na Areia 1 minuto da Praia</x:v>
      </x:c>
      <x:c r="D640" s="192" t="str">
        <x:v>Meia Praia</x:v>
      </x:c>
      <x:c r="E640" s="192" t="n">
        <x:v>-27.1259994507</x:v>
      </x:c>
      <x:c r="F640" s="192" t="n">
        <x:v>-48.6030006409</x:v>
      </x:c>
      <x:c r="G640" s="192" t="str">
        <x:v>apartamento</x:v>
      </x:c>
      <x:c r="H640" s="192" t="n">
        <x:v>2</x:v>
      </x:c>
      <x:c r="I640" s="192" t="n">
        <x:v>2</x:v>
      </x:c>
      <x:c r="J640" s="192" t="n">
        <x:v>2</x:v>
      </x:c>
      <x:c r="K640" s="192" t="n">
        <x:v>6</x:v>
      </x:c>
      <x:c r="L640" s="192" t="n">
        <x:v>14</x:v>
      </x:c>
      <x:c r="M640" s="192" t="n">
        <x:v>5</x:v>
      </x:c>
      <x:c r="N640" s="192" t="n">
        <x:v>250</x:v>
      </x:c>
      <x:c r="O640" s="192" t="n">
        <x:v>9</x:v>
      </x:c>
      <x:c r="P640" s="193" t="b">
        <x:v>0</x:v>
      </x:c>
      <x:c r="Q640" s="193" t="b">
        <x:v>0</x:v>
      </x:c>
      <x:c r="R640" s="193" t="b">
        <x:v>1</x:v>
      </x:c>
      <x:c r="S640" s="193" t="b">
        <x:v>1</x:v>
      </x:c>
      <x:c r="T640" s="192" t="n">
        <x:v>63</x:v>
      </x:c>
      <x:c r="U640" s="192" t="n">
        <x:v>27</x:v>
      </x:c>
      <x:c r="V640" s="200" t="n">
        <x:v>0.3</x:v>
      </x:c>
      <x:c r="W640" s="203" t="n">
        <x:v>450</x:v>
      </x:c>
      <x:c r="X640" s="203" t="n">
        <x:v>13117.4594872336</x:v>
      </x:c>
      <x:c r="Y640" s="203" t="n">
        <x:v>33914.0983826186</x:v>
      </x:c>
      <x:c r="Z640" s="193" t="b">
        <x:v>1</x:v>
      </x:c>
      <x:c r="AA640" s="193" t="b">
        <x:v>0</x:v>
      </x:c>
      <x:c r="AB640" s="193" t="b">
        <x:v>1</x:v>
      </x:c>
      <x:c r="AC640" s="193" t="b">
        <x:v>1</x:v>
      </x:c>
      <x:c r="AD640" s="193" t="b">
        <x:v>0</x:v>
      </x:c>
      <x:c r="AE640" s="193" t="b">
        <x:v>0</x:v>
      </x:c>
      <x:c r="AF640" s="193" t="b">
        <x:v>1</x:v>
      </x:c>
      <x:c r="AG640" s="193" t="b">
        <x:v>1</x:v>
      </x:c>
      <x:c r="AH640" s="193" t="b">
        <x:v>1</x:v>
      </x:c>
      <x:c r="AI640" s="193" t="b">
        <x:v>1</x:v>
      </x:c>
      <x:c r="AJ640" s="193" t="b">
        <x:v>1</x:v>
      </x:c>
    </x:row>
    <x:row r="641">
      <x:c r="A641" s="192" t="n">
        <x:v>904512525045117800</x:v>
      </x:c>
      <x:c r="B641" s="192" t="str">
        <x:v>https://www.airbnb.com.br/rooms/904512525045117852</x:v>
      </x:c>
      <x:c r="C641" s="192" t="str">
        <x:v>Pérola do Mar incrível, o aconchego pé na areia.</x:v>
      </x:c>
      <x:c r="D641" s="192" t="str">
        <x:v>Meia Praia</x:v>
      </x:c>
      <x:c r="E641" s="192" t="n">
        <x:v>-27.1359996796</x:v>
      </x:c>
      <x:c r="F641" s="192" t="n">
        <x:v>-48.5960006714</x:v>
      </x:c>
      <x:c r="G641" s="192" t="str">
        <x:v>apartamento</x:v>
      </x:c>
      <x:c r="H641" s="192" t="n">
        <x:v>3</x:v>
      </x:c>
      <x:c r="I641" s="192" t="n">
        <x:v>2</x:v>
      </x:c>
      <x:c r="J641" s="192" t="n">
        <x:v>4</x:v>
      </x:c>
      <x:c r="K641" s="192" t="n">
        <x:v>8</x:v>
      </x:c>
      <x:c r="L641" s="192" t="n">
        <x:v>41</x:v>
      </x:c>
      <x:c r="M641" s="192" t="n">
        <x:v>5</x:v>
      </x:c>
      <x:c r="N641" s="192" t="n">
        <x:v>180</x:v>
      </x:c>
      <x:c r="O641" s="192" t="n">
        <x:v>19</x:v>
      </x:c>
      <x:c r="P641" s="193" t="b">
        <x:v>0</x:v>
      </x:c>
      <x:c r="Q641" s="193" t="b">
        <x:v>0</x:v>
      </x:c>
      <x:c r="R641" s="193" t="b">
        <x:v>1</x:v>
      </x:c>
      <x:c r="S641" s="193" t="b">
        <x:v>1</x:v>
      </x:c>
      <x:c r="T641" s="192" t="n">
        <x:v>40</x:v>
      </x:c>
      <x:c r="U641" s="192" t="n">
        <x:v>50</x:v>
      </x:c>
      <x:c r="V641" s="200" t="n">
        <x:v>0.5555555556</x:v>
      </x:c>
      <x:c r="W641" s="203" t="n">
        <x:v>550</x:v>
      </x:c>
      <x:c r="X641" s="203" t="n">
        <x:v>27064.5840628604</x:v>
      </x:c>
      <x:c r="Y641" s="203" t="n">
        <x:v>69973.2267125204</x:v>
      </x:c>
      <x:c r="Z641" s="193" t="b">
        <x:v>1</x:v>
      </x:c>
      <x:c r="AA641" s="193" t="b">
        <x:v>0</x:v>
      </x:c>
      <x:c r="AB641" s="193" t="b">
        <x:v>1</x:v>
      </x:c>
      <x:c r="AC641" s="193" t="b">
        <x:v>1</x:v>
      </x:c>
      <x:c r="AD641" s="193" t="b">
        <x:v>1</x:v>
      </x:c>
      <x:c r="AE641" s="193" t="b">
        <x:v>1</x:v>
      </x:c>
      <x:c r="AF641" s="193" t="b">
        <x:v>1</x:v>
      </x:c>
      <x:c r="AG641" s="193" t="b">
        <x:v>1</x:v>
      </x:c>
      <x:c r="AH641" s="193" t="b">
        <x:v>1</x:v>
      </x:c>
      <x:c r="AI641" s="193" t="b">
        <x:v>1</x:v>
      </x:c>
      <x:c r="AJ641" s="193" t="b">
        <x:v>0</x:v>
      </x:c>
    </x:row>
    <x:row r="642">
      <x:c r="A642" s="192" t="n">
        <x:v>40777141</x:v>
      </x:c>
      <x:c r="B642" s="192" t="str">
        <x:v>https://www.airbnb.com.br/rooms/40777141</x:v>
      </x:c>
      <x:c r="C642" s="192" t="str">
        <x:v>Cobertura-Duplex Frente o mar</x:v>
      </x:c>
      <x:c r="D642" s="192" t="str">
        <x:v>Meia Praia</x:v>
      </x:c>
      <x:c r="E642" s="192" t="n">
        <x:v>-27.13705</x:v>
      </x:c>
      <x:c r="F642" s="192" t="n">
        <x:v>-48.5931</x:v>
      </x:c>
      <x:c r="G642" s="192" t="str">
        <x:v>apartamento</x:v>
      </x:c>
      <x:c r="H642" s="192" t="n">
        <x:v>3</x:v>
      </x:c>
      <x:c r="I642" s="192" t="n">
        <x:v>4</x:v>
      </x:c>
      <x:c r="J642" s="192" t="n">
        <x:v>5</x:v>
      </x:c>
      <x:c r="K642" s="192" t="n">
        <x:v>8</x:v>
      </x:c>
      <x:c r="L642" s="192" t="n">
        <x:v>20</x:v>
      </x:c>
      <x:c r="M642" s="192" t="n">
        <x:v>4.8000001907</x:v>
      </x:c>
      <x:c r="N642" s="192" t="n">
        <x:v>350</x:v>
      </x:c>
      <x:c r="O642" s="192" t="n">
        <x:v>30</x:v>
      </x:c>
      <x:c r="P642" s="193" t="b">
        <x:v>0</x:v>
      </x:c>
      <x:c r="Q642" s="193" t="b">
        <x:v>1</x:v>
      </x:c>
      <x:c r="R642" s="193" t="b">
        <x:v>1</x:v>
      </x:c>
      <x:c r="S642" s="193" t="b">
        <x:v>1</x:v>
      </x:c>
      <x:c r="T642" s="192" t="n">
        <x:v>4</x:v>
      </x:c>
      <x:c r="U642" s="192" t="n">
        <x:v>86</x:v>
      </x:c>
      <x:c r="V642" s="200" t="n">
        <x:v>0.9555555556</x:v>
      </x:c>
      <x:c r="W642" s="203" t="n">
        <x:v>1508</x:v>
      </x:c>
      <x:c r="X642" s="203" t="n">
        <x:v>129265.5196031641</x:v>
      </x:c>
      <x:c r="Y642" s="203" t="n">
        <x:v>334205.2288073472</x:v>
      </x:c>
      <x:c r="Z642" s="193" t="b">
        <x:v>0</x:v>
      </x:c>
      <x:c r="AA642" s="193" t="b">
        <x:v>1</x:v>
      </x:c>
      <x:c r="AB642" s="193" t="b">
        <x:v>1</x:v>
      </x:c>
      <x:c r="AC642" s="193" t="b">
        <x:v>1</x:v>
      </x:c>
      <x:c r="AD642" s="193" t="b">
        <x:v>1</x:v>
      </x:c>
      <x:c r="AE642" s="193" t="b">
        <x:v>1</x:v>
      </x:c>
      <x:c r="AF642" s="193" t="b">
        <x:v>1</x:v>
      </x:c>
      <x:c r="AG642" s="193" t="b">
        <x:v>1</x:v>
      </x:c>
      <x:c r="AH642" s="193" t="b">
        <x:v>1</x:v>
      </x:c>
      <x:c r="AI642" s="193" t="b">
        <x:v>1</x:v>
      </x:c>
      <x:c r="AJ642" s="193" t="b">
        <x:v>1</x:v>
      </x:c>
    </x:row>
    <x:row r="643">
      <x:c r="A643" s="192" t="n">
        <x:v>790518755885066100</x:v>
      </x:c>
      <x:c r="B643" s="192" t="str">
        <x:v>https://www.airbnb.com.br/rooms/790518755885066166</x:v>
      </x:c>
      <x:c r="C643" s="192" t="str">
        <x:v>Lindo apartamento em Itapema-SC</x:v>
      </x:c>
      <x:c r="D643" s="192" t="str">
        <x:v>Centro</x:v>
      </x:c>
      <x:c r="E643" s="192" t="n">
        <x:v>-27.0949993134</x:v>
      </x:c>
      <x:c r="F643" s="192" t="n">
        <x:v>-48.6139984131</x:v>
      </x:c>
      <x:c r="G643" s="192" t="str">
        <x:v>apartamento</x:v>
      </x:c>
      <x:c r="H643" s="192" t="n">
        <x:v>3</x:v>
      </x:c>
      <x:c r="I643" s="192" t="n">
        <x:v>4</x:v>
      </x:c>
      <x:c r="J643" s="192" t="n">
        <x:v>3</x:v>
      </x:c>
      <x:c r="K643" s="192" t="n">
        <x:v>6</x:v>
      </x:c>
      <x:c r="L643" s="192" t="n">
        <x:v>6</x:v>
      </x:c>
      <x:c r="M643" s="192" t="n">
        <x:v>5</x:v>
      </x:c>
      <x:c r="N643" s="192" t="n">
        <x:v>0</x:v>
      </x:c>
      <x:c r="O643" s="192" t="n">
        <x:v>30</x:v>
      </x:c>
      <x:c r="P643" s="193" t="b">
        <x:v>0</x:v>
      </x:c>
      <x:c r="Q643" s="193" t="b">
        <x:v>0</x:v>
      </x:c>
      <x:c r="R643" s="193" t="b">
        <x:v>1</x:v>
      </x:c>
      <x:c r="S643" s="193" t="b">
        <x:v>0</x:v>
      </x:c>
      <x:c r="T643" s="192" t="n">
        <x:v>47</x:v>
      </x:c>
      <x:c r="U643" s="192" t="n">
        <x:v>43</x:v>
      </x:c>
      <x:c r="V643" s="200" t="n">
        <x:v>0.4777777778</x:v>
      </x:c>
      <x:c r="W643" s="203" t="n">
        <x:v>750</x:v>
      </x:c>
      <x:c r="X643" s="203" t="n">
        <x:v>33868.4479204225</x:v>
      </x:c>
      <x:c r="Y643" s="203" t="n">
        <x:v>87564.0497275924</x:v>
      </x:c>
      <x:c r="Z643" s="193" t="b">
        <x:v>0</x:v>
      </x:c>
      <x:c r="AA643" s="193" t="b">
        <x:v>0</x:v>
      </x:c>
      <x:c r="AB643" s="193" t="b">
        <x:v>1</x:v>
      </x:c>
      <x:c r="AC643" s="193" t="b">
        <x:v>1</x:v>
      </x:c>
      <x:c r="AD643" s="193" t="b">
        <x:v>0</x:v>
      </x:c>
      <x:c r="AE643" s="193" t="b">
        <x:v>1</x:v>
      </x:c>
      <x:c r="AF643" s="193" t="b">
        <x:v>1</x:v>
      </x:c>
      <x:c r="AG643" s="193" t="b">
        <x:v>1</x:v>
      </x:c>
      <x:c r="AH643" s="193" t="b">
        <x:v>1</x:v>
      </x:c>
      <x:c r="AI643" s="193" t="b">
        <x:v>1</x:v>
      </x:c>
      <x:c r="AJ643" s="193" t="b">
        <x:v>0</x:v>
      </x:c>
    </x:row>
    <x:row r="644">
      <x:c r="A644" s="192" t="n">
        <x:v>31380471</x:v>
      </x:c>
      <x:c r="B644" s="192" t="str">
        <x:v>https://www.airbnb.com.br/rooms/31380471</x:v>
      </x:c>
      <x:c r="C644" s="192" t="str">
        <x:v>Meia Praia Apartamento Perfeito</x:v>
      </x:c>
      <x:c r="D644" s="192" t="str">
        <x:v>Meia Praia</x:v>
      </x:c>
      <x:c r="E644" s="192" t="n">
        <x:v>-27.12558</x:v>
      </x:c>
      <x:c r="F644" s="192" t="n">
        <x:v>-48.60579</x:v>
      </x:c>
      <x:c r="G644" s="192" t="str">
        <x:v>apartamento</x:v>
      </x:c>
      <x:c r="H644" s="192" t="n">
        <x:v>3</x:v>
      </x:c>
      <x:c r="I644" s="192" t="n">
        <x:v>3</x:v>
      </x:c>
      <x:c r="J644" s="192" t="n">
        <x:v>4</x:v>
      </x:c>
      <x:c r="K644" s="192" t="n">
        <x:v>7</x:v>
      </x:c>
      <x:c r="L644" s="192" t="n">
        <x:v>27</x:v>
      </x:c>
      <x:c r="M644" s="192" t="n">
        <x:v>4.6700000763</x:v>
      </x:c>
      <x:c r="N644" s="192" t="n">
        <x:v>250</x:v>
      </x:c>
      <x:c r="O644" s="192" t="n">
        <x:v>35</x:v>
      </x:c>
      <x:c r="P644" s="193" t="b">
        <x:v>0</x:v>
      </x:c>
      <x:c r="Q644" s="193" t="b">
        <x:v>0</x:v>
      </x:c>
      <x:c r="R644" s="193" t="b">
        <x:v>0</x:v>
      </x:c>
      <x:c r="S644" s="193" t="b">
        <x:v>1</x:v>
      </x:c>
      <x:c r="T644" s="192" t="n">
        <x:v>57</x:v>
      </x:c>
      <x:c r="U644" s="192" t="n">
        <x:v>33</x:v>
      </x:c>
      <x:c r="V644" s="200" t="n">
        <x:v>0.3666666667</x:v>
      </x:c>
      <x:c r="W644" s="203" t="n">
        <x:v>750</x:v>
      </x:c>
      <x:c r="X644" s="203" t="n">
        <x:v>24870.7955736576</x:v>
      </x:c>
      <x:c r="Y644" s="203" t="n">
        <x:v>64301.369389394</x:v>
      </x:c>
      <x:c r="Z644" s="193" t="b">
        <x:v>1</x:v>
      </x:c>
      <x:c r="AA644" s="193" t="b">
        <x:v>0</x:v>
      </x:c>
      <x:c r="AB644" s="193" t="b">
        <x:v>1</x:v>
      </x:c>
      <x:c r="AC644" s="193" t="b">
        <x:v>1</x:v>
      </x:c>
      <x:c r="AD644" s="193" t="b">
        <x:v>1</x:v>
      </x:c>
      <x:c r="AE644" s="193" t="b">
        <x:v>1</x:v>
      </x:c>
      <x:c r="AF644" s="193" t="b">
        <x:v>1</x:v>
      </x:c>
      <x:c r="AG644" s="193" t="b">
        <x:v>1</x:v>
      </x:c>
      <x:c r="AH644" s="193" t="b">
        <x:v>1</x:v>
      </x:c>
      <x:c r="AI644" s="193" t="b">
        <x:v>1</x:v>
      </x:c>
      <x:c r="AJ644" s="193" t="b">
        <x:v>1</x:v>
      </x:c>
    </x:row>
    <x:row r="645">
      <x:c r="A645" s="192" t="n">
        <x:v>44895797</x:v>
      </x:c>
      <x:c r="B645" s="192" t="str">
        <x:v>https://www.airbnb.com.br/rooms/44895797</x:v>
      </x:c>
      <x:c r="C645" s="192" t="str">
        <x:v>segundo prédio da praia/ apto térreo</x:v>
      </x:c>
      <x:c r="D645" s="192" t="str">
        <x:v>Meia Praia</x:v>
      </x:c>
      <x:c r="E645" s="192" t="n">
        <x:v>-27.12884</x:v>
      </x:c>
      <x:c r="F645" s="192" t="n">
        <x:v>-48.60094</x:v>
      </x:c>
      <x:c r="G645" s="192" t="str">
        <x:v>apartamento</x:v>
      </x:c>
      <x:c r="H645" s="192" t="n">
        <x:v>3</x:v>
      </x:c>
      <x:c r="I645" s="192" t="n">
        <x:v>2</x:v>
      </x:c>
      <x:c r="J645" s="192" t="n">
        <x:v>3</x:v>
      </x:c>
      <x:c r="K645" s="192" t="n">
        <x:v>7</x:v>
      </x:c>
      <x:c r="L645" s="192" t="n">
        <x:v>65</x:v>
      </x:c>
      <x:c r="M645" s="192" t="n">
        <x:v>4.8800001144</x:v>
      </x:c>
      <x:c r="N645" s="192" t="n">
        <x:v>179</x:v>
      </x:c>
      <x:c r="O645" s="192" t="n">
        <x:v>18</x:v>
      </x:c>
      <x:c r="P645" s="193" t="b">
        <x:v>1</x:v>
      </x:c>
      <x:c r="Q645" s="193" t="b">
        <x:v>0</x:v>
      </x:c>
      <x:c r="R645" s="193" t="b">
        <x:v>1</x:v>
      </x:c>
      <x:c r="S645" s="193" t="b">
        <x:v>1</x:v>
      </x:c>
      <x:c r="T645" s="192" t="n">
        <x:v>13</x:v>
      </x:c>
      <x:c r="U645" s="192" t="n">
        <x:v>77</x:v>
      </x:c>
      <x:c r="V645" s="200" t="n">
        <x:v>0.8555555556</x:v>
      </x:c>
      <x:c r="W645" s="203" t="n">
        <x:v>705</x:v>
      </x:c>
      <x:c r="X645" s="203" t="n">
        <x:v>54305.2088417012</x:v>
      </x:c>
      <x:c r="Y645" s="203" t="n">
        <x:v>140401.5920261484</x:v>
      </x:c>
      <x:c r="Z645" s="193" t="b">
        <x:v>0</x:v>
      </x:c>
      <x:c r="AA645" s="193" t="b">
        <x:v>0</x:v>
      </x:c>
      <x:c r="AB645" s="193" t="b">
        <x:v>1</x:v>
      </x:c>
      <x:c r="AC645" s="193" t="b">
        <x:v>1</x:v>
      </x:c>
      <x:c r="AD645" s="193" t="b">
        <x:v>0</x:v>
      </x:c>
      <x:c r="AE645" s="193" t="b">
        <x:v>0</x:v>
      </x:c>
      <x:c r="AF645" s="193" t="b">
        <x:v>0</x:v>
      </x:c>
      <x:c r="AG645" s="193" t="b">
        <x:v>1</x:v>
      </x:c>
      <x:c r="AH645" s="193" t="b">
        <x:v>1</x:v>
      </x:c>
      <x:c r="AI645" s="193" t="b">
        <x:v>1</x:v>
      </x:c>
      <x:c r="AJ645" s="193" t="b">
        <x:v>0</x:v>
      </x:c>
    </x:row>
    <x:row r="646">
      <x:c r="A646" s="192" t="n">
        <x:v>1182043782165637400</x:v>
      </x:c>
      <x:c r="B646" s="192" t="str">
        <x:v>https://www.airbnb.com.br/rooms/1182043782165637473</x:v>
      </x:c>
      <x:c r="C646" s="192" t="str">
        <x:v>Apartamento sofisticado vista mar, Itapema MHF1703</x:v>
      </x:c>
      <x:c r="D646" s="192" t="str">
        <x:v>Centro</x:v>
      </x:c>
      <x:c r="E646" s="192" t="n">
        <x:v>-27.0936893</x:v>
      </x:c>
      <x:c r="F646" s="192" t="n">
        <x:v>-48.6131638</x:v>
      </x:c>
      <x:c r="G646" s="192" t="str">
        <x:v>apartamento</x:v>
      </x:c>
      <x:c r="H646" s="192" t="n">
        <x:v>1</x:v>
      </x:c>
      <x:c r="I646" s="192" t="n">
        <x:v>1</x:v>
      </x:c>
      <x:c r="J646" s="192" t="n">
        <x:v>2</x:v>
      </x:c>
      <x:c r="K646" s="192" t="n">
        <x:v>4</x:v>
      </x:c>
      <x:c r="L646" s="192" t="n">
        <x:v>11</x:v>
      </x:c>
      <x:c r="M646" s="192" t="n">
        <x:v>4.8200001717</x:v>
      </x:c>
      <x:c r="N646" s="192" t="n">
        <x:v>190</x:v>
      </x:c>
      <x:c r="O646" s="192" t="n">
        <x:v>0</x:v>
      </x:c>
      <x:c r="P646" s="193" t="b">
        <x:v>1</x:v>
      </x:c>
      <x:c r="Q646" s="193" t="b">
        <x:v>1</x:v>
      </x:c>
      <x:c r="R646" s="193" t="b">
        <x:v>1</x:v>
      </x:c>
      <x:c r="S646" s="193" t="b">
        <x:v>0</x:v>
      </x:c>
      <x:c r="T646" s="192" t="n">
        <x:v>72</x:v>
      </x:c>
      <x:c r="U646" s="192" t="n">
        <x:v>18</x:v>
      </x:c>
      <x:c r="V646" s="200" t="n">
        <x:v>0.2</x:v>
      </x:c>
      <x:c r="W646" s="203" t="n">
        <x:v>471</x:v>
      </x:c>
      <x:c r="X646" s="203" t="n">
        <x:v>8434.587245959</x:v>
      </x:c>
      <x:c r="Y646" s="203" t="n">
        <x:v>21806.9224421565</x:v>
      </x:c>
      <x:c r="Z646" s="193" t="b">
        <x:v>1</x:v>
      </x:c>
      <x:c r="AA646" s="193" t="b">
        <x:v>1</x:v>
      </x:c>
      <x:c r="AB646" s="193" t="b">
        <x:v>1</x:v>
      </x:c>
      <x:c r="AC646" s="193" t="b">
        <x:v>0</x:v>
      </x:c>
      <x:c r="AD646" s="193" t="b">
        <x:v>1</x:v>
      </x:c>
      <x:c r="AE646" s="193" t="b">
        <x:v>1</x:v>
      </x:c>
      <x:c r="AF646" s="193" t="b">
        <x:v>1</x:v>
      </x:c>
      <x:c r="AG646" s="193" t="b">
        <x:v>1</x:v>
      </x:c>
      <x:c r="AH646" s="193" t="b">
        <x:v>1</x:v>
      </x:c>
      <x:c r="AI646" s="193" t="b">
        <x:v>1</x:v>
      </x:c>
      <x:c r="AJ646" s="193" t="b">
        <x:v>0</x:v>
      </x:c>
    </x:row>
    <x:row r="647">
      <x:c r="A647" s="192" t="n">
        <x:v>51861410</x:v>
      </x:c>
      <x:c r="B647" s="192" t="str">
        <x:v>https://www.airbnb.com.br/rooms/51861410</x:v>
      </x:c>
      <x:c r="C647" s="192" t="str">
        <x:v>Casa ampla com piscina, ambiente familiar.</x:v>
      </x:c>
      <x:c r="D647" s="192" t="str">
        <x:v>Varzea</x:v>
      </x:c>
      <x:c r="E647" s="192" t="n">
        <x:v>-27.09874</x:v>
      </x:c>
      <x:c r="F647" s="192" t="n">
        <x:v>-48.62054</x:v>
      </x:c>
      <x:c r="G647" s="192" t="str">
        <x:v>casa</x:v>
      </x:c>
      <x:c r="H647" s="192" t="n">
        <x:v>3</x:v>
      </x:c>
      <x:c r="I647" s="192" t="n">
        <x:v>2</x:v>
      </x:c>
      <x:c r="J647" s="192" t="n">
        <x:v>4</x:v>
      </x:c>
      <x:c r="K647" s="192" t="n">
        <x:v>7</x:v>
      </x:c>
      <x:c r="L647" s="192" t="n">
        <x:v>26</x:v>
      </x:c>
      <x:c r="M647" s="192" t="n">
        <x:v>4.9600000381</x:v>
      </x:c>
      <x:c r="N647" s="192" t="n">
        <x:v>350</x:v>
      </x:c>
      <x:c r="O647" s="192" t="n">
        <x:v>27</x:v>
      </x:c>
      <x:c r="P647" s="193" t="b">
        <x:v>1</x:v>
      </x:c>
      <x:c r="Q647" s="193" t="b">
        <x:v>0</x:v>
      </x:c>
      <x:c r="R647" s="193" t="b">
        <x:v>1</x:v>
      </x:c>
      <x:c r="S647" s="193" t="b">
        <x:v>1</x:v>
      </x:c>
      <x:c r="T647" s="192" t="n">
        <x:v>18</x:v>
      </x:c>
      <x:c r="U647" s="192" t="n">
        <x:v>72</x:v>
      </x:c>
      <x:c r="V647" s="200" t="n">
        <x:v>0.8</x:v>
      </x:c>
      <x:c r="W647" s="203" t="n">
        <x:v>700</x:v>
      </x:c>
      <x:c r="X647" s="203" t="n">
        <x:v>50152.176526747</x:v>
      </x:c>
      <x:c r="Y647" s="203" t="n">
        <x:v>129664.2730618605</x:v>
      </x:c>
      <x:c r="Z647" s="193" t="b">
        <x:v>0</x:v>
      </x:c>
      <x:c r="AA647" s="193" t="b">
        <x:v>1</x:v>
      </x:c>
      <x:c r="AB647" s="193" t="b">
        <x:v>1</x:v>
      </x:c>
      <x:c r="AC647" s="193" t="b">
        <x:v>1</x:v>
      </x:c>
      <x:c r="AD647" s="193" t="b">
        <x:v>0</x:v>
      </x:c>
      <x:c r="AE647" s="193" t="b">
        <x:v>0</x:v>
      </x:c>
      <x:c r="AF647" s="193" t="b">
        <x:v>1</x:v>
      </x:c>
      <x:c r="AG647" s="193" t="b">
        <x:v>1</x:v>
      </x:c>
      <x:c r="AH647" s="193" t="b">
        <x:v>1</x:v>
      </x:c>
      <x:c r="AI647" s="193" t="b">
        <x:v>1</x:v>
      </x:c>
      <x:c r="AJ647" s="193" t="b">
        <x:v>0</x:v>
      </x:c>
    </x:row>
    <x:row r="648">
      <x:c r="A648" s="192" t="n">
        <x:v>30910938</x:v>
      </x:c>
      <x:c r="B648" s="192" t="str">
        <x:v>https://www.airbnb.com.br/rooms/30910938</x:v>
      </x:c>
      <x:c r="C648" s="192" t="str">
        <x:v>Aconchegante Ap. a 100m do Mar para até 6 pessoas.</x:v>
      </x:c>
      <x:c r="D648" s="192" t="str">
        <x:v>Meia Praia</x:v>
      </x:c>
      <x:c r="E648" s="192" t="n">
        <x:v>-27.12907</x:v>
      </x:c>
      <x:c r="F648" s="192" t="n">
        <x:v>-48.60141</x:v>
      </x:c>
      <x:c r="G648" s="192" t="str">
        <x:v>apartamento</x:v>
      </x:c>
      <x:c r="H648" s="192" t="n">
        <x:v>2</x:v>
      </x:c>
      <x:c r="I648" s="192" t="n">
        <x:v>2</x:v>
      </x:c>
      <x:c r="J648" s="192" t="n">
        <x:v>3</x:v>
      </x:c>
      <x:c r="K648" s="192" t="n">
        <x:v>6</x:v>
      </x:c>
      <x:c r="L648" s="192" t="n">
        <x:v>46</x:v>
      </x:c>
      <x:c r="M648" s="192" t="n">
        <x:v>4.9299998283</x:v>
      </x:c>
      <x:c r="N648" s="192" t="n">
        <x:v>300</x:v>
      </x:c>
      <x:c r="O648" s="192" t="n">
        <x:v>18</x:v>
      </x:c>
      <x:c r="P648" s="193" t="b">
        <x:v>0</x:v>
      </x:c>
      <x:c r="Q648" s="193" t="b">
        <x:v>0</x:v>
      </x:c>
      <x:c r="R648" s="193" t="b">
        <x:v>1</x:v>
      </x:c>
      <x:c r="S648" s="193" t="b">
        <x:v>1</x:v>
      </x:c>
      <x:c r="T648" s="192" t="n">
        <x:v>54</x:v>
      </x:c>
      <x:c r="U648" s="192" t="n">
        <x:v>36</x:v>
      </x:c>
      <x:c r="V648" s="200" t="n">
        <x:v>0.4</x:v>
      </x:c>
      <x:c r="W648" s="203" t="n">
        <x:v>450</x:v>
      </x:c>
      <x:c r="X648" s="203" t="n">
        <x:v>17089.951831573</x:v>
      </x:c>
      <x:c r="Y648" s="203" t="n">
        <x:v>44184.6462978793</x:v>
      </x:c>
      <x:c r="Z648" s="193" t="b">
        <x:v>1</x:v>
      </x:c>
      <x:c r="AA648" s="193" t="b">
        <x:v>0</x:v>
      </x:c>
      <x:c r="AB648" s="193" t="b">
        <x:v>1</x:v>
      </x:c>
      <x:c r="AC648" s="193" t="b">
        <x:v>1</x:v>
      </x:c>
      <x:c r="AD648" s="193" t="b">
        <x:v>1</x:v>
      </x:c>
      <x:c r="AE648" s="193" t="b">
        <x:v>1</x:v>
      </x:c>
      <x:c r="AF648" s="193" t="b">
        <x:v>1</x:v>
      </x:c>
      <x:c r="AG648" s="193" t="b">
        <x:v>1</x:v>
      </x:c>
      <x:c r="AH648" s="193" t="b">
        <x:v>1</x:v>
      </x:c>
      <x:c r="AI648" s="193" t="b">
        <x:v>1</x:v>
      </x:c>
      <x:c r="AJ648" s="193" t="b">
        <x:v>1</x:v>
      </x:c>
    </x:row>
    <x:row r="649">
      <x:c r="A649" s="192" t="n">
        <x:v>806702099486447400</x:v>
      </x:c>
      <x:c r="B649" s="192" t="str">
        <x:v>https://www.airbnb.com.br/rooms/806702099486447309</x:v>
      </x:c>
      <x:c r="C649" s="192" t="str">
        <x:v>Apto 3 quartos a 60 m do mar</x:v>
      </x:c>
      <x:c r="D649" s="192" t="str">
        <x:v>Meia Praia</x:v>
      </x:c>
      <x:c r="E649" s="192" t="n">
        <x:v>-27.1359996796</x:v>
      </x:c>
      <x:c r="F649" s="192" t="n">
        <x:v>-48.5950012207</x:v>
      </x:c>
      <x:c r="G649" s="192" t="str">
        <x:v>apartamento</x:v>
      </x:c>
      <x:c r="H649" s="192" t="n">
        <x:v>3</x:v>
      </x:c>
      <x:c r="I649" s="192" t="n">
        <x:v>2</x:v>
      </x:c>
      <x:c r="J649" s="192" t="n">
        <x:v>3</x:v>
      </x:c>
      <x:c r="K649" s="192" t="n">
        <x:v>8</x:v>
      </x:c>
      <x:c r="L649" s="192" t="n">
        <x:v>9</x:v>
      </x:c>
      <x:c r="M649" s="192" t="n">
        <x:v>5</x:v>
      </x:c>
      <x:c r="N649" s="192" t="n">
        <x:v>300</x:v>
      </x:c>
      <x:c r="O649" s="192" t="n">
        <x:v>25</x:v>
      </x:c>
      <x:c r="P649" s="193" t="b">
        <x:v>0</x:v>
      </x:c>
      <x:c r="Q649" s="193" t="b">
        <x:v>0</x:v>
      </x:c>
      <x:c r="R649" s="193" t="b">
        <x:v>1</x:v>
      </x:c>
      <x:c r="S649" s="193" t="b">
        <x:v>0</x:v>
      </x:c>
      <x:c r="T649" s="192" t="n">
        <x:v>60</x:v>
      </x:c>
      <x:c r="U649" s="192" t="n">
        <x:v>30</x:v>
      </x:c>
      <x:c r="V649" s="200" t="n">
        <x:v>0.3333333333</x:v>
      </x:c>
      <x:c r="W649" s="203" t="n">
        <x:v>500</x:v>
      </x:c>
      <x:c r="X649" s="203" t="n">
        <x:v>16126.0438439913</x:v>
      </x:c>
      <x:c r="Y649" s="203" t="n">
        <x:v>41692.5425216526</x:v>
      </x:c>
      <x:c r="Z649" s="193" t="b">
        <x:v>1</x:v>
      </x:c>
      <x:c r="AA649" s="193" t="b">
        <x:v>0</x:v>
      </x:c>
      <x:c r="AB649" s="193" t="b">
        <x:v>1</x:v>
      </x:c>
      <x:c r="AC649" s="193" t="b">
        <x:v>1</x:v>
      </x:c>
      <x:c r="AD649" s="193" t="b">
        <x:v>0</x:v>
      </x:c>
      <x:c r="AE649" s="193" t="b">
        <x:v>1</x:v>
      </x:c>
      <x:c r="AF649" s="193" t="b">
        <x:v>1</x:v>
      </x:c>
      <x:c r="AG649" s="193" t="b">
        <x:v>1</x:v>
      </x:c>
      <x:c r="AH649" s="193" t="b">
        <x:v>1</x:v>
      </x:c>
      <x:c r="AI649" s="193" t="b">
        <x:v>1</x:v>
      </x:c>
      <x:c r="AJ649" s="193" t="b">
        <x:v>1</x:v>
      </x:c>
    </x:row>
    <x:row r="650">
      <x:c r="A650" s="192" t="n">
        <x:v>53008127</x:v>
      </x:c>
      <x:c r="B650" s="192" t="str">
        <x:v>https://www.airbnb.com.br/rooms/53008127</x:v>
      </x:c>
      <x:c r="C650" s="192" t="str">
        <x:v>Apartamento perto do mar no coração da Meia Praia!</x:v>
      </x:c>
      <x:c r="D650" s="192" t="str">
        <x:v>Meia Praia</x:v>
      </x:c>
      <x:c r="E650" s="192" t="n">
        <x:v>-27.131344</x:v>
      </x:c>
      <x:c r="F650" s="192" t="n">
        <x:v>-48.601601</x:v>
      </x:c>
      <x:c r="G650" s="192" t="str">
        <x:v>apartamento</x:v>
      </x:c>
      <x:c r="H650" s="192" t="n">
        <x:v>3</x:v>
      </x:c>
      <x:c r="I650" s="192" t="n">
        <x:v>2</x:v>
      </x:c>
      <x:c r="J650" s="192" t="n">
        <x:v>5</x:v>
      </x:c>
      <x:c r="K650" s="192" t="n">
        <x:v>9</x:v>
      </x:c>
      <x:c r="L650" s="192" t="n">
        <x:v>34</x:v>
      </x:c>
      <x:c r="M650" s="192" t="n">
        <x:v>4.8499999046</x:v>
      </x:c>
      <x:c r="N650" s="192" t="n">
        <x:v>250</x:v>
      </x:c>
      <x:c r="O650" s="192" t="n">
        <x:v>9</x:v>
      </x:c>
      <x:c r="P650" s="193" t="b">
        <x:v>0</x:v>
      </x:c>
      <x:c r="Q650" s="193" t="b">
        <x:v>0</x:v>
      </x:c>
      <x:c r="R650" s="193" t="b">
        <x:v>1</x:v>
      </x:c>
      <x:c r="S650" s="193" t="b">
        <x:v>1</x:v>
      </x:c>
      <x:c r="T650" s="192" t="n">
        <x:v>51</x:v>
      </x:c>
      <x:c r="U650" s="192" t="n">
        <x:v>39</x:v>
      </x:c>
      <x:c r="V650" s="200" t="n">
        <x:v>0.4333333333</x:v>
      </x:c>
      <x:c r="W650" s="203" t="n">
        <x:v>300</x:v>
      </x:c>
      <x:c r="X650" s="203" t="n">
        <x:v>11872.4901894006</x:v>
      </x:c>
      <x:c r="Y650" s="203" t="n">
        <x:v>30695.3340105127</x:v>
      </x:c>
      <x:c r="Z650" s="193" t="b">
        <x:v>1</x:v>
      </x:c>
      <x:c r="AA650" s="193" t="b">
        <x:v>0</x:v>
      </x:c>
      <x:c r="AB650" s="193" t="b">
        <x:v>1</x:v>
      </x:c>
      <x:c r="AC650" s="193" t="b">
        <x:v>1</x:v>
      </x:c>
      <x:c r="AD650" s="193" t="b">
        <x:v>0</x:v>
      </x:c>
      <x:c r="AE650" s="193" t="b">
        <x:v>1</x:v>
      </x:c>
      <x:c r="AF650" s="193" t="b">
        <x:v>1</x:v>
      </x:c>
      <x:c r="AG650" s="193" t="b">
        <x:v>1</x:v>
      </x:c>
      <x:c r="AH650" s="193" t="b">
        <x:v>1</x:v>
      </x:c>
      <x:c r="AI650" s="193" t="b">
        <x:v>1</x:v>
      </x:c>
      <x:c r="AJ650" s="193" t="b">
        <x:v>0</x:v>
      </x:c>
    </x:row>
    <x:row r="651">
      <x:c r="A651" s="192" t="n">
        <x:v>53445765</x:v>
      </x:c>
      <x:c r="B651" s="192" t="str">
        <x:v>https://www.airbnb.com.br/rooms/53445765</x:v>
      </x:c>
      <x:c r="C651" s="192" t="str">
        <x:v>Apto em Itapema próximo ao mar com dois quartos</x:v>
      </x:c>
      <x:c r="D651" s="192" t="str">
        <x:v>Meia Praia</x:v>
      </x:c>
      <x:c r="E651" s="192" t="n">
        <x:v>-27.13015</x:v>
      </x:c>
      <x:c r="F651" s="192" t="n">
        <x:v>-48.60173</x:v>
      </x:c>
      <x:c r="G651" s="192" t="str">
        <x:v>apartamento</x:v>
      </x:c>
      <x:c r="H651" s="192" t="n">
        <x:v>2</x:v>
      </x:c>
      <x:c r="I651" s="192" t="n">
        <x:v>2</x:v>
      </x:c>
      <x:c r="J651" s="192" t="n">
        <x:v>2</x:v>
      </x:c>
      <x:c r="K651" s="192" t="n">
        <x:v>6</x:v>
      </x:c>
      <x:c r="L651" s="192" t="n">
        <x:v>24</x:v>
      </x:c>
      <x:c r="M651" s="192" t="n">
        <x:v>5</x:v>
      </x:c>
      <x:c r="N651" s="192" t="n">
        <x:v>200</x:v>
      </x:c>
      <x:c r="O651" s="192" t="n">
        <x:v>11</x:v>
      </x:c>
      <x:c r="P651" s="193" t="b">
        <x:v>1</x:v>
      </x:c>
      <x:c r="Q651" s="193" t="b">
        <x:v>0</x:v>
      </x:c>
      <x:c r="R651" s="193" t="b">
        <x:v>1</x:v>
      </x:c>
      <x:c r="S651" s="193" t="b">
        <x:v>1</x:v>
      </x:c>
      <x:c r="T651" s="192" t="n">
        <x:v>52</x:v>
      </x:c>
      <x:c r="U651" s="192" t="n">
        <x:v>38</x:v>
      </x:c>
      <x:c r="V651" s="200" t="n">
        <x:v>0.4222222222</x:v>
      </x:c>
      <x:c r="W651" s="203" t="n">
        <x:v>348.75</x:v>
      </x:c>
      <x:c r="X651" s="203" t="n">
        <x:v>14012.8022832025</x:v>
      </x:c>
      <x:c r="Y651" s="203" t="n">
        <x:v>36228.9325696966</x:v>
      </x:c>
      <x:c r="Z651" s="193" t="b">
        <x:v>1</x:v>
      </x:c>
      <x:c r="AA651" s="193" t="b">
        <x:v>0</x:v>
      </x:c>
      <x:c r="AB651" s="193" t="b">
        <x:v>1</x:v>
      </x:c>
      <x:c r="AC651" s="193" t="b">
        <x:v>1</x:v>
      </x:c>
      <x:c r="AD651" s="193" t="b">
        <x:v>1</x:v>
      </x:c>
      <x:c r="AE651" s="193" t="b">
        <x:v>1</x:v>
      </x:c>
      <x:c r="AF651" s="193" t="b">
        <x:v>1</x:v>
      </x:c>
      <x:c r="AG651" s="193" t="b">
        <x:v>1</x:v>
      </x:c>
      <x:c r="AH651" s="193" t="b">
        <x:v>1</x:v>
      </x:c>
      <x:c r="AI651" s="193" t="b">
        <x:v>1</x:v>
      </x:c>
      <x:c r="AJ651" s="193" t="b">
        <x:v>0</x:v>
      </x:c>
    </x:row>
    <x:row r="652">
      <x:c r="A652" s="192" t="n">
        <x:v>1187772975255244500</x:v>
      </x:c>
      <x:c r="B652" s="192" t="str">
        <x:v>https://www.airbnb.com.br/rooms/1187772975255244525</x:v>
      </x:c>
      <x:c r="C652" s="192" t="str">
        <x:v>Studio em Prédio com Piscina Vista Mar MHFA2005</x:v>
      </x:c>
      <x:c r="D652" s="192" t="str">
        <x:v>Centro</x:v>
      </x:c>
      <x:c r="E652" s="192" t="n">
        <x:v>-27.0936893</x:v>
      </x:c>
      <x:c r="F652" s="192" t="n">
        <x:v>-48.6131638</x:v>
      </x:c>
      <x:c r="G652" s="192" t="str">
        <x:v>apartamento</x:v>
      </x:c>
      <x:c r="H652" s="192" t="n">
        <x:v>1</x:v>
      </x:c>
      <x:c r="I652" s="192" t="n">
        <x:v>1</x:v>
      </x:c>
      <x:c r="J652" s="192" t="n">
        <x:v>1</x:v>
      </x:c>
      <x:c r="K652" s="192" t="n">
        <x:v>2</x:v>
      </x:c>
      <x:c r="L652" s="192" t="n">
        <x:v>23</x:v>
      </x:c>
      <x:c r="M652" s="192" t="n">
        <x:v>4.8699998856</x:v>
      </x:c>
      <x:c r="N652" s="192" t="n">
        <x:v>150</x:v>
      </x:c>
      <x:c r="O652" s="192" t="n">
        <x:v>0</x:v>
      </x:c>
      <x:c r="P652" s="193" t="b">
        <x:v>1</x:v>
      </x:c>
      <x:c r="Q652" s="193" t="b">
        <x:v>1</x:v>
      </x:c>
      <x:c r="R652" s="193" t="b">
        <x:v>1</x:v>
      </x:c>
      <x:c r="S652" s="193" t="b">
        <x:v>0</x:v>
      </x:c>
      <x:c r="T652" s="192" t="n">
        <x:v>63</x:v>
      </x:c>
      <x:c r="U652" s="192" t="n">
        <x:v>27</x:v>
      </x:c>
      <x:c r="V652" s="200" t="n">
        <x:v>0.3</x:v>
      </x:c>
      <x:c r="W652" s="203" t="n">
        <x:v>384</x:v>
      </x:c>
      <x:c r="X652" s="203" t="n">
        <x:v>10901.7656318258</x:v>
      </x:c>
      <x:c r="Y652" s="203" t="n">
        <x:v>28185.6065606163</x:v>
      </x:c>
      <x:c r="Z652" s="193" t="b">
        <x:v>1</x:v>
      </x:c>
      <x:c r="AA652" s="193" t="b">
        <x:v>1</x:v>
      </x:c>
      <x:c r="AB652" s="193" t="b">
        <x:v>1</x:v>
      </x:c>
      <x:c r="AC652" s="193" t="b">
        <x:v>1</x:v>
      </x:c>
      <x:c r="AD652" s="193" t="b">
        <x:v>1</x:v>
      </x:c>
      <x:c r="AE652" s="193" t="b">
        <x:v>0</x:v>
      </x:c>
      <x:c r="AF652" s="193" t="b">
        <x:v>1</x:v>
      </x:c>
      <x:c r="AG652" s="193" t="b">
        <x:v>1</x:v>
      </x:c>
      <x:c r="AH652" s="193" t="b">
        <x:v>1</x:v>
      </x:c>
      <x:c r="AI652" s="193" t="b">
        <x:v>0</x:v>
      </x:c>
      <x:c r="AJ652" s="193" t="b">
        <x:v>0</x:v>
      </x:c>
    </x:row>
    <x:row r="653">
      <x:c r="A653" s="192" t="n">
        <x:v>1058777213156843300</x:v>
      </x:c>
      <x:c r="B653" s="192" t="str">
        <x:v>https://www.airbnb.com.br/rooms/1058777213156843238</x:v>
      </x:c>
      <x:c r="C653" s="192" t="str">
        <x:v>Flat no coração de Itapema - Meia Praia</x:v>
      </x:c>
      <x:c r="D653" s="192" t="str">
        <x:v>Meia Praia</x:v>
      </x:c>
      <x:c r="E653" s="192" t="n">
        <x:v>-27.12804</x:v>
      </x:c>
      <x:c r="F653" s="192" t="n">
        <x:v>-48.60495</x:v>
      </x:c>
      <x:c r="G653" s="192" t="str">
        <x:v>apartamento</x:v>
      </x:c>
      <x:c r="H653" s="192" t="n">
        <x:v>1</x:v>
      </x:c>
      <x:c r="I653" s="192" t="n">
        <x:v>1</x:v>
      </x:c>
      <x:c r="J653" s="192" t="n">
        <x:v>2</x:v>
      </x:c>
      <x:c r="K653" s="192" t="n">
        <x:v>4</x:v>
      </x:c>
      <x:c r="L653" s="192" t="n">
        <x:v>24</x:v>
      </x:c>
      <x:c r="M653" s="192" t="n">
        <x:v>5</x:v>
      </x:c>
      <x:c r="N653" s="192" t="n">
        <x:v>212</x:v>
      </x:c>
      <x:c r="O653" s="192" t="n">
        <x:v>37</x:v>
      </x:c>
      <x:c r="P653" s="193" t="b">
        <x:v>0</x:v>
      </x:c>
      <x:c r="Q653" s="193" t="b">
        <x:v>1</x:v>
      </x:c>
      <x:c r="R653" s="193" t="b">
        <x:v>1</x:v>
      </x:c>
      <x:c r="S653" s="193" t="b">
        <x:v>1</x:v>
      </x:c>
      <x:c r="T653" s="192" t="n">
        <x:v>26</x:v>
      </x:c>
      <x:c r="U653" s="192" t="n">
        <x:v>64</x:v>
      </x:c>
      <x:c r="V653" s="200" t="n">
        <x:v>0.7111111111</x:v>
      </x:c>
      <x:c r="W653" s="203" t="n">
        <x:v>360</x:v>
      </x:c>
      <x:c r="X653" s="203" t="n">
        <x:v>23495.4259561708</x:v>
      </x:c>
      <x:c r="Y653" s="203" t="n">
        <x:v>60745.4658575167</x:v>
      </x:c>
      <x:c r="Z653" s="193" t="b">
        <x:v>0</x:v>
      </x:c>
      <x:c r="AA653" s="193" t="b">
        <x:v>1</x:v>
      </x:c>
      <x:c r="AB653" s="193" t="b">
        <x:v>1</x:v>
      </x:c>
      <x:c r="AC653" s="193" t="b">
        <x:v>1</x:v>
      </x:c>
      <x:c r="AD653" s="193" t="b">
        <x:v>0</x:v>
      </x:c>
      <x:c r="AE653" s="193" t="b">
        <x:v>0</x:v>
      </x:c>
      <x:c r="AF653" s="193" t="b">
        <x:v>0</x:v>
      </x:c>
      <x:c r="AG653" s="193" t="b">
        <x:v>1</x:v>
      </x:c>
      <x:c r="AH653" s="193" t="b">
        <x:v>1</x:v>
      </x:c>
      <x:c r="AI653" s="193" t="b">
        <x:v>1</x:v>
      </x:c>
      <x:c r="AJ653" s="193" t="b">
        <x:v>0</x:v>
      </x:c>
    </x:row>
    <x:row r="654">
      <x:c r="A654" s="192" t="n">
        <x:v>30491733</x:v>
      </x:c>
      <x:c r="B654" s="192" t="str">
        <x:v>https://www.airbnb.com.br/rooms/30491733</x:v>
      </x:c>
      <x:c r="C654" s="192" t="str">
        <x:v>Um por andar, apartamento 3 suítes quadra do mar</x:v>
      </x:c>
      <x:c r="D654" s="192" t="str">
        <x:v>Meia Praia</x:v>
      </x:c>
      <x:c r="E654" s="192" t="n">
        <x:v>-27.11791</x:v>
      </x:c>
      <x:c r="F654" s="192" t="n">
        <x:v>-48.60875</x:v>
      </x:c>
      <x:c r="G654" s="192" t="str">
        <x:v>apartamento</x:v>
      </x:c>
      <x:c r="H654" s="192" t="n">
        <x:v>4</x:v>
      </x:c>
      <x:c r="I654" s="192" t="n">
        <x:v>3</x:v>
      </x:c>
      <x:c r="J654" s="192" t="n">
        <x:v>4</x:v>
      </x:c>
      <x:c r="K654" s="192" t="n">
        <x:v>9</x:v>
      </x:c>
      <x:c r="L654" s="192" t="n">
        <x:v>18</x:v>
      </x:c>
      <x:c r="M654" s="192" t="n">
        <x:v>4.9400000572</x:v>
      </x:c>
      <x:c r="N654" s="192" t="n">
        <x:v>350</x:v>
      </x:c>
      <x:c r="O654" s="192" t="n">
        <x:v>51</x:v>
      </x:c>
      <x:c r="P654" s="193" t="b">
        <x:v>0</x:v>
      </x:c>
      <x:c r="Q654" s="193" t="b">
        <x:v>0</x:v>
      </x:c>
      <x:c r="R654" s="193" t="b">
        <x:v>1</x:v>
      </x:c>
      <x:c r="S654" s="193" t="b">
        <x:v>0</x:v>
      </x:c>
      <x:c r="T654" s="192" t="n">
        <x:v>48</x:v>
      </x:c>
      <x:c r="U654" s="192" t="n">
        <x:v>42</x:v>
      </x:c>
      <x:c r="V654" s="200" t="n">
        <x:v>0.4666666667</x:v>
      </x:c>
      <x:c r="W654" s="203" t="n">
        <x:v>770</x:v>
      </x:c>
      <x:c r="X654" s="203" t="n">
        <x:v>33297.3913008573</x:v>
      </x:c>
      <x:c r="Y654" s="203" t="n">
        <x:v>86087.6304257581</x:v>
      </x:c>
      <x:c r="Z654" s="193" t="b">
        <x:v>1</x:v>
      </x:c>
      <x:c r="AA654" s="193" t="b">
        <x:v>0</x:v>
      </x:c>
      <x:c r="AB654" s="193" t="b">
        <x:v>1</x:v>
      </x:c>
      <x:c r="AC654" s="193" t="b">
        <x:v>1</x:v>
      </x:c>
      <x:c r="AD654" s="193" t="b">
        <x:v>1</x:v>
      </x:c>
      <x:c r="AE654" s="193" t="b">
        <x:v>1</x:v>
      </x:c>
      <x:c r="AF654" s="193" t="b">
        <x:v>1</x:v>
      </x:c>
      <x:c r="AG654" s="193" t="b">
        <x:v>1</x:v>
      </x:c>
      <x:c r="AH654" s="193" t="b">
        <x:v>1</x:v>
      </x:c>
      <x:c r="AI654" s="193" t="b">
        <x:v>1</x:v>
      </x:c>
      <x:c r="AJ654" s="193" t="b">
        <x:v>1</x:v>
      </x:c>
    </x:row>
    <x:row r="655">
      <x:c r="A655" s="192" t="n">
        <x:v>728531681504671000</x:v>
      </x:c>
      <x:c r="B655" s="192" t="str">
        <x:v>https://www.airbnb.com.br/rooms/728531681504670920</x:v>
      </x:c>
      <x:c r="C655" s="192" t="str">
        <x:v>Apartamento encantador com estacionamento exclusiv</x:v>
      </x:c>
      <x:c r="D655" s="192" t="str">
        <x:v>Tabuleiro dos Oliveiras</x:v>
      </x:c>
      <x:c r="E655" s="192" t="n">
        <x:v>-27.1076568035</x:v>
      </x:c>
      <x:c r="F655" s="192" t="n">
        <x:v>-48.6166237721</x:v>
      </x:c>
      <x:c r="G655" s="192" t="str">
        <x:v>apartamento</x:v>
      </x:c>
      <x:c r="H655" s="192" t="n">
        <x:v>2</x:v>
      </x:c>
      <x:c r="I655" s="192" t="n">
        <x:v>2</x:v>
      </x:c>
      <x:c r="J655" s="192" t="n">
        <x:v>6</x:v>
      </x:c>
      <x:c r="K655" s="192" t="n">
        <x:v>10</x:v>
      </x:c>
      <x:c r="L655" s="192" t="n">
        <x:v>55</x:v>
      </x:c>
      <x:c r="M655" s="192" t="n">
        <x:v>4.8400001526</x:v>
      </x:c>
      <x:c r="N655" s="192" t="n">
        <x:v>250</x:v>
      </x:c>
      <x:c r="O655" s="192" t="n">
        <x:v>16</x:v>
      </x:c>
      <x:c r="P655" s="193" t="b">
        <x:v>0</x:v>
      </x:c>
      <x:c r="Q655" s="193" t="b">
        <x:v>0</x:v>
      </x:c>
      <x:c r="R655" s="193" t="b">
        <x:v>1</x:v>
      </x:c>
      <x:c r="S655" s="193" t="b">
        <x:v>1</x:v>
      </x:c>
      <x:c r="T655" s="192" t="n">
        <x:v>37</x:v>
      </x:c>
      <x:c r="U655" s="192" t="n">
        <x:v>53</x:v>
      </x:c>
      <x:c r="V655" s="200" t="n">
        <x:v>0.5888888889</x:v>
      </x:c>
      <x:c r="W655" s="203" t="n">
        <x:v>133.5</x:v>
      </x:c>
      <x:c r="X655" s="203" t="n">
        <x:v>7208.291678746</x:v>
      </x:c>
      <x:c r="Y655" s="203" t="n">
        <x:v>18636.4374444246</x:v>
      </x:c>
      <x:c r="Z655" s="193" t="b">
        <x:v>1</x:v>
      </x:c>
      <x:c r="AA655" s="193" t="b">
        <x:v>0</x:v>
      </x:c>
      <x:c r="AB655" s="193" t="b">
        <x:v>0</x:v>
      </x:c>
      <x:c r="AC655" s="193" t="b">
        <x:v>1</x:v>
      </x:c>
      <x:c r="AD655" s="193" t="b">
        <x:v>1</x:v>
      </x:c>
      <x:c r="AE655" s="193" t="b">
        <x:v>0</x:v>
      </x:c>
      <x:c r="AF655" s="193" t="b">
        <x:v>1</x:v>
      </x:c>
      <x:c r="AG655" s="193" t="b">
        <x:v>1</x:v>
      </x:c>
      <x:c r="AH655" s="193" t="b">
        <x:v>1</x:v>
      </x:c>
      <x:c r="AI655" s="193" t="b">
        <x:v>1</x:v>
      </x:c>
      <x:c r="AJ655" s="193" t="b">
        <x:v>1</x:v>
      </x:c>
    </x:row>
    <x:row r="656">
      <x:c r="A656" s="192" t="n">
        <x:v>1019453731090411800</x:v>
      </x:c>
      <x:c r="B656" s="192" t="str">
        <x:v>https://www.airbnb.com.br/rooms/1019453731090411731</x:v>
      </x:c>
      <x:c r="C656" s="192" t="str">
        <x:v>FLAT finamente mobiliado</x:v>
      </x:c>
      <x:c r="D656" s="192" t="str">
        <x:v>Meia Praia</x:v>
      </x:c>
      <x:c r="E656" s="192" t="n">
        <x:v>-27.1280002594</x:v>
      </x:c>
      <x:c r="F656" s="192" t="n">
        <x:v>-48.6049995422</x:v>
      </x:c>
      <x:c r="G656" s="192" t="str">
        <x:v>apartamento</x:v>
      </x:c>
      <x:c r="H656" s="192" t="n">
        <x:v>0</x:v>
      </x:c>
      <x:c r="I656" s="192" t="n">
        <x:v>1</x:v>
      </x:c>
      <x:c r="J656" s="192" t="n">
        <x:v>2</x:v>
      </x:c>
      <x:c r="K656" s="192" t="n">
        <x:v>4</x:v>
      </x:c>
      <x:c r="L656" s="192" t="n">
        <x:v>12</x:v>
      </x:c>
      <x:c r="M656" s="192" t="n">
        <x:v>5</x:v>
      </x:c>
      <x:c r="N656" s="192" t="n">
        <x:v>200</x:v>
      </x:c>
      <x:c r="O656" s="192" t="n">
        <x:v>27</x:v>
      </x:c>
      <x:c r="P656" s="193" t="b">
        <x:v>0</x:v>
      </x:c>
      <x:c r="Q656" s="193" t="b">
        <x:v>0</x:v>
      </x:c>
      <x:c r="R656" s="193" t="b">
        <x:v>1</x:v>
      </x:c>
      <x:c r="S656" s="193" t="b">
        <x:v>1</x:v>
      </x:c>
      <x:c r="T656" s="192" t="n">
        <x:v>66</x:v>
      </x:c>
      <x:c r="U656" s="192" t="n">
        <x:v>24</x:v>
      </x:c>
      <x:c r="V656" s="200" t="n">
        <x:v>0.2666666667</x:v>
      </x:c>
      <x:c r="W656" s="203" t="n">
        <x:v>380</x:v>
      </x:c>
      <x:c r="X656" s="203" t="n">
        <x:v>9022.9235454784</x:v>
      </x:c>
      <x:c r="Y656" s="203" t="n">
        <x:v>23328.0169165388</x:v>
      </x:c>
      <x:c r="Z656" s="193" t="b">
        <x:v>1</x:v>
      </x:c>
      <x:c r="AA656" s="193" t="b">
        <x:v>1</x:v>
      </x:c>
      <x:c r="AB656" s="193" t="b">
        <x:v>1</x:v>
      </x:c>
      <x:c r="AC656" s="193" t="b">
        <x:v>1</x:v>
      </x:c>
      <x:c r="AD656" s="193" t="b">
        <x:v>0</x:v>
      </x:c>
      <x:c r="AE656" s="193" t="b">
        <x:v>0</x:v>
      </x:c>
      <x:c r="AF656" s="193" t="b">
        <x:v>0</x:v>
      </x:c>
      <x:c r="AG656" s="193" t="b">
        <x:v>1</x:v>
      </x:c>
      <x:c r="AH656" s="193" t="b">
        <x:v>1</x:v>
      </x:c>
      <x:c r="AI656" s="193" t="b">
        <x:v>1</x:v>
      </x:c>
      <x:c r="AJ656" s="193" t="b">
        <x:v>0</x:v>
      </x:c>
    </x:row>
    <x:row r="657">
      <x:c r="A657" s="192" t="n">
        <x:v>754796838418506200</x:v>
      </x:c>
      <x:c r="B657" s="192" t="str">
        <x:v>https://www.airbnb.com.br/rooms/754796838418506202</x:v>
      </x:c>
      <x:c r="C657" s="192" t="str">
        <x:v>Apartamento em Itapema, meia praia.130 mts do mar</x:v>
      </x:c>
      <x:c r="D657" s="192" t="str">
        <x:v>Meia Praia</x:v>
      </x:c>
      <x:c r="E657" s="192" t="n">
        <x:v>-27.12502</x:v>
      </x:c>
      <x:c r="F657" s="192" t="n">
        <x:v>-48.60405</x:v>
      </x:c>
      <x:c r="G657" s="192" t="str">
        <x:v>apartamento</x:v>
      </x:c>
      <x:c r="H657" s="192" t="n">
        <x:v>3</x:v>
      </x:c>
      <x:c r="I657" s="192" t="n">
        <x:v>2</x:v>
      </x:c>
      <x:c r="J657" s="192" t="n">
        <x:v>3</x:v>
      </x:c>
      <x:c r="K657" s="192" t="n">
        <x:v>9</x:v>
      </x:c>
      <x:c r="L657" s="192" t="n">
        <x:v>12</x:v>
      </x:c>
      <x:c r="M657" s="192" t="n">
        <x:v>5</x:v>
      </x:c>
      <x:c r="N657" s="192" t="n">
        <x:v>350</x:v>
      </x:c>
      <x:c r="O657" s="192" t="n">
        <x:v>35</x:v>
      </x:c>
      <x:c r="P657" s="193" t="b">
        <x:v>0</x:v>
      </x:c>
      <x:c r="Q657" s="193" t="b">
        <x:v>0</x:v>
      </x:c>
      <x:c r="R657" s="193" t="b">
        <x:v>1</x:v>
      </x:c>
      <x:c r="S657" s="193" t="b">
        <x:v>0</x:v>
      </x:c>
      <x:c r="T657" s="192" t="n">
        <x:v>68</x:v>
      </x:c>
      <x:c r="U657" s="192" t="n">
        <x:v>22</x:v>
      </x:c>
      <x:c r="V657" s="200" t="n">
        <x:v>0.2444444444</x:v>
      </x:c>
      <x:c r="W657" s="203" t="n">
        <x:v>600</x:v>
      </x:c>
      <x:c r="X657" s="203" t="n">
        <x:v>12826.7481015761</x:v>
      </x:c>
      <x:c r="Y657" s="203" t="n">
        <x:v>33162.4883209497</x:v>
      </x:c>
      <x:c r="Z657" s="193" t="b">
        <x:v>1</x:v>
      </x:c>
      <x:c r="AA657" s="193" t="b">
        <x:v>0</x:v>
      </x:c>
      <x:c r="AB657" s="193" t="b">
        <x:v>1</x:v>
      </x:c>
      <x:c r="AC657" s="193" t="b">
        <x:v>1</x:v>
      </x:c>
      <x:c r="AD657" s="193" t="b">
        <x:v>0</x:v>
      </x:c>
      <x:c r="AE657" s="193" t="b">
        <x:v>1</x:v>
      </x:c>
      <x:c r="AF657" s="193" t="b">
        <x:v>1</x:v>
      </x:c>
      <x:c r="AG657" s="193" t="b">
        <x:v>1</x:v>
      </x:c>
      <x:c r="AH657" s="193" t="b">
        <x:v>1</x:v>
      </x:c>
      <x:c r="AI657" s="193" t="b">
        <x:v>1</x:v>
      </x:c>
      <x:c r="AJ657" s="193" t="b">
        <x:v>1</x:v>
      </x:c>
    </x:row>
    <x:row r="658">
      <x:c r="A658" s="192" t="n">
        <x:v>758758164947604900</x:v>
      </x:c>
      <x:c r="B658" s="192" t="str">
        <x:v>https://www.airbnb.com.br/rooms/758758164947604865</x:v>
      </x:c>
      <x:c r="C658" s="192" t="str">
        <x:v>Suíte Meia Praia</x:v>
      </x:c>
      <x:c r="D658" s="192" t="str">
        <x:v>Meia Praia</x:v>
      </x:c>
      <x:c r="E658" s="192" t="n">
        <x:v>-27.1369991302</x:v>
      </x:c>
      <x:c r="F658" s="192" t="n">
        <x:v>-48.6030006409</x:v>
      </x:c>
      <x:c r="G658" s="192" t="str">
        <x:v>outros</x:v>
      </x:c>
      <x:c r="H658" s="192" t="n">
        <x:v>1</x:v>
      </x:c>
      <x:c r="I658" s="192" t="n">
        <x:v>1</x:v>
      </x:c>
      <x:c r="J658" s="192" t="n">
        <x:v>1</x:v>
      </x:c>
      <x:c r="K658" s="192" t="n">
        <x:v>2</x:v>
      </x:c>
      <x:c r="L658" s="192" t="n">
        <x:v>14</x:v>
      </x:c>
      <x:c r="M658" s="192" t="n">
        <x:v>4.8600001335</x:v>
      </x:c>
      <x:c r="N658" s="192" t="n">
        <x:v>100</x:v>
      </x:c>
      <x:c r="O658" s="192" t="n">
        <x:v>7</x:v>
      </x:c>
      <x:c r="P658" s="193" t="b">
        <x:v>1</x:v>
      </x:c>
      <x:c r="Q658" s="193" t="b">
        <x:v>0</x:v>
      </x:c>
      <x:c r="R658" s="193" t="b">
        <x:v>1</x:v>
      </x:c>
      <x:c r="S658" s="193" t="b">
        <x:v>0</x:v>
      </x:c>
      <x:c r="T658" s="192" t="n">
        <x:v>81</x:v>
      </x:c>
      <x:c r="U658" s="192" t="n">
        <x:v>9</x:v>
      </x:c>
      <x:c r="V658" s="200" t="n">
        <x:v>0.1</x:v>
      </x:c>
      <x:c r="W658" s="203" t="n">
        <x:v>170</x:v>
      </x:c>
      <x:c r="X658" s="203" t="n">
        <x:v>1833.4879705184</x:v>
      </x:c>
      <x:c r="Y658" s="203" t="n">
        <x:v>4740.330357111</x:v>
      </x:c>
      <x:c r="Z658" s="193" t="b">
        <x:v>1</x:v>
      </x:c>
      <x:c r="AA658" s="193" t="b">
        <x:v>0</x:v>
      </x:c>
      <x:c r="AB658" s="193" t="b">
        <x:v>1</x:v>
      </x:c>
      <x:c r="AC658" s="193" t="b">
        <x:v>1</x:v>
      </x:c>
      <x:c r="AD658" s="193" t="b">
        <x:v>0</x:v>
      </x:c>
      <x:c r="AE658" s="193" t="b">
        <x:v>0</x:v>
      </x:c>
      <x:c r="AF658" s="193" t="b">
        <x:v>0</x:v>
      </x:c>
      <x:c r="AG658" s="193" t="b">
        <x:v>0</x:v>
      </x:c>
      <x:c r="AH658" s="193" t="b">
        <x:v>1</x:v>
      </x:c>
      <x:c r="AI658" s="193" t="b">
        <x:v>0</x:v>
      </x:c>
      <x:c r="AJ658" s="193" t="b">
        <x:v>0</x:v>
      </x:c>
    </x:row>
    <x:row r="659">
      <x:c r="A659" s="192" t="n">
        <x:v>956676934234107000</x:v>
      </x:c>
      <x:c r="B659" s="192" t="str">
        <x:v>https://www.airbnb.com.br/rooms/956676934234107014</x:v>
      </x:c>
      <x:c r="C659" s="192" t="str">
        <x:v>Apt em Meia Praia a 60 metros do mar com caiaque</x:v>
      </x:c>
      <x:c r="D659" s="192" t="str">
        <x:v>Meia Praia</x:v>
      </x:c>
      <x:c r="E659" s="192" t="n">
        <x:v>-27.1439990997</x:v>
      </x:c>
      <x:c r="F659" s="192" t="n">
        <x:v>-48.5880012512</x:v>
      </x:c>
      <x:c r="G659" s="192" t="str">
        <x:v>apartamento</x:v>
      </x:c>
      <x:c r="H659" s="192" t="n">
        <x:v>3</x:v>
      </x:c>
      <x:c r="I659" s="192" t="n">
        <x:v>2</x:v>
      </x:c>
      <x:c r="J659" s="192" t="n">
        <x:v>6</x:v>
      </x:c>
      <x:c r="K659" s="192" t="n">
        <x:v>9</x:v>
      </x:c>
      <x:c r="L659" s="192" t="n">
        <x:v>47</x:v>
      </x:c>
      <x:c r="M659" s="192" t="n">
        <x:v>4.9400000572</x:v>
      </x:c>
      <x:c r="N659" s="192" t="n">
        <x:v>210</x:v>
      </x:c>
      <x:c r="O659" s="192" t="n">
        <x:v>26</x:v>
      </x:c>
      <x:c r="P659" s="193" t="b">
        <x:v>0</x:v>
      </x:c>
      <x:c r="Q659" s="193" t="b">
        <x:v>0</x:v>
      </x:c>
      <x:c r="R659" s="193" t="b">
        <x:v>1</x:v>
      </x:c>
      <x:c r="S659" s="193" t="b">
        <x:v>1</x:v>
      </x:c>
      <x:c r="T659" s="192" t="n">
        <x:v>14</x:v>
      </x:c>
      <x:c r="U659" s="192" t="n">
        <x:v>76</x:v>
      </x:c>
      <x:c r="V659" s="200" t="n">
        <x:v>0.8444444444</x:v>
      </x:c>
      <x:c r="W659" s="203" t="n">
        <x:v>395</x:v>
      </x:c>
      <x:c r="X659" s="203" t="n">
        <x:v>30033.7070964457</x:v>
      </x:c>
      <x:c r="Y659" s="203" t="n">
        <x:v>77649.6468889356</x:v>
      </x:c>
      <x:c r="Z659" s="193" t="b">
        <x:v>1</x:v>
      </x:c>
      <x:c r="AA659" s="193" t="b">
        <x:v>0</x:v>
      </x:c>
      <x:c r="AB659" s="193" t="b">
        <x:v>1</x:v>
      </x:c>
      <x:c r="AC659" s="193" t="b">
        <x:v>1</x:v>
      </x:c>
      <x:c r="AD659" s="193" t="b">
        <x:v>1</x:v>
      </x:c>
      <x:c r="AE659" s="193" t="b">
        <x:v>1</x:v>
      </x:c>
      <x:c r="AF659" s="193" t="b">
        <x:v>1</x:v>
      </x:c>
      <x:c r="AG659" s="193" t="b">
        <x:v>1</x:v>
      </x:c>
      <x:c r="AH659" s="193" t="b">
        <x:v>1</x:v>
      </x:c>
      <x:c r="AI659" s="193" t="b">
        <x:v>1</x:v>
      </x:c>
      <x:c r="AJ659" s="193" t="b">
        <x:v>1</x:v>
      </x:c>
    </x:row>
    <x:row r="660">
      <x:c r="A660" s="192" t="n">
        <x:v>28071688</x:v>
      </x:c>
      <x:c r="B660" s="192" t="str">
        <x:v>https://www.airbnb.com.br/rooms/28071688</x:v>
      </x:c>
      <x:c r="C660" s="192" t="str">
        <x:v>Melhor ape de Meia praia!!</x:v>
      </x:c>
      <x:c r="D660" s="192" t="str">
        <x:v>Meia Praia</x:v>
      </x:c>
      <x:c r="E660" s="192" t="n">
        <x:v>-27.12683</x:v>
      </x:c>
      <x:c r="F660" s="192" t="n">
        <x:v>-48.60571</x:v>
      </x:c>
      <x:c r="G660" s="192" t="str">
        <x:v>apartamento</x:v>
      </x:c>
      <x:c r="H660" s="192" t="n">
        <x:v>3</x:v>
      </x:c>
      <x:c r="I660" s="192" t="n">
        <x:v>3</x:v>
      </x:c>
      <x:c r="J660" s="192" t="n">
        <x:v>4</x:v>
      </x:c>
      <x:c r="K660" s="192" t="n">
        <x:v>8</x:v>
      </x:c>
      <x:c r="L660" s="192" t="n">
        <x:v>22</x:v>
      </x:c>
      <x:c r="M660" s="192" t="n">
        <x:v>4.7699999809</x:v>
      </x:c>
      <x:c r="N660" s="192" t="n">
        <x:v>250</x:v>
      </x:c>
      <x:c r="O660" s="192" t="n">
        <x:v>44</x:v>
      </x:c>
      <x:c r="P660" s="193" t="b">
        <x:v>0</x:v>
      </x:c>
      <x:c r="Q660" s="193" t="b">
        <x:v>0</x:v>
      </x:c>
      <x:c r="R660" s="193" t="b">
        <x:v>0</x:v>
      </x:c>
      <x:c r="S660" s="193" t="b">
        <x:v>0</x:v>
      </x:c>
      <x:c r="T660" s="192" t="n">
        <x:v>41</x:v>
      </x:c>
      <x:c r="U660" s="192" t="n">
        <x:v>49</x:v>
      </x:c>
      <x:c r="V660" s="200" t="n">
        <x:v>0.5444444444</x:v>
      </x:c>
      <x:c r="W660" s="203" t="n">
        <x:v>550</x:v>
      </x:c>
      <x:c r="X660" s="203" t="n">
        <x:v>26829.9881623935</x:v>
      </x:c>
      <x:c r="Y660" s="203" t="n">
        <x:v>69366.6985615217</x:v>
      </x:c>
      <x:c r="Z660" s="193" t="b">
        <x:v>0</x:v>
      </x:c>
      <x:c r="AA660" s="193" t="b">
        <x:v>0</x:v>
      </x:c>
      <x:c r="AB660" s="193" t="b">
        <x:v>1</x:v>
      </x:c>
      <x:c r="AC660" s="193" t="b">
        <x:v>1</x:v>
      </x:c>
      <x:c r="AD660" s="193" t="b">
        <x:v>1</x:v>
      </x:c>
      <x:c r="AE660" s="193" t="b">
        <x:v>1</x:v>
      </x:c>
      <x:c r="AF660" s="193" t="b">
        <x:v>1</x:v>
      </x:c>
      <x:c r="AG660" s="193" t="b">
        <x:v>1</x:v>
      </x:c>
      <x:c r="AH660" s="193" t="b">
        <x:v>1</x:v>
      </x:c>
      <x:c r="AI660" s="193" t="b">
        <x:v>1</x:v>
      </x:c>
      <x:c r="AJ660" s="193" t="b">
        <x:v>1</x:v>
      </x:c>
    </x:row>
    <x:row r="661">
      <x:c r="A661" s="192" t="n">
        <x:v>1031938290013047400</x:v>
      </x:c>
      <x:c r="B661" s="192" t="str">
        <x:v>https://www.airbnb.com.br/rooms/1031938290013047428</x:v>
      </x:c>
      <x:c r="C661" s="192" t="str">
        <x:v>Apto confortável a 3min da Praia RGO0502</x:v>
      </x:c>
      <x:c r="D661" s="192" t="str">
        <x:v>Meia Praia</x:v>
      </x:c>
      <x:c r="E661" s="192" t="n">
        <x:v>-27.1399993896</x:v>
      </x:c>
      <x:c r="F661" s="192" t="n">
        <x:v>-48.5979995728</x:v>
      </x:c>
      <x:c r="G661" s="192" t="str">
        <x:v>apartamento</x:v>
      </x:c>
      <x:c r="H661" s="192" t="n">
        <x:v>2</x:v>
      </x:c>
      <x:c r="I661" s="192" t="n">
        <x:v>2</x:v>
      </x:c>
      <x:c r="J661" s="192" t="n">
        <x:v>2</x:v>
      </x:c>
      <x:c r="K661" s="192" t="n">
        <x:v>4</x:v>
      </x:c>
      <x:c r="L661" s="192" t="n">
        <x:v>12</x:v>
      </x:c>
      <x:c r="M661" s="192" t="n">
        <x:v>5</x:v>
      </x:c>
      <x:c r="N661" s="192" t="n">
        <x:v>400</x:v>
      </x:c>
      <x:c r="O661" s="192" t="n">
        <x:v>28</x:v>
      </x:c>
      <x:c r="P661" s="193" t="b">
        <x:v>1</x:v>
      </x:c>
      <x:c r="Q661" s="193" t="b">
        <x:v>1</x:v>
      </x:c>
      <x:c r="R661" s="193" t="b">
        <x:v>1</x:v>
      </x:c>
      <x:c r="S661" s="193" t="b">
        <x:v>0</x:v>
      </x:c>
      <x:c r="T661" s="192" t="n">
        <x:v>80</x:v>
      </x:c>
      <x:c r="U661" s="192" t="n">
        <x:v>10</x:v>
      </x:c>
      <x:c r="V661" s="200" t="n">
        <x:v>0.1111111111</x:v>
      </x:c>
      <x:c r="W661" s="203" t="n">
        <x:v>586</x:v>
      </x:c>
      <x:c r="X661" s="203" t="n">
        <x:v>5933.5335966377</x:v>
      </x:c>
      <x:c r="Y661" s="203" t="n">
        <x:v>15340.6566529737</x:v>
      </x:c>
      <x:c r="Z661" s="193" t="b">
        <x:v>1</x:v>
      </x:c>
      <x:c r="AA661" s="193" t="b">
        <x:v>0</x:v>
      </x:c>
      <x:c r="AB661" s="193" t="b">
        <x:v>1</x:v>
      </x:c>
      <x:c r="AC661" s="193" t="b">
        <x:v>1</x:v>
      </x:c>
      <x:c r="AD661" s="193" t="b">
        <x:v>1</x:v>
      </x:c>
      <x:c r="AE661" s="193" t="b">
        <x:v>0</x:v>
      </x:c>
      <x:c r="AF661" s="193" t="b">
        <x:v>1</x:v>
      </x:c>
      <x:c r="AG661" s="193" t="b">
        <x:v>1</x:v>
      </x:c>
      <x:c r="AH661" s="193" t="b">
        <x:v>1</x:v>
      </x:c>
      <x:c r="AI661" s="193" t="b">
        <x:v>1</x:v>
      </x:c>
      <x:c r="AJ661" s="193" t="b">
        <x:v>1</x:v>
      </x:c>
    </x:row>
    <x:row r="662">
      <x:c r="A662" s="192" t="n">
        <x:v>54246694</x:v>
      </x:c>
      <x:c r="B662" s="192" t="str">
        <x:v>https://www.airbnb.com.br/rooms/54246694</x:v>
      </x:c>
      <x:c r="C662" s="192" t="str">
        <x:v>Apartamento amplo e encantador a 100m da praia</x:v>
      </x:c>
      <x:c r="D662" s="192" t="str">
        <x:v>Meia Praia</x:v>
      </x:c>
      <x:c r="E662" s="192" t="n">
        <x:v>-27.12549</x:v>
      </x:c>
      <x:c r="F662" s="192" t="n">
        <x:v>-48.60478</x:v>
      </x:c>
      <x:c r="G662" s="192" t="str">
        <x:v>apartamento</x:v>
      </x:c>
      <x:c r="H662" s="192" t="n">
        <x:v>3</x:v>
      </x:c>
      <x:c r="I662" s="192" t="n">
        <x:v>3</x:v>
      </x:c>
      <x:c r="J662" s="192" t="n">
        <x:v>5</x:v>
      </x:c>
      <x:c r="K662" s="192" t="n">
        <x:v>8</x:v>
      </x:c>
      <x:c r="L662" s="192" t="n">
        <x:v>10</x:v>
      </x:c>
      <x:c r="M662" s="192" t="n">
        <x:v>5</x:v>
      </x:c>
      <x:c r="N662" s="192" t="n">
        <x:v>300</x:v>
      </x:c>
      <x:c r="O662" s="192" t="n">
        <x:v>16</x:v>
      </x:c>
      <x:c r="P662" s="193" t="b">
        <x:v>1</x:v>
      </x:c>
      <x:c r="Q662" s="193" t="b">
        <x:v>0</x:v>
      </x:c>
      <x:c r="R662" s="193" t="b">
        <x:v>1</x:v>
      </x:c>
      <x:c r="S662" s="193" t="b">
        <x:v>0</x:v>
      </x:c>
      <x:c r="T662" s="192" t="n">
        <x:v>89</x:v>
      </x:c>
      <x:c r="U662" s="192" t="n">
        <x:v>1</x:v>
      </x:c>
      <x:c r="V662" s="200" t="n">
        <x:v>0.0111111111</x:v>
      </x:c>
      <x:c r="W662" s="203" t="n">
        <x:v>800</x:v>
      </x:c>
      <x:c r="X662" s="203" t="n">
        <x:v>805.2077711329</x:v>
      </x:c>
      <x:c r="Y662" s="203" t="n">
        <x:v>2081.7975916166</x:v>
      </x:c>
      <x:c r="Z662" s="193" t="b">
        <x:v>1</x:v>
      </x:c>
      <x:c r="AA662" s="193" t="b">
        <x:v>0</x:v>
      </x:c>
      <x:c r="AB662" s="193" t="b">
        <x:v>1</x:v>
      </x:c>
      <x:c r="AC662" s="193" t="b">
        <x:v>1</x:v>
      </x:c>
      <x:c r="AD662" s="193" t="b">
        <x:v>1</x:v>
      </x:c>
      <x:c r="AE662" s="193" t="b">
        <x:v>0</x:v>
      </x:c>
      <x:c r="AF662" s="193" t="b">
        <x:v>1</x:v>
      </x:c>
      <x:c r="AG662" s="193" t="b">
        <x:v>1</x:v>
      </x:c>
      <x:c r="AH662" s="193" t="b">
        <x:v>1</x:v>
      </x:c>
      <x:c r="AI662" s="193" t="b">
        <x:v>1</x:v>
      </x:c>
      <x:c r="AJ662" s="193" t="b">
        <x:v>0</x:v>
      </x:c>
    </x:row>
    <x:row r="663">
      <x:c r="A663" s="192" t="n">
        <x:v>910815231577364700</x:v>
      </x:c>
      <x:c r="B663" s="192" t="str">
        <x:v>https://www.airbnb.com.br/rooms/910815231577364751</x:v>
      </x:c>
      <x:c r="C663" s="192" t="str">
        <x:v>Flat novo Meia Praia completo</x:v>
      </x:c>
      <x:c r="D663" s="192" t="str">
        <x:v>Meia Praia</x:v>
      </x:c>
      <x:c r="E663" s="192" t="n">
        <x:v>-27.1280002594</x:v>
      </x:c>
      <x:c r="F663" s="192" t="n">
        <x:v>-48.6059989929</x:v>
      </x:c>
      <x:c r="G663" s="192" t="str">
        <x:v>apartamento</x:v>
      </x:c>
      <x:c r="H663" s="192" t="n">
        <x:v>1</x:v>
      </x:c>
      <x:c r="I663" s="192" t="n">
        <x:v>1</x:v>
      </x:c>
      <x:c r="J663" s="192" t="n">
        <x:v>2</x:v>
      </x:c>
      <x:c r="K663" s="192" t="n">
        <x:v>5</x:v>
      </x:c>
      <x:c r="L663" s="192" t="n">
        <x:v>38</x:v>
      </x:c>
      <x:c r="M663" s="192" t="n">
        <x:v>4.9699997902</x:v>
      </x:c>
      <x:c r="N663" s="192" t="n">
        <x:v>150</x:v>
      </x:c>
      <x:c r="O663" s="192" t="n">
        <x:v>17</x:v>
      </x:c>
      <x:c r="P663" s="193" t="b">
        <x:v>0</x:v>
      </x:c>
      <x:c r="Q663" s="193" t="b">
        <x:v>0</x:v>
      </x:c>
      <x:c r="R663" s="193" t="b">
        <x:v>1</x:v>
      </x:c>
      <x:c r="S663" s="193" t="b">
        <x:v>1</x:v>
      </x:c>
      <x:c r="T663" s="192" t="n">
        <x:v>39</x:v>
      </x:c>
      <x:c r="U663" s="192" t="n">
        <x:v>51</x:v>
      </x:c>
      <x:c r="V663" s="200" t="n">
        <x:v>0.5666666667</x:v>
      </x:c>
      <x:c r="W663" s="203" t="n">
        <x:v>400</x:v>
      </x:c>
      <x:c r="X663" s="203" t="n">
        <x:v>20031.3176236344</x:v>
      </x:c>
      <x:c r="Y663" s="203" t="n">
        <x:v>51789.302439438</x:v>
      </x:c>
      <x:c r="Z663" s="193" t="b">
        <x:v>1</x:v>
      </x:c>
      <x:c r="AA663" s="193" t="b">
        <x:v>1</x:v>
      </x:c>
      <x:c r="AB663" s="193" t="b">
        <x:v>1</x:v>
      </x:c>
      <x:c r="AC663" s="193" t="b">
        <x:v>1</x:v>
      </x:c>
      <x:c r="AD663" s="193" t="b">
        <x:v>0</x:v>
      </x:c>
      <x:c r="AE663" s="193" t="b">
        <x:v>0</x:v>
      </x:c>
      <x:c r="AF663" s="193" t="b">
        <x:v>1</x:v>
      </x:c>
      <x:c r="AG663" s="193" t="b">
        <x:v>1</x:v>
      </x:c>
      <x:c r="AH663" s="193" t="b">
        <x:v>1</x:v>
      </x:c>
      <x:c r="AI663" s="193" t="b">
        <x:v>1</x:v>
      </x:c>
      <x:c r="AJ663" s="193" t="b">
        <x:v>0</x:v>
      </x:c>
    </x:row>
    <x:row r="664">
      <x:c r="A664" s="192" t="n">
        <x:v>1284110666632259000</x:v>
      </x:c>
      <x:c r="B664" s="192" t="str">
        <x:v>https://www.airbnb.com.br/rooms/1284110666632259028</x:v>
      </x:c>
      <x:c r="C664" s="192" t="str">
        <x:v>Apto charmoso vista mar 280m da Praia MHF0904</x:v>
      </x:c>
      <x:c r="D664" s="192" t="str">
        <x:v>Centro</x:v>
      </x:c>
      <x:c r="E664" s="192" t="n">
        <x:v>-27.09364394</x:v>
      </x:c>
      <x:c r="F664" s="192" t="n">
        <x:v>-48.6130949487</x:v>
      </x:c>
      <x:c r="G664" s="192" t="str">
        <x:v>apartamento</x:v>
      </x:c>
      <x:c r="H664" s="192" t="n">
        <x:v>1</x:v>
      </x:c>
      <x:c r="I664" s="192" t="n">
        <x:v>1</x:v>
      </x:c>
      <x:c r="J664" s="192" t="n">
        <x:v>2</x:v>
      </x:c>
      <x:c r="K664" s="192" t="n">
        <x:v>4</x:v>
      </x:c>
      <x:c r="L664" s="192" t="n">
        <x:v>0</x:v>
      </x:c>
      <x:c r="M664" s="192"/>
      <x:c r="N664" s="192" t="n">
        <x:v>190</x:v>
      </x:c>
      <x:c r="O664" s="192" t="n">
        <x:v>0</x:v>
      </x:c>
      <x:c r="P664" s="193" t="b">
        <x:v>1</x:v>
      </x:c>
      <x:c r="Q664" s="193" t="b">
        <x:v>1</x:v>
      </x:c>
      <x:c r="R664" s="193" t="b">
        <x:v>0</x:v>
      </x:c>
      <x:c r="S664" s="193" t="b">
        <x:v>0</x:v>
      </x:c>
      <x:c r="T664" s="192" t="n">
        <x:v>72</x:v>
      </x:c>
      <x:c r="U664" s="192" t="n">
        <x:v>18</x:v>
      </x:c>
      <x:c r="V664" s="200" t="n">
        <x:v>0.2</x:v>
      </x:c>
      <x:c r="W664" s="203" t="n">
        <x:v>502</x:v>
      </x:c>
      <x:c r="X664" s="203" t="n">
        <x:v>9000.4203058995</x:v>
      </x:c>
      <x:c r="Y664" s="203" t="n">
        <x:v>23269.8366658776</x:v>
      </x:c>
      <x:c r="Z664" s="193" t="b">
        <x:v>1</x:v>
      </x:c>
      <x:c r="AA664" s="193" t="b">
        <x:v>1</x:v>
      </x:c>
      <x:c r="AB664" s="193" t="b">
        <x:v>1</x:v>
      </x:c>
      <x:c r="AC664" s="193" t="b">
        <x:v>1</x:v>
      </x:c>
      <x:c r="AD664" s="193" t="b">
        <x:v>1</x:v>
      </x:c>
      <x:c r="AE664" s="193" t="b">
        <x:v>0</x:v>
      </x:c>
      <x:c r="AF664" s="193" t="b">
        <x:v>1</x:v>
      </x:c>
      <x:c r="AG664" s="193" t="b">
        <x:v>1</x:v>
      </x:c>
      <x:c r="AH664" s="193" t="b">
        <x:v>1</x:v>
      </x:c>
      <x:c r="AI664" s="193" t="b">
        <x:v>1</x:v>
      </x:c>
      <x:c r="AJ664" s="193" t="b">
        <x:v>0</x:v>
      </x:c>
    </x:row>
    <x:row r="665">
      <x:c r="A665" s="192" t="n">
        <x:v>21397811</x:v>
      </x:c>
      <x:c r="B665" s="192" t="str">
        <x:v>https://www.airbnb.com.br/rooms/21397811</x:v>
      </x:c>
      <x:c r="C665" s="192" t="str">
        <x:v>Apto prédio à beira mar no centro de meia praia</x:v>
      </x:c>
      <x:c r="D665" s="192" t="str">
        <x:v>Meia Praia</x:v>
      </x:c>
      <x:c r="E665" s="192" t="n">
        <x:v>-27.12771</x:v>
      </x:c>
      <x:c r="F665" s="192" t="n">
        <x:v>-48.60075</x:v>
      </x:c>
      <x:c r="G665" s="192" t="str">
        <x:v>apartamento</x:v>
      </x:c>
      <x:c r="H665" s="192" t="n">
        <x:v>3</x:v>
      </x:c>
      <x:c r="I665" s="192" t="n">
        <x:v>2</x:v>
      </x:c>
      <x:c r="J665" s="192" t="n">
        <x:v>8</x:v>
      </x:c>
      <x:c r="K665" s="192" t="n">
        <x:v>8</x:v>
      </x:c>
      <x:c r="L665" s="192" t="n">
        <x:v>19</x:v>
      </x:c>
      <x:c r="M665" s="192" t="n">
        <x:v>4.8899998665</x:v>
      </x:c>
      <x:c r="N665" s="192" t="n">
        <x:v>350</x:v>
      </x:c>
      <x:c r="O665" s="192" t="n">
        <x:v>50</x:v>
      </x:c>
      <x:c r="P665" s="193" t="b">
        <x:v>0</x:v>
      </x:c>
      <x:c r="Q665" s="193" t="b">
        <x:v>0</x:v>
      </x:c>
      <x:c r="R665" s="193" t="b">
        <x:v>1</x:v>
      </x:c>
      <x:c r="S665" s="193" t="b">
        <x:v>0</x:v>
      </x:c>
      <x:c r="T665" s="192" t="n">
        <x:v>68</x:v>
      </x:c>
      <x:c r="U665" s="192" t="n">
        <x:v>22</x:v>
      </x:c>
      <x:c r="V665" s="200" t="n">
        <x:v>0.2444444444</x:v>
      </x:c>
      <x:c r="W665" s="203" t="n">
        <x:v>600</x:v>
      </x:c>
      <x:c r="X665" s="203" t="n">
        <x:v>13098.2330821706</x:v>
      </x:c>
      <x:c r="Y665" s="203" t="n">
        <x:v>33864.3901145285</x:v>
      </x:c>
      <x:c r="Z665" s="193" t="b">
        <x:v>1</x:v>
      </x:c>
      <x:c r="AA665" s="193" t="b">
        <x:v>0</x:v>
      </x:c>
      <x:c r="AB665" s="193" t="b">
        <x:v>1</x:v>
      </x:c>
      <x:c r="AC665" s="193" t="b">
        <x:v>1</x:v>
      </x:c>
      <x:c r="AD665" s="193" t="b">
        <x:v>1</x:v>
      </x:c>
      <x:c r="AE665" s="193" t="b">
        <x:v>1</x:v>
      </x:c>
      <x:c r="AF665" s="193" t="b">
        <x:v>1</x:v>
      </x:c>
      <x:c r="AG665" s="193" t="b">
        <x:v>1</x:v>
      </x:c>
      <x:c r="AH665" s="193" t="b">
        <x:v>1</x:v>
      </x:c>
      <x:c r="AI665" s="193" t="b">
        <x:v>1</x:v>
      </x:c>
      <x:c r="AJ665" s="193" t="b">
        <x:v>1</x:v>
      </x:c>
    </x:row>
    <x:row r="666">
      <x:c r="A666" s="192" t="n">
        <x:v>836385234465202300</x:v>
      </x:c>
      <x:c r="B666" s="192" t="str">
        <x:v>https://www.airbnb.com.br/rooms/836385234465202348</x:v>
      </x:c>
      <x:c r="C666" s="192" t="str">
        <x:v>Apto 3 Suítes para famílias com vista para o mar</x:v>
      </x:c>
      <x:c r="D666" s="192" t="str">
        <x:v>Meia Praia</x:v>
      </x:c>
      <x:c r="E666" s="192" t="n">
        <x:v>-27.12657</x:v>
      </x:c>
      <x:c r="F666" s="192" t="n">
        <x:v>-48.60356</x:v>
      </x:c>
      <x:c r="G666" s="192" t="str">
        <x:v>apartamento</x:v>
      </x:c>
      <x:c r="H666" s="192" t="n">
        <x:v>3</x:v>
      </x:c>
      <x:c r="I666" s="192" t="n">
        <x:v>4</x:v>
      </x:c>
      <x:c r="J666" s="192" t="n">
        <x:v>4</x:v>
      </x:c>
      <x:c r="K666" s="192" t="n">
        <x:v>7</x:v>
      </x:c>
      <x:c r="L666" s="192" t="n">
        <x:v>16</x:v>
      </x:c>
      <x:c r="M666" s="192" t="n">
        <x:v>5</x:v>
      </x:c>
      <x:c r="N666" s="192" t="n">
        <x:v>380</x:v>
      </x:c>
      <x:c r="O666" s="192" t="n">
        <x:v>24</x:v>
      </x:c>
      <x:c r="P666" s="193" t="b">
        <x:v>1</x:v>
      </x:c>
      <x:c r="Q666" s="193" t="b">
        <x:v>1</x:v>
      </x:c>
      <x:c r="R666" s="193" t="b">
        <x:v>1</x:v>
      </x:c>
      <x:c r="S666" s="193" t="b">
        <x:v>1</x:v>
      </x:c>
      <x:c r="T666" s="192" t="n">
        <x:v>33</x:v>
      </x:c>
      <x:c r="U666" s="192" t="n">
        <x:v>57</x:v>
      </x:c>
      <x:c r="V666" s="200" t="n">
        <x:v>0.6333333333</x:v>
      </x:c>
      <x:c r="W666" s="203" t="n">
        <x:v>1690</x:v>
      </x:c>
      <x:c r="X666" s="203" t="n">
        <x:v>94390.3147936637</x:v>
      </x:c>
      <x:c r="Y666" s="203" t="n">
        <x:v>244038.2930394513</x:v>
      </x:c>
      <x:c r="Z666" s="193" t="b">
        <x:v>1</x:v>
      </x:c>
      <x:c r="AA666" s="193" t="b">
        <x:v>0</x:v>
      </x:c>
      <x:c r="AB666" s="193" t="b">
        <x:v>1</x:v>
      </x:c>
      <x:c r="AC666" s="193" t="b">
        <x:v>1</x:v>
      </x:c>
      <x:c r="AD666" s="193" t="b">
        <x:v>1</x:v>
      </x:c>
      <x:c r="AE666" s="193" t="b">
        <x:v>1</x:v>
      </x:c>
      <x:c r="AF666" s="193" t="b">
        <x:v>1</x:v>
      </x:c>
      <x:c r="AG666" s="193" t="b">
        <x:v>1</x:v>
      </x:c>
      <x:c r="AH666" s="193" t="b">
        <x:v>1</x:v>
      </x:c>
      <x:c r="AI666" s="193" t="b">
        <x:v>1</x:v>
      </x:c>
      <x:c r="AJ666" s="193" t="b">
        <x:v>1</x:v>
      </x:c>
    </x:row>
    <x:row r="667">
      <x:c r="A667" s="192" t="n">
        <x:v>38800430</x:v>
      </x:c>
      <x:c r="B667" s="192" t="str">
        <x:v>https://www.airbnb.com.br/rooms/38800430</x:v>
      </x:c>
      <x:c r="C667" s="192" t="str">
        <x:v>LINDO e Completo 3 dorm, próx ao mar,  Meia Praia</x:v>
      </x:c>
      <x:c r="D667" s="192" t="str">
        <x:v>Meia Praia</x:v>
      </x:c>
      <x:c r="E667" s="192" t="n">
        <x:v>-27.13278</x:v>
      </x:c>
      <x:c r="F667" s="192" t="n">
        <x:v>-48.60149</x:v>
      </x:c>
      <x:c r="G667" s="192" t="str">
        <x:v>apartamento</x:v>
      </x:c>
      <x:c r="H667" s="192" t="n">
        <x:v>3</x:v>
      </x:c>
      <x:c r="I667" s="192" t="n">
        <x:v>2</x:v>
      </x:c>
      <x:c r="J667" s="192" t="n">
        <x:v>5</x:v>
      </x:c>
      <x:c r="K667" s="192" t="n">
        <x:v>7</x:v>
      </x:c>
      <x:c r="L667" s="192" t="n">
        <x:v>53</x:v>
      </x:c>
      <x:c r="M667" s="192" t="n">
        <x:v>4.9800000191</x:v>
      </x:c>
      <x:c r="N667" s="192" t="n">
        <x:v>150</x:v>
      </x:c>
      <x:c r="O667" s="192" t="n">
        <x:v>40</x:v>
      </x:c>
      <x:c r="P667" s="193" t="b">
        <x:v>1</x:v>
      </x:c>
      <x:c r="Q667" s="193" t="b">
        <x:v>0</x:v>
      </x:c>
      <x:c r="R667" s="193" t="b">
        <x:v>1</x:v>
      </x:c>
      <x:c r="S667" s="193" t="b">
        <x:v>1</x:v>
      </x:c>
      <x:c r="T667" s="192" t="n">
        <x:v>13</x:v>
      </x:c>
      <x:c r="U667" s="192" t="n">
        <x:v>77</x:v>
      </x:c>
      <x:c r="V667" s="200" t="n">
        <x:v>0.8555555556</x:v>
      </x:c>
      <x:c r="W667" s="203" t="n">
        <x:v>600</x:v>
      </x:c>
      <x:c r="X667" s="203" t="n">
        <x:v>46386.6642919678</x:v>
      </x:c>
      <x:c r="Y667" s="203" t="n">
        <x:v>119928.8549715251</x:v>
      </x:c>
      <x:c r="Z667" s="193" t="b">
        <x:v>0</x:v>
      </x:c>
      <x:c r="AA667" s="193" t="b">
        <x:v>0</x:v>
      </x:c>
      <x:c r="AB667" s="193" t="b">
        <x:v>1</x:v>
      </x:c>
      <x:c r="AC667" s="193" t="b">
        <x:v>1</x:v>
      </x:c>
      <x:c r="AD667" s="193" t="b">
        <x:v>1</x:v>
      </x:c>
      <x:c r="AE667" s="193" t="b">
        <x:v>1</x:v>
      </x:c>
      <x:c r="AF667" s="193" t="b">
        <x:v>1</x:v>
      </x:c>
      <x:c r="AG667" s="193" t="b">
        <x:v>1</x:v>
      </x:c>
      <x:c r="AH667" s="193" t="b">
        <x:v>1</x:v>
      </x:c>
      <x:c r="AI667" s="193" t="b">
        <x:v>1</x:v>
      </x:c>
      <x:c r="AJ667" s="193" t="b">
        <x:v>1</x:v>
      </x:c>
    </x:row>
    <x:row r="668">
      <x:c r="A668" s="192" t="n">
        <x:v>1266717192483344000</x:v>
      </x:c>
      <x:c r="B668" s="192" t="str">
        <x:v>https://www.airbnb.com.br/rooms/1266717192483343855</x:v>
      </x:c>
      <x:c r="C668" s="192" t="str">
        <x:v>Apto novo 02 suítes - Meia Praia</x:v>
      </x:c>
      <x:c r="D668" s="192" t="str">
        <x:v>Meia Praia</x:v>
      </x:c>
      <x:c r="E668" s="192" t="n">
        <x:v>-27.1401499971</x:v>
      </x:c>
      <x:c r="F668" s="192" t="n">
        <x:v>-48.596345745</x:v>
      </x:c>
      <x:c r="G668" s="192" t="str">
        <x:v>apartamento</x:v>
      </x:c>
      <x:c r="H668" s="192" t="n">
        <x:v>2</x:v>
      </x:c>
      <x:c r="I668" s="192" t="n">
        <x:v>2</x:v>
      </x:c>
      <x:c r="J668" s="192" t="n">
        <x:v>4</x:v>
      </x:c>
      <x:c r="K668" s="192" t="n">
        <x:v>6</x:v>
      </x:c>
      <x:c r="L668" s="192" t="n">
        <x:v>2</x:v>
      </x:c>
      <x:c r="M668" s="192" t="n">
        <x:v>5</x:v>
      </x:c>
      <x:c r="N668" s="192" t="n">
        <x:v>250</x:v>
      </x:c>
      <x:c r="O668" s="192" t="n">
        <x:v>0</x:v>
      </x:c>
      <x:c r="P668" s="193" t="b">
        <x:v>0</x:v>
      </x:c>
      <x:c r="Q668" s="193" t="b">
        <x:v>0</x:v>
      </x:c>
      <x:c r="R668" s="193" t="b">
        <x:v>0</x:v>
      </x:c>
      <x:c r="S668" s="193" t="b">
        <x:v>0</x:v>
      </x:c>
      <x:c r="T668" s="192" t="n">
        <x:v>62</x:v>
      </x:c>
      <x:c r="U668" s="192" t="n">
        <x:v>28</x:v>
      </x:c>
      <x:c r="V668" s="200" t="n">
        <x:v>0.3111111111</x:v>
      </x:c>
      <x:c r="W668" s="203" t="n">
        <x:v>550</x:v>
      </x:c>
      <x:c r="X668" s="203" t="n">
        <x:v>15329.2156939021</x:v>
      </x:c>
      <x:c r="Y668" s="203" t="n">
        <x:v>39632.4097419426</x:v>
      </x:c>
      <x:c r="Z668" s="193" t="b">
        <x:v>1</x:v>
      </x:c>
      <x:c r="AA668" s="193" t="b">
        <x:v>0</x:v>
      </x:c>
      <x:c r="AB668" s="193" t="b">
        <x:v>1</x:v>
      </x:c>
      <x:c r="AC668" s="193" t="b">
        <x:v>1</x:v>
      </x:c>
      <x:c r="AD668" s="193" t="b">
        <x:v>1</x:v>
      </x:c>
      <x:c r="AE668" s="193" t="b">
        <x:v>0</x:v>
      </x:c>
      <x:c r="AF668" s="193" t="b">
        <x:v>1</x:v>
      </x:c>
      <x:c r="AG668" s="193" t="b">
        <x:v>1</x:v>
      </x:c>
      <x:c r="AH668" s="193" t="b">
        <x:v>1</x:v>
      </x:c>
      <x:c r="AI668" s="193" t="b">
        <x:v>1</x:v>
      </x:c>
      <x:c r="AJ668" s="193" t="b">
        <x:v>1</x:v>
      </x:c>
    </x:row>
    <x:row r="669">
      <x:c r="A669" s="192" t="n">
        <x:v>1208757855935244800</x:v>
      </x:c>
      <x:c r="B669" s="192" t="str">
        <x:v>https://www.airbnb.com.br/rooms/1208757855935244741</x:v>
      </x:c>
      <x:c r="C669" s="192" t="str">
        <x:v>Studio vista mar 280 da praia em Itapema MHFB0503</x:v>
      </x:c>
      <x:c r="D669" s="192" t="str">
        <x:v>Centro</x:v>
      </x:c>
      <x:c r="E669" s="192" t="n">
        <x:v>-27.09231</x:v>
      </x:c>
      <x:c r="F669" s="192" t="n">
        <x:v>-48.61455</x:v>
      </x:c>
      <x:c r="G669" s="192" t="str">
        <x:v>apartamento</x:v>
      </x:c>
      <x:c r="H669" s="192" t="n">
        <x:v>1</x:v>
      </x:c>
      <x:c r="I669" s="192" t="n">
        <x:v>1</x:v>
      </x:c>
      <x:c r="J669" s="192" t="n">
        <x:v>1</x:v>
      </x:c>
      <x:c r="K669" s="192" t="n">
        <x:v>2</x:v>
      </x:c>
      <x:c r="L669" s="192" t="n">
        <x:v>0</x:v>
      </x:c>
      <x:c r="M669" s="192"/>
      <x:c r="N669" s="192" t="n">
        <x:v>150</x:v>
      </x:c>
      <x:c r="O669" s="192" t="n">
        <x:v>0</x:v>
      </x:c>
      <x:c r="P669" s="193" t="b">
        <x:v>1</x:v>
      </x:c>
      <x:c r="Q669" s="193" t="b">
        <x:v>1</x:v>
      </x:c>
      <x:c r="R669" s="193" t="b">
        <x:v>0</x:v>
      </x:c>
      <x:c r="S669" s="193" t="b">
        <x:v>0</x:v>
      </x:c>
      <x:c r="T669" s="192" t="n">
        <x:v>63</x:v>
      </x:c>
      <x:c r="U669" s="192" t="n">
        <x:v>27</x:v>
      </x:c>
      <x:c r="V669" s="200" t="n">
        <x:v>0.3</x:v>
      </x:c>
      <x:c r="W669" s="203" t="n">
        <x:v>372</x:v>
      </x:c>
      <x:c r="X669" s="203" t="n">
        <x:v>9987.5125214912</x:v>
      </x:c>
      <x:c r="Y669" s="203" t="n">
        <x:v>25821.8813316054</x:v>
      </x:c>
      <x:c r="Z669" s="193" t="b">
        <x:v>1</x:v>
      </x:c>
      <x:c r="AA669" s="193" t="b">
        <x:v>1</x:v>
      </x:c>
      <x:c r="AB669" s="193" t="b">
        <x:v>1</x:v>
      </x:c>
      <x:c r="AC669" s="193" t="b">
        <x:v>1</x:v>
      </x:c>
      <x:c r="AD669" s="193" t="b">
        <x:v>1</x:v>
      </x:c>
      <x:c r="AE669" s="193" t="b">
        <x:v>0</x:v>
      </x:c>
      <x:c r="AF669" s="193" t="b">
        <x:v>1</x:v>
      </x:c>
      <x:c r="AG669" s="193" t="b">
        <x:v>1</x:v>
      </x:c>
      <x:c r="AH669" s="193" t="b">
        <x:v>1</x:v>
      </x:c>
      <x:c r="AI669" s="193" t="b">
        <x:v>0</x:v>
      </x:c>
      <x:c r="AJ669" s="193" t="b">
        <x:v>0</x:v>
      </x:c>
    </x:row>
    <x:row r="670">
      <x:c r="A670" s="192" t="n">
        <x:v>1053851019443958000</x:v>
      </x:c>
      <x:c r="B670" s="192" t="str">
        <x:v>https://www.airbnb.com.br/rooms/1053851019443958006</x:v>
      </x:c>
      <x:c r="C670" s="192" t="str">
        <x:v>A poucos passos do mar</x:v>
      </x:c>
      <x:c r="D670" s="192" t="str">
        <x:v>Centro</x:v>
      </x:c>
      <x:c r="E670" s="192" t="n">
        <x:v>-27.1009998322</x:v>
      </x:c>
      <x:c r="F670" s="192" t="n">
        <x:v>-48.6150016785</x:v>
      </x:c>
      <x:c r="G670" s="192" t="str">
        <x:v>apartamento</x:v>
      </x:c>
      <x:c r="H670" s="192" t="n">
        <x:v>2</x:v>
      </x:c>
      <x:c r="I670" s="192" t="n">
        <x:v>2</x:v>
      </x:c>
      <x:c r="J670" s="192" t="n">
        <x:v>3</x:v>
      </x:c>
      <x:c r="K670" s="192" t="n">
        <x:v>5</x:v>
      </x:c>
      <x:c r="L670" s="192" t="n">
        <x:v>15</x:v>
      </x:c>
      <x:c r="M670" s="192" t="n">
        <x:v>4.8699998856</x:v>
      </x:c>
      <x:c r="N670" s="192" t="n">
        <x:v>300</x:v>
      </x:c>
      <x:c r="O670" s="192" t="n">
        <x:v>25</x:v>
      </x:c>
      <x:c r="P670" s="193" t="b">
        <x:v>0</x:v>
      </x:c>
      <x:c r="Q670" s="193" t="b">
        <x:v>0</x:v>
      </x:c>
      <x:c r="R670" s="193" t="b">
        <x:v>1</x:v>
      </x:c>
      <x:c r="S670" s="193" t="b">
        <x:v>1</x:v>
      </x:c>
      <x:c r="T670" s="192" t="n">
        <x:v>90</x:v>
      </x:c>
      <x:c r="U670" s="192" t="n">
        <x:v>0</x:v>
      </x:c>
      <x:c r="V670" s="200" t="n">
        <x:v>0</x:v>
      </x:c>
      <x:c r="W670" s="203" t="n">
        <x:v>499</x:v>
      </x:c>
      <x:c r="X670" s="203" t="n">
        <x:v>0</x:v>
      </x:c>
      <x:c r="Y670" s="203" t="n">
        <x:v>0</x:v>
      </x:c>
      <x:c r="Z670" s="193" t="b">
        <x:v>1</x:v>
      </x:c>
      <x:c r="AA670" s="193" t="b">
        <x:v>0</x:v>
      </x:c>
      <x:c r="AB670" s="193" t="b">
        <x:v>1</x:v>
      </x:c>
      <x:c r="AC670" s="193" t="b">
        <x:v>1</x:v>
      </x:c>
      <x:c r="AD670" s="193" t="b">
        <x:v>1</x:v>
      </x:c>
      <x:c r="AE670" s="193" t="b">
        <x:v>1</x:v>
      </x:c>
      <x:c r="AF670" s="193" t="b">
        <x:v>1</x:v>
      </x:c>
      <x:c r="AG670" s="193" t="b">
        <x:v>1</x:v>
      </x:c>
      <x:c r="AH670" s="193" t="b">
        <x:v>1</x:v>
      </x:c>
      <x:c r="AI670" s="193" t="b">
        <x:v>1</x:v>
      </x:c>
      <x:c r="AJ670" s="193" t="b">
        <x:v>1</x:v>
      </x:c>
    </x:row>
    <x:row r="671">
      <x:c r="A671" s="192" t="n">
        <x:v>1214464056304542500</x:v>
      </x:c>
      <x:c r="B671" s="192" t="str">
        <x:v>https://www.airbnb.com.br/rooms/1214464056304542513</x:v>
      </x:c>
      <x:c r="C671" s="192" t="str">
        <x:v>Apto vista mar a 280m da praia em Itapema MHF1108</x:v>
      </x:c>
      <x:c r="D671" s="192" t="str">
        <x:v>Centro</x:v>
      </x:c>
      <x:c r="E671" s="192" t="n">
        <x:v>-27.0931</x:v>
      </x:c>
      <x:c r="F671" s="192" t="n">
        <x:v>-48.6133</x:v>
      </x:c>
      <x:c r="G671" s="192" t="str">
        <x:v>apartamento</x:v>
      </x:c>
      <x:c r="H671" s="192" t="n">
        <x:v>2</x:v>
      </x:c>
      <x:c r="I671" s="192" t="n">
        <x:v>1</x:v>
      </x:c>
      <x:c r="J671" s="192" t="n">
        <x:v>4</x:v>
      </x:c>
      <x:c r="K671" s="192" t="n">
        <x:v>5</x:v>
      </x:c>
      <x:c r="L671" s="192" t="n">
        <x:v>16</x:v>
      </x:c>
      <x:c r="M671" s="192" t="n">
        <x:v>5</x:v>
      </x:c>
      <x:c r="N671" s="192" t="n">
        <x:v>220</x:v>
      </x:c>
      <x:c r="O671" s="192" t="n">
        <x:v>0</x:v>
      </x:c>
      <x:c r="P671" s="193" t="b">
        <x:v>1</x:v>
      </x:c>
      <x:c r="Q671" s="193" t="b">
        <x:v>1</x:v>
      </x:c>
      <x:c r="R671" s="193" t="b">
        <x:v>1</x:v>
      </x:c>
      <x:c r="S671" s="193" t="b">
        <x:v>0</x:v>
      </x:c>
      <x:c r="T671" s="192" t="n">
        <x:v>74</x:v>
      </x:c>
      <x:c r="U671" s="192" t="n">
        <x:v>16</x:v>
      </x:c>
      <x:c r="V671" s="200" t="n">
        <x:v>0.1777777778</x:v>
      </x:c>
      <x:c r="W671" s="203" t="n">
        <x:v>629.5</x:v>
      </x:c>
      <x:c r="X671" s="203" t="n">
        <x:v>10115.1079621373</x:v>
      </x:c>
      <x:c r="Y671" s="203" t="n">
        <x:v>26151.7687104424</x:v>
      </x:c>
      <x:c r="Z671" s="193" t="b">
        <x:v>1</x:v>
      </x:c>
      <x:c r="AA671" s="193" t="b">
        <x:v>1</x:v>
      </x:c>
      <x:c r="AB671" s="193" t="b">
        <x:v>1</x:v>
      </x:c>
      <x:c r="AC671" s="193" t="b">
        <x:v>1</x:v>
      </x:c>
      <x:c r="AD671" s="193" t="b">
        <x:v>1</x:v>
      </x:c>
      <x:c r="AE671" s="193" t="b">
        <x:v>0</x:v>
      </x:c>
      <x:c r="AF671" s="193" t="b">
        <x:v>1</x:v>
      </x:c>
      <x:c r="AG671" s="193" t="b">
        <x:v>1</x:v>
      </x:c>
      <x:c r="AH671" s="193" t="b">
        <x:v>1</x:v>
      </x:c>
      <x:c r="AI671" s="193" t="b">
        <x:v>1</x:v>
      </x:c>
      <x:c r="AJ671" s="193" t="b">
        <x:v>0</x:v>
      </x:c>
    </x:row>
    <x:row r="672">
      <x:c r="A672" s="192" t="n">
        <x:v>37347085</x:v>
      </x:c>
      <x:c r="B672" s="192" t="str">
        <x:v>https://www.airbnb.com.br/rooms/37347085</x:v>
      </x:c>
      <x:c r="C672" s="192" t="str">
        <x:v>Lindo apartamento, na quadra da praia!</x:v>
      </x:c>
      <x:c r="D672" s="192" t="str">
        <x:v>Meia Praia</x:v>
      </x:c>
      <x:c r="E672" s="192" t="n">
        <x:v>-27.14369</x:v>
      </x:c>
      <x:c r="F672" s="192" t="n">
        <x:v>-48.58791</x:v>
      </x:c>
      <x:c r="G672" s="192" t="str">
        <x:v>apartamento</x:v>
      </x:c>
      <x:c r="H672" s="192" t="n">
        <x:v>3</x:v>
      </x:c>
      <x:c r="I672" s="192" t="n">
        <x:v>2</x:v>
      </x:c>
      <x:c r="J672" s="192" t="n">
        <x:v>5</x:v>
      </x:c>
      <x:c r="K672" s="192" t="n">
        <x:v>6</x:v>
      </x:c>
      <x:c r="L672" s="192" t="n">
        <x:v>41</x:v>
      </x:c>
      <x:c r="M672" s="192" t="n">
        <x:v>4.7100000381</x:v>
      </x:c>
      <x:c r="N672" s="192" t="n">
        <x:v>250</x:v>
      </x:c>
      <x:c r="O672" s="192" t="n">
        <x:v>24</x:v>
      </x:c>
      <x:c r="P672" s="193" t="b">
        <x:v>1</x:v>
      </x:c>
      <x:c r="Q672" s="193" t="b">
        <x:v>0</x:v>
      </x:c>
      <x:c r="R672" s="193" t="b">
        <x:v>0</x:v>
      </x:c>
      <x:c r="S672" s="193" t="b">
        <x:v>0</x:v>
      </x:c>
      <x:c r="T672" s="192" t="n">
        <x:v>88</x:v>
      </x:c>
      <x:c r="U672" s="192" t="n">
        <x:v>2</x:v>
      </x:c>
      <x:c r="V672" s="200" t="n">
        <x:v>0.0222222222</x:v>
      </x:c>
      <x:c r="W672" s="203" t="n">
        <x:v>492</x:v>
      </x:c>
      <x:c r="X672" s="203" t="n">
        <x:v>1028.7585416594</x:v>
      </x:c>
      <x:c r="Y672" s="203" t="n">
        <x:v>2659.7694795818</x:v>
      </x:c>
      <x:c r="Z672" s="193" t="b">
        <x:v>1</x:v>
      </x:c>
      <x:c r="AA672" s="193" t="b">
        <x:v>0</x:v>
      </x:c>
      <x:c r="AB672" s="193" t="b">
        <x:v>1</x:v>
      </x:c>
      <x:c r="AC672" s="193" t="b">
        <x:v>1</x:v>
      </x:c>
      <x:c r="AD672" s="193" t="b">
        <x:v>1</x:v>
      </x:c>
      <x:c r="AE672" s="193" t="b">
        <x:v>1</x:v>
      </x:c>
      <x:c r="AF672" s="193" t="b">
        <x:v>1</x:v>
      </x:c>
      <x:c r="AG672" s="193" t="b">
        <x:v>1</x:v>
      </x:c>
      <x:c r="AH672" s="193" t="b">
        <x:v>1</x:v>
      </x:c>
      <x:c r="AI672" s="193" t="b">
        <x:v>1</x:v>
      </x:c>
      <x:c r="AJ672" s="193" t="b">
        <x:v>1</x:v>
      </x:c>
    </x:row>
    <x:row r="673">
      <x:c r="A673" s="192" t="n">
        <x:v>863830918159371100</x:v>
      </x:c>
      <x:c r="B673" s="192" t="str">
        <x:v>https://www.airbnb.com.br/rooms/863830918159371125</x:v>
      </x:c>
      <x:c r="C673" s="192" t="str">
        <x:v>Nilmare Apart Hotel - Apto Mirante das Águas - 8</x:v>
      </x:c>
      <x:c r="D673" s="192" t="str">
        <x:v>Casa Branca</x:v>
      </x:c>
      <x:c r="E673" s="192" t="n">
        <x:v>-27.0909</x:v>
      </x:c>
      <x:c r="F673" s="192" t="n">
        <x:v>-48.61799</x:v>
      </x:c>
      <x:c r="G673" s="192" t="str">
        <x:v>apartamento</x:v>
      </x:c>
      <x:c r="H673" s="192" t="n">
        <x:v>3</x:v>
      </x:c>
      <x:c r="I673" s="192" t="n">
        <x:v>1</x:v>
      </x:c>
      <x:c r="J673" s="192" t="n">
        <x:v>5</x:v>
      </x:c>
      <x:c r="K673" s="192" t="n">
        <x:v>6</x:v>
      </x:c>
      <x:c r="L673" s="192" t="n">
        <x:v>44</x:v>
      </x:c>
      <x:c r="M673" s="192" t="n">
        <x:v>4.7300000191</x:v>
      </x:c>
      <x:c r="N673" s="192" t="n">
        <x:v>60</x:v>
      </x:c>
      <x:c r="O673" s="192" t="n">
        <x:v>10</x:v>
      </x:c>
      <x:c r="P673" s="193" t="b">
        <x:v>1</x:v>
      </x:c>
      <x:c r="Q673" s="193" t="b">
        <x:v>1</x:v>
      </x:c>
      <x:c r="R673" s="193" t="b">
        <x:v>0</x:v>
      </x:c>
      <x:c r="S673" s="193" t="b">
        <x:v>1</x:v>
      </x:c>
      <x:c r="T673" s="192" t="n">
        <x:v>67</x:v>
      </x:c>
      <x:c r="U673" s="192" t="n">
        <x:v>23</x:v>
      </x:c>
      <x:c r="V673" s="200" t="n">
        <x:v>0.2555555556</x:v>
      </x:c>
      <x:c r="W673" s="203" t="n">
        <x:v>306</x:v>
      </x:c>
      <x:c r="X673" s="203" t="n">
        <x:v>7098.1659155142</x:v>
      </x:c>
      <x:c r="Y673" s="203" t="n">
        <x:v>18351.7164607358</x:v>
      </x:c>
      <x:c r="Z673" s="193" t="b">
        <x:v>1</x:v>
      </x:c>
      <x:c r="AA673" s="193" t="b">
        <x:v>0</x:v>
      </x:c>
      <x:c r="AB673" s="193" t="b">
        <x:v>1</x:v>
      </x:c>
      <x:c r="AC673" s="193" t="b">
        <x:v>1</x:v>
      </x:c>
      <x:c r="AD673" s="193" t="b">
        <x:v>0</x:v>
      </x:c>
      <x:c r="AE673" s="193" t="b">
        <x:v>0</x:v>
      </x:c>
      <x:c r="AF673" s="193" t="b">
        <x:v>0</x:v>
      </x:c>
      <x:c r="AG673" s="193" t="b">
        <x:v>1</x:v>
      </x:c>
      <x:c r="AH673" s="193" t="b">
        <x:v>1</x:v>
      </x:c>
      <x:c r="AI673" s="193" t="b">
        <x:v>1</x:v>
      </x:c>
      <x:c r="AJ673" s="193" t="b">
        <x:v>0</x:v>
      </x:c>
    </x:row>
    <x:row r="674">
      <x:c r="A674" s="192" t="n">
        <x:v>950059146531590800</x:v>
      </x:c>
      <x:c r="B674" s="192" t="str">
        <x:v>https://www.airbnb.com.br/rooms/950059146531590785</x:v>
      </x:c>
      <x:c r="C674" s="192" t="str">
        <x:v>Apartamento em Itapema - SC</x:v>
      </x:c>
      <x:c r="D674" s="192" t="str">
        <x:v>Tabuleiro dos Oliveiras</x:v>
      </x:c>
      <x:c r="E674" s="192" t="n">
        <x:v>-27.1069221497</x:v>
      </x:c>
      <x:c r="F674" s="192" t="n">
        <x:v>-48.6165313721</x:v>
      </x:c>
      <x:c r="G674" s="192" t="str">
        <x:v>apartamento</x:v>
      </x:c>
      <x:c r="H674" s="192" t="n">
        <x:v>2</x:v>
      </x:c>
      <x:c r="I674" s="192" t="n">
        <x:v>2</x:v>
      </x:c>
      <x:c r="J674" s="192" t="n">
        <x:v>3</x:v>
      </x:c>
      <x:c r="K674" s="192" t="n">
        <x:v>5</x:v>
      </x:c>
      <x:c r="L674" s="192" t="n">
        <x:v>8</x:v>
      </x:c>
      <x:c r="M674" s="192" t="n">
        <x:v>4.8800001144</x:v>
      </x:c>
      <x:c r="N674" s="192" t="n">
        <x:v>100</x:v>
      </x:c>
      <x:c r="O674" s="192" t="n">
        <x:v>16</x:v>
      </x:c>
      <x:c r="P674" s="193" t="b">
        <x:v>0</x:v>
      </x:c>
      <x:c r="Q674" s="193" t="b">
        <x:v>0</x:v>
      </x:c>
      <x:c r="R674" s="193" t="b">
        <x:v>0</x:v>
      </x:c>
      <x:c r="S674" s="193" t="b">
        <x:v>0</x:v>
      </x:c>
      <x:c r="T674" s="192" t="n">
        <x:v>17</x:v>
      </x:c>
      <x:c r="U674" s="192" t="n">
        <x:v>73</x:v>
      </x:c>
      <x:c r="V674" s="200" t="n">
        <x:v>0.8111111111</x:v>
      </x:c>
      <x:c r="W674" s="203" t="n">
        <x:v>397</x:v>
      </x:c>
      <x:c r="X674" s="203" t="n">
        <x:v>28231.2249161594</x:v>
      </x:c>
      <x:c r="Y674" s="203" t="n">
        <x:v>72989.4794186538</x:v>
      </x:c>
      <x:c r="Z674" s="193" t="b">
        <x:v>0</x:v>
      </x:c>
      <x:c r="AA674" s="193" t="b">
        <x:v>0</x:v>
      </x:c>
      <x:c r="AB674" s="193" t="b">
        <x:v>1</x:v>
      </x:c>
      <x:c r="AC674" s="193" t="b">
        <x:v>1</x:v>
      </x:c>
      <x:c r="AD674" s="193" t="b">
        <x:v>1</x:v>
      </x:c>
      <x:c r="AE674" s="193" t="b">
        <x:v>1</x:v>
      </x:c>
      <x:c r="AF674" s="193" t="b">
        <x:v>1</x:v>
      </x:c>
      <x:c r="AG674" s="193" t="b">
        <x:v>1</x:v>
      </x:c>
      <x:c r="AH674" s="193" t="b">
        <x:v>1</x:v>
      </x:c>
      <x:c r="AI674" s="193" t="b">
        <x:v>1</x:v>
      </x:c>
      <x:c r="AJ674" s="193" t="b">
        <x:v>0</x:v>
      </x:c>
    </x:row>
    <x:row r="675">
      <x:c r="A675" s="192" t="n">
        <x:v>767407262472265700</x:v>
      </x:c>
      <x:c r="B675" s="192" t="str">
        <x:v>https://www.airbnb.com.br/rooms/767407262472265686</x:v>
      </x:c>
      <x:c r="C675" s="192" t="str">
        <x:v>PÉ NA AREIA, Prédio frente mar</x:v>
      </x:c>
      <x:c r="D675" s="192" t="str">
        <x:v>Meia Praia</x:v>
      </x:c>
      <x:c r="E675" s="192" t="n">
        <x:v>-27.1196498871</x:v>
      </x:c>
      <x:c r="F675" s="192" t="n">
        <x:v>-48.6062393188</x:v>
      </x:c>
      <x:c r="G675" s="192" t="str">
        <x:v>apartamento</x:v>
      </x:c>
      <x:c r="H675" s="192" t="n">
        <x:v>3</x:v>
      </x:c>
      <x:c r="I675" s="192" t="n">
        <x:v>2</x:v>
      </x:c>
      <x:c r="J675" s="192" t="n">
        <x:v>3</x:v>
      </x:c>
      <x:c r="K675" s="192" t="n">
        <x:v>8</x:v>
      </x:c>
      <x:c r="L675" s="192" t="n">
        <x:v>16</x:v>
      </x:c>
      <x:c r="M675" s="192" t="n">
        <x:v>5</x:v>
      </x:c>
      <x:c r="N675" s="192" t="n">
        <x:v>300</x:v>
      </x:c>
      <x:c r="O675" s="192" t="n">
        <x:v>25</x:v>
      </x:c>
      <x:c r="P675" s="193" t="b">
        <x:v>0</x:v>
      </x:c>
      <x:c r="Q675" s="193" t="b">
        <x:v>0</x:v>
      </x:c>
      <x:c r="R675" s="193" t="b">
        <x:v>1</x:v>
      </x:c>
      <x:c r="S675" s="193" t="b">
        <x:v>1</x:v>
      </x:c>
      <x:c r="T675" s="192" t="n">
        <x:v>68</x:v>
      </x:c>
      <x:c r="U675" s="192" t="n">
        <x:v>22</x:v>
      </x:c>
      <x:c r="V675" s="200" t="n">
        <x:v>0.2444444444</x:v>
      </x:c>
      <x:c r="W675" s="203" t="n">
        <x:v>700</x:v>
      </x:c>
      <x:c r="X675" s="203" t="n">
        <x:v>15271.8684516572</x:v>
      </x:c>
      <x:c r="Y675" s="203" t="n">
        <x:v>39484.1432260554</x:v>
      </x:c>
      <x:c r="Z675" s="193" t="b">
        <x:v>1</x:v>
      </x:c>
      <x:c r="AA675" s="193" t="b">
        <x:v>0</x:v>
      </x:c>
      <x:c r="AB675" s="193" t="b">
        <x:v>1</x:v>
      </x:c>
      <x:c r="AC675" s="193" t="b">
        <x:v>1</x:v>
      </x:c>
      <x:c r="AD675" s="193" t="b">
        <x:v>0</x:v>
      </x:c>
      <x:c r="AE675" s="193" t="b">
        <x:v>1</x:v>
      </x:c>
      <x:c r="AF675" s="193" t="b">
        <x:v>1</x:v>
      </x:c>
      <x:c r="AG675" s="193" t="b">
        <x:v>1</x:v>
      </x:c>
      <x:c r="AH675" s="193" t="b">
        <x:v>1</x:v>
      </x:c>
      <x:c r="AI675" s="193" t="b">
        <x:v>1</x:v>
      </x:c>
      <x:c r="AJ675" s="193" t="b">
        <x:v>1</x:v>
      </x:c>
    </x:row>
    <x:row r="676">
      <x:c r="A676" s="192" t="n">
        <x:v>53581602</x:v>
      </x:c>
      <x:c r="B676" s="192" t="str">
        <x:v>https://www.airbnb.com.br/rooms/53581602</x:v>
      </x:c>
      <x:c r="C676" s="192" t="str">
        <x:v>Ap Ana e Dille em Itapema SC</x:v>
      </x:c>
      <x:c r="D676" s="192" t="str">
        <x:v>Centro</x:v>
      </x:c>
      <x:c r="E676" s="192" t="n">
        <x:v>-27.09575</x:v>
      </x:c>
      <x:c r="F676" s="192" t="n">
        <x:v>-48.61526</x:v>
      </x:c>
      <x:c r="G676" s="192" t="str">
        <x:v>apartamento</x:v>
      </x:c>
      <x:c r="H676" s="192" t="n">
        <x:v>3</x:v>
      </x:c>
      <x:c r="I676" s="192" t="n">
        <x:v>2</x:v>
      </x:c>
      <x:c r="J676" s="192" t="n">
        <x:v>3</x:v>
      </x:c>
      <x:c r="K676" s="192" t="n">
        <x:v>8</x:v>
      </x:c>
      <x:c r="L676" s="192" t="n">
        <x:v>6</x:v>
      </x:c>
      <x:c r="M676" s="192" t="n">
        <x:v>5</x:v>
      </x:c>
      <x:c r="N676" s="192" t="n">
        <x:v>250</x:v>
      </x:c>
      <x:c r="O676" s="192" t="n">
        <x:v>28</x:v>
      </x:c>
      <x:c r="P676" s="193" t="b">
        <x:v>0</x:v>
      </x:c>
      <x:c r="Q676" s="193" t="b">
        <x:v>0</x:v>
      </x:c>
      <x:c r="R676" s="193" t="b">
        <x:v>1</x:v>
      </x:c>
      <x:c r="S676" s="193" t="b">
        <x:v>0</x:v>
      </x:c>
      <x:c r="T676" s="192" t="n">
        <x:v>70</x:v>
      </x:c>
      <x:c r="U676" s="192" t="n">
        <x:v>20</x:v>
      </x:c>
      <x:c r="V676" s="200" t="n">
        <x:v>0.2222222222</x:v>
      </x:c>
      <x:c r="W676" s="203" t="n">
        <x:v>500</x:v>
      </x:c>
      <x:c r="X676" s="203" t="n">
        <x:v>9953.5836343182</x:v>
      </x:c>
      <x:c r="Y676" s="203" t="n">
        <x:v>25734.1610212268</x:v>
      </x:c>
      <x:c r="Z676" s="193" t="b">
        <x:v>1</x:v>
      </x:c>
      <x:c r="AA676" s="193" t="b">
        <x:v>0</x:v>
      </x:c>
      <x:c r="AB676" s="193" t="b">
        <x:v>1</x:v>
      </x:c>
      <x:c r="AC676" s="193" t="b">
        <x:v>1</x:v>
      </x:c>
      <x:c r="AD676" s="193" t="b">
        <x:v>1</x:v>
      </x:c>
      <x:c r="AE676" s="193" t="b">
        <x:v>0</x:v>
      </x:c>
      <x:c r="AF676" s="193" t="b">
        <x:v>1</x:v>
      </x:c>
      <x:c r="AG676" s="193" t="b">
        <x:v>1</x:v>
      </x:c>
      <x:c r="AH676" s="193" t="b">
        <x:v>1</x:v>
      </x:c>
      <x:c r="AI676" s="193" t="b">
        <x:v>1</x:v>
      </x:c>
      <x:c r="AJ676" s="193" t="b">
        <x:v>0</x:v>
      </x:c>
    </x:row>
    <x:row r="677">
      <x:c r="A677" s="192" t="n">
        <x:v>1262982199583014700</x:v>
      </x:c>
      <x:c r="B677" s="192" t="str">
        <x:v>https://www.airbnb.com.br/rooms/1262982199583014782</x:v>
      </x:c>
      <x:c r="C677" s="192" t="str">
        <x:v>Apto a apenas 280m da Praia em Itapema MHF0508</x:v>
      </x:c>
      <x:c r="D677" s="192" t="str">
        <x:v>Centro</x:v>
      </x:c>
      <x:c r="E677" s="192" t="n">
        <x:v>-27.0936893</x:v>
      </x:c>
      <x:c r="F677" s="192" t="n">
        <x:v>-48.6131638</x:v>
      </x:c>
      <x:c r="G677" s="192" t="str">
        <x:v>apartamento</x:v>
      </x:c>
      <x:c r="H677" s="192" t="n">
        <x:v>2</x:v>
      </x:c>
      <x:c r="I677" s="192" t="n">
        <x:v>1</x:v>
      </x:c>
      <x:c r="J677" s="192" t="n">
        <x:v>3</x:v>
      </x:c>
      <x:c r="K677" s="192" t="n">
        <x:v>6</x:v>
      </x:c>
      <x:c r="L677" s="192" t="n">
        <x:v>9</x:v>
      </x:c>
      <x:c r="M677" s="192" t="n">
        <x:v>4.6700000763</x:v>
      </x:c>
      <x:c r="N677" s="192" t="n">
        <x:v>240</x:v>
      </x:c>
      <x:c r="O677" s="192" t="n">
        <x:v>0</x:v>
      </x:c>
      <x:c r="P677" s="193" t="b">
        <x:v>1</x:v>
      </x:c>
      <x:c r="Q677" s="193" t="b">
        <x:v>1</x:v>
      </x:c>
      <x:c r="R677" s="193" t="b">
        <x:v>0</x:v>
      </x:c>
      <x:c r="S677" s="193" t="b">
        <x:v>0</x:v>
      </x:c>
      <x:c r="T677" s="192" t="n">
        <x:v>75</x:v>
      </x:c>
      <x:c r="U677" s="192" t="n">
        <x:v>15</x:v>
      </x:c>
      <x:c r="V677" s="200" t="n">
        <x:v>0.1666666667</x:v>
      </x:c>
      <x:c r="W677" s="203" t="n">
        <x:v>665</x:v>
      </x:c>
      <x:c r="X677" s="203" t="n">
        <x:v>9904.7930441072</x:v>
      </x:c>
      <x:c r="Y677" s="203" t="n">
        <x:v>25608.0170161187</x:v>
      </x:c>
      <x:c r="Z677" s="193" t="b">
        <x:v>1</x:v>
      </x:c>
      <x:c r="AA677" s="193" t="b">
        <x:v>1</x:v>
      </x:c>
      <x:c r="AB677" s="193" t="b">
        <x:v>1</x:v>
      </x:c>
      <x:c r="AC677" s="193" t="b">
        <x:v>1</x:v>
      </x:c>
      <x:c r="AD677" s="193" t="b">
        <x:v>1</x:v>
      </x:c>
      <x:c r="AE677" s="193" t="b">
        <x:v>1</x:v>
      </x:c>
      <x:c r="AF677" s="193" t="b">
        <x:v>1</x:v>
      </x:c>
      <x:c r="AG677" s="193" t="b">
        <x:v>1</x:v>
      </x:c>
      <x:c r="AH677" s="193" t="b">
        <x:v>1</x:v>
      </x:c>
      <x:c r="AI677" s="193" t="b">
        <x:v>1</x:v>
      </x:c>
      <x:c r="AJ677" s="193" t="b">
        <x:v>0</x:v>
      </x:c>
    </x:row>
    <x:row r="678">
      <x:c r="A678" s="192" t="n">
        <x:v>37989675</x:v>
      </x:c>
      <x:c r="B678" s="192" t="str">
        <x:v>https://www.airbnb.com.br/rooms/37989675</x:v>
      </x:c>
      <x:c r="C678" s="192" t="str">
        <x:v>Apartamento 02 dormitórios em Meia Praia - Itapema</x:v>
      </x:c>
      <x:c r="D678" s="192" t="str">
        <x:v>Meia Praia</x:v>
      </x:c>
      <x:c r="E678" s="192" t="n">
        <x:v>-27.13782</x:v>
      </x:c>
      <x:c r="F678" s="192" t="n">
        <x:v>-48.59363</x:v>
      </x:c>
      <x:c r="G678" s="192" t="str">
        <x:v>apartamento</x:v>
      </x:c>
      <x:c r="H678" s="192" t="n">
        <x:v>2</x:v>
      </x:c>
      <x:c r="I678" s="192" t="n">
        <x:v>2</x:v>
      </x:c>
      <x:c r="J678" s="192" t="n">
        <x:v>2</x:v>
      </x:c>
      <x:c r="K678" s="192" t="n">
        <x:v>6</x:v>
      </x:c>
      <x:c r="L678" s="192" t="n">
        <x:v>20</x:v>
      </x:c>
      <x:c r="M678" s="192" t="n">
        <x:v>4.8499999046</x:v>
      </x:c>
      <x:c r="N678" s="192" t="n">
        <x:v>300</x:v>
      </x:c>
      <x:c r="O678" s="192" t="n">
        <x:v>13</x:v>
      </x:c>
      <x:c r="P678" s="193" t="b">
        <x:v>0</x:v>
      </x:c>
      <x:c r="Q678" s="193" t="b">
        <x:v>0</x:v>
      </x:c>
      <x:c r="R678" s="193" t="b">
        <x:v>0</x:v>
      </x:c>
      <x:c r="S678" s="193" t="b">
        <x:v>1</x:v>
      </x:c>
      <x:c r="T678" s="192" t="n">
        <x:v>63</x:v>
      </x:c>
      <x:c r="U678" s="192" t="n">
        <x:v>27</x:v>
      </x:c>
      <x:c r="V678" s="200" t="n">
        <x:v>0.3</x:v>
      </x:c>
      <x:c r="W678" s="203" t="n">
        <x:v>400</x:v>
      </x:c>
      <x:c r="X678" s="203" t="n">
        <x:v>10864.867377568</x:v>
      </x:c>
      <x:c r="Y678" s="203" t="n">
        <x:v>28090.2091990873</x:v>
      </x:c>
      <x:c r="Z678" s="193" t="b">
        <x:v>1</x:v>
      </x:c>
      <x:c r="AA678" s="193" t="b">
        <x:v>0</x:v>
      </x:c>
      <x:c r="AB678" s="193" t="b">
        <x:v>1</x:v>
      </x:c>
      <x:c r="AC678" s="193" t="b">
        <x:v>1</x:v>
      </x:c>
      <x:c r="AD678" s="193" t="b">
        <x:v>1</x:v>
      </x:c>
      <x:c r="AE678" s="193" t="b">
        <x:v>0</x:v>
      </x:c>
      <x:c r="AF678" s="193" t="b">
        <x:v>0</x:v>
      </x:c>
      <x:c r="AG678" s="193" t="b">
        <x:v>1</x:v>
      </x:c>
      <x:c r="AH678" s="193" t="b">
        <x:v>1</x:v>
      </x:c>
      <x:c r="AI678" s="193" t="b">
        <x:v>1</x:v>
      </x:c>
      <x:c r="AJ678" s="193" t="b">
        <x:v>1</x:v>
      </x:c>
    </x:row>
    <x:row r="679">
      <x:c r="A679" s="192" t="n">
        <x:v>832123000813215700</x:v>
      </x:c>
      <x:c r="B679" s="192" t="str">
        <x:v>https://www.airbnb.com.br/rooms/832123000813215722</x:v>
      </x:c>
      <x:c r="C679" s="192" t="str">
        <x:v>Flat Meia Praia Ideal para Família - 704</x:v>
      </x:c>
      <x:c r="D679" s="192" t="str">
        <x:v>Meia Praia</x:v>
      </x:c>
      <x:c r="E679" s="192" t="n">
        <x:v>-27.1270008087</x:v>
      </x:c>
      <x:c r="F679" s="192" t="n">
        <x:v>-48.6049995422</x:v>
      </x:c>
      <x:c r="G679" s="192" t="str">
        <x:v>apartamento</x:v>
      </x:c>
      <x:c r="H679" s="192" t="n">
        <x:v>0</x:v>
      </x:c>
      <x:c r="I679" s="192" t="n">
        <x:v>1</x:v>
      </x:c>
      <x:c r="J679" s="192" t="n">
        <x:v>1</x:v>
      </x:c>
      <x:c r="K679" s="192" t="n">
        <x:v>4</x:v>
      </x:c>
      <x:c r="L679" s="192" t="n">
        <x:v>13</x:v>
      </x:c>
      <x:c r="M679" s="192" t="n">
        <x:v>4.8499999046</x:v>
      </x:c>
      <x:c r="N679" s="192" t="n">
        <x:v>120</x:v>
      </x:c>
      <x:c r="O679" s="192" t="n">
        <x:v>10</x:v>
      </x:c>
      <x:c r="P679" s="193" t="b">
        <x:v>0</x:v>
      </x:c>
      <x:c r="Q679" s="193" t="b">
        <x:v>0</x:v>
      </x:c>
      <x:c r="R679" s="193" t="b">
        <x:v>0</x:v>
      </x:c>
      <x:c r="S679" s="193" t="b">
        <x:v>1</x:v>
      </x:c>
      <x:c r="T679" s="192" t="n">
        <x:v>78</x:v>
      </x:c>
      <x:c r="U679" s="192" t="n">
        <x:v>12</x:v>
      </x:c>
      <x:c r="V679" s="200" t="n">
        <x:v>0.1333333333</x:v>
      </x:c>
      <x:c r="W679" s="203" t="n">
        <x:v>490</x:v>
      </x:c>
      <x:c r="X679" s="203" t="n">
        <x:v>6802.5258006223</x:v>
      </x:c>
      <x:c r="Y679" s="203" t="n">
        <x:v>17587.3635803588</x:v>
      </x:c>
      <x:c r="Z679" s="193" t="b">
        <x:v>1</x:v>
      </x:c>
      <x:c r="AA679" s="193" t="b">
        <x:v>1</x:v>
      </x:c>
      <x:c r="AB679" s="193" t="b">
        <x:v>1</x:v>
      </x:c>
      <x:c r="AC679" s="193" t="b">
        <x:v>1</x:v>
      </x:c>
      <x:c r="AD679" s="193" t="b">
        <x:v>0</x:v>
      </x:c>
      <x:c r="AE679" s="193" t="b">
        <x:v>1</x:v>
      </x:c>
      <x:c r="AF679" s="193" t="b">
        <x:v>0</x:v>
      </x:c>
      <x:c r="AG679" s="193" t="b">
        <x:v>1</x:v>
      </x:c>
      <x:c r="AH679" s="193" t="b">
        <x:v>1</x:v>
      </x:c>
      <x:c r="AI679" s="193" t="b">
        <x:v>1</x:v>
      </x:c>
      <x:c r="AJ679" s="193" t="b">
        <x:v>0</x:v>
      </x:c>
    </x:row>
    <x:row r="680">
      <x:c r="A680" s="192" t="n">
        <x:v>1272260793182499300</x:v>
      </x:c>
      <x:c r="B680" s="192" t="str">
        <x:v>https://www.airbnb.com.br/rooms/1272260793182499350</x:v>
      </x:c>
      <x:c r="C680" s="192" t="str">
        <x:v>Apto com 2 suítes e vista mar</x:v>
      </x:c>
      <x:c r="D680" s="192" t="str">
        <x:v>Morretes</x:v>
      </x:c>
      <x:c r="E680" s="192" t="n">
        <x:v>-27.1158068074</x:v>
      </x:c>
      <x:c r="F680" s="192" t="n">
        <x:v>-48.6121701944</x:v>
      </x:c>
      <x:c r="G680" s="192" t="str">
        <x:v>apartamento</x:v>
      </x:c>
      <x:c r="H680" s="192" t="n">
        <x:v>2</x:v>
      </x:c>
      <x:c r="I680" s="192" t="n">
        <x:v>0</x:v>
      </x:c>
      <x:c r="J680" s="192" t="n">
        <x:v>2</x:v>
      </x:c>
      <x:c r="K680" s="192" t="n">
        <x:v>5</x:v>
      </x:c>
      <x:c r="L680" s="192" t="n">
        <x:v>2</x:v>
      </x:c>
      <x:c r="M680" s="192" t="n">
        <x:v>5</x:v>
      </x:c>
      <x:c r="N680" s="192" t="n">
        <x:v>250</x:v>
      </x:c>
      <x:c r="O680" s="192" t="n">
        <x:v>0</x:v>
      </x:c>
      <x:c r="P680" s="193" t="b">
        <x:v>0</x:v>
      </x:c>
      <x:c r="Q680" s="193" t="b">
        <x:v>0</x:v>
      </x:c>
      <x:c r="R680" s="193" t="b">
        <x:v>0</x:v>
      </x:c>
      <x:c r="S680" s="193" t="b">
        <x:v>0</x:v>
      </x:c>
      <x:c r="T680" s="192" t="n">
        <x:v>45</x:v>
      </x:c>
      <x:c r="U680" s="192" t="n">
        <x:v>45</x:v>
      </x:c>
      <x:c r="V680" s="200" t="n">
        <x:v>0.5</x:v>
      </x:c>
      <x:c r="W680" s="203" t="n">
        <x:v>582</x:v>
      </x:c>
      <x:c r="X680" s="203" t="n">
        <x:v>26094.8157481472</x:v>
      </x:c>
      <x:c r="Y680" s="203" t="n">
        <x:v>67465.9715488556</x:v>
      </x:c>
      <x:c r="Z680" s="193" t="b">
        <x:v>0</x:v>
      </x:c>
      <x:c r="AA680" s="193" t="b">
        <x:v>0</x:v>
      </x:c>
      <x:c r="AB680" s="193" t="b">
        <x:v>1</x:v>
      </x:c>
      <x:c r="AC680" s="193" t="b">
        <x:v>1</x:v>
      </x:c>
      <x:c r="AD680" s="193" t="b">
        <x:v>1</x:v>
      </x:c>
      <x:c r="AE680" s="193" t="b">
        <x:v>1</x:v>
      </x:c>
      <x:c r="AF680" s="193" t="b">
        <x:v>1</x:v>
      </x:c>
      <x:c r="AG680" s="193" t="b">
        <x:v>1</x:v>
      </x:c>
      <x:c r="AH680" s="193" t="b">
        <x:v>1</x:v>
      </x:c>
      <x:c r="AI680" s="193" t="b">
        <x:v>1</x:v>
      </x:c>
      <x:c r="AJ680" s="193" t="b">
        <x:v>0</x:v>
      </x:c>
    </x:row>
    <x:row r="681">
      <x:c r="A681" s="192" t="n">
        <x:v>1081972140987250400</x:v>
      </x:c>
      <x:c r="B681" s="192" t="str">
        <x:v>https://www.airbnb.com.br/rooms/1081972140987250431</x:v>
      </x:c>
      <x:c r="C681" s="192" t="str">
        <x:v>Lindo apto em Meia Praia Itapema/SC OBS0301</x:v>
      </x:c>
      <x:c r="D681" s="192" t="str">
        <x:v>Meia Praia</x:v>
      </x:c>
      <x:c r="E681" s="192" t="n">
        <x:v>-27.1439909</x:v>
      </x:c>
      <x:c r="F681" s="192" t="n">
        <x:v>-48.5876334</x:v>
      </x:c>
      <x:c r="G681" s="192" t="str">
        <x:v>apartamento</x:v>
      </x:c>
      <x:c r="H681" s="192" t="n">
        <x:v>2</x:v>
      </x:c>
      <x:c r="I681" s="192" t="n">
        <x:v>2</x:v>
      </x:c>
      <x:c r="J681" s="192" t="n">
        <x:v>2</x:v>
      </x:c>
      <x:c r="K681" s="192" t="n">
        <x:v>4</x:v>
      </x:c>
      <x:c r="L681" s="192" t="n">
        <x:v>9</x:v>
      </x:c>
      <x:c r="M681" s="192" t="n">
        <x:v>4.5599999428</x:v>
      </x:c>
      <x:c r="N681" s="192" t="n">
        <x:v>400</x:v>
      </x:c>
      <x:c r="O681" s="192" t="n">
        <x:v>23</x:v>
      </x:c>
      <x:c r="P681" s="193" t="b">
        <x:v>1</x:v>
      </x:c>
      <x:c r="Q681" s="193" t="b">
        <x:v>1</x:v>
      </x:c>
      <x:c r="R681" s="193" t="b">
        <x:v>0</x:v>
      </x:c>
      <x:c r="S681" s="193" t="b">
        <x:v>0</x:v>
      </x:c>
      <x:c r="T681" s="192" t="n">
        <x:v>63</x:v>
      </x:c>
      <x:c r="U681" s="192" t="n">
        <x:v>27</x:v>
      </x:c>
      <x:c r="V681" s="200" t="n">
        <x:v>0.3</x:v>
      </x:c>
      <x:c r="W681" s="203" t="n">
        <x:v>525</x:v>
      </x:c>
      <x:c r="X681" s="203" t="n">
        <x:v>14178.9224530496</x:v>
      </x:c>
      <x:c r="Y681" s="203" t="n">
        <x:v>36658.4224254886</x:v>
      </x:c>
      <x:c r="Z681" s="193" t="b">
        <x:v>1</x:v>
      </x:c>
      <x:c r="AA681" s="193" t="b">
        <x:v>0</x:v>
      </x:c>
      <x:c r="AB681" s="193" t="b">
        <x:v>1</x:v>
      </x:c>
      <x:c r="AC681" s="193" t="b">
        <x:v>1</x:v>
      </x:c>
      <x:c r="AD681" s="193" t="b">
        <x:v>0</x:v>
      </x:c>
      <x:c r="AE681" s="193" t="b">
        <x:v>0</x:v>
      </x:c>
      <x:c r="AF681" s="193" t="b">
        <x:v>1</x:v>
      </x:c>
      <x:c r="AG681" s="193" t="b">
        <x:v>1</x:v>
      </x:c>
      <x:c r="AH681" s="193" t="b">
        <x:v>1</x:v>
      </x:c>
      <x:c r="AI681" s="193" t="b">
        <x:v>1</x:v>
      </x:c>
      <x:c r="AJ681" s="193" t="b">
        <x:v>1</x:v>
      </x:c>
    </x:row>
    <x:row r="682">
      <x:c r="A682" s="192" t="n">
        <x:v>873125740517449200</x:v>
      </x:c>
      <x:c r="B682" s="192" t="str">
        <x:v>https://www.airbnb.com.br/rooms/873125740517449213</x:v>
      </x:c>
      <x:c r="C682" s="192" t="str">
        <x:v>Bom apto c/2 quartos e varanda em Itapema RSN301</x:v>
      </x:c>
      <x:c r="D682" s="192" t="str">
        <x:v>Morretes</x:v>
      </x:c>
      <x:c r="E682" s="192" t="n">
        <x:v>-27.1270008087</x:v>
      </x:c>
      <x:c r="F682" s="192" t="n">
        <x:v>-48.6230010986</x:v>
      </x:c>
      <x:c r="G682" s="192" t="str">
        <x:v>apartamento</x:v>
      </x:c>
      <x:c r="H682" s="192" t="n">
        <x:v>2</x:v>
      </x:c>
      <x:c r="I682" s="192" t="n">
        <x:v>1</x:v>
      </x:c>
      <x:c r="J682" s="192" t="n">
        <x:v>3</x:v>
      </x:c>
      <x:c r="K682" s="192" t="n">
        <x:v>5</x:v>
      </x:c>
      <x:c r="L682" s="192" t="n">
        <x:v>19</x:v>
      </x:c>
      <x:c r="M682" s="192" t="n">
        <x:v>4.8400001526</x:v>
      </x:c>
      <x:c r="N682" s="192" t="n">
        <x:v>400</x:v>
      </x:c>
      <x:c r="O682" s="192" t="n">
        <x:v>28</x:v>
      </x:c>
      <x:c r="P682" s="193" t="b">
        <x:v>1</x:v>
      </x:c>
      <x:c r="Q682" s="193" t="b">
        <x:v>1</x:v>
      </x:c>
      <x:c r="R682" s="193" t="b">
        <x:v>1</x:v>
      </x:c>
      <x:c r="S682" s="193" t="b">
        <x:v>0</x:v>
      </x:c>
      <x:c r="T682" s="192" t="n">
        <x:v>62</x:v>
      </x:c>
      <x:c r="U682" s="192" t="n">
        <x:v>28</x:v>
      </x:c>
      <x:c r="V682" s="200" t="n">
        <x:v>0.3111111111</x:v>
      </x:c>
      <x:c r="W682" s="203" t="n">
        <x:v>418</x:v>
      </x:c>
      <x:c r="X682" s="203" t="n">
        <x:v>11724.2238534007</x:v>
      </x:c>
      <x:c r="Y682" s="203" t="n">
        <x:v>30312.0037543131</x:v>
      </x:c>
      <x:c r="Z682" s="193" t="b">
        <x:v>1</x:v>
      </x:c>
      <x:c r="AA682" s="193" t="b">
        <x:v>1</x:v>
      </x:c>
      <x:c r="AB682" s="193" t="b">
        <x:v>1</x:v>
      </x:c>
      <x:c r="AC682" s="193" t="b">
        <x:v>1</x:v>
      </x:c>
      <x:c r="AD682" s="193" t="b">
        <x:v>1</x:v>
      </x:c>
      <x:c r="AE682" s="193" t="b">
        <x:v>0</x:v>
      </x:c>
      <x:c r="AF682" s="193" t="b">
        <x:v>1</x:v>
      </x:c>
      <x:c r="AG682" s="193" t="b">
        <x:v>1</x:v>
      </x:c>
      <x:c r="AH682" s="193" t="b">
        <x:v>1</x:v>
      </x:c>
      <x:c r="AI682" s="193" t="b">
        <x:v>1</x:v>
      </x:c>
      <x:c r="AJ682" s="193" t="b">
        <x:v>1</x:v>
      </x:c>
    </x:row>
    <x:row r="683">
      <x:c r="A683" s="192" t="n">
        <x:v>40910065</x:v>
      </x:c>
      <x:c r="B683" s="192" t="str">
        <x:v>https://www.airbnb.com.br/rooms/40910065</x:v>
      </x:c>
      <x:c r="C683" s="192" t="str">
        <x:v>Lindo, completo e amplo apto para locação</x:v>
      </x:c>
      <x:c r="D683" s="192" t="str">
        <x:v>Meia Praia</x:v>
      </x:c>
      <x:c r="E683" s="192" t="n">
        <x:v>-27.13818</x:v>
      </x:c>
      <x:c r="F683" s="192" t="n">
        <x:v>-48.60005</x:v>
      </x:c>
      <x:c r="G683" s="192" t="str">
        <x:v>apartamento</x:v>
      </x:c>
      <x:c r="H683" s="192" t="n">
        <x:v>0</x:v>
      </x:c>
      <x:c r="I683" s="192" t="n">
        <x:v>1</x:v>
      </x:c>
      <x:c r="J683" s="192" t="n">
        <x:v>5</x:v>
      </x:c>
      <x:c r="K683" s="192" t="n">
        <x:v>8</x:v>
      </x:c>
      <x:c r="L683" s="192" t="n">
        <x:v>10</x:v>
      </x:c>
      <x:c r="M683" s="192" t="n">
        <x:v>5</x:v>
      </x:c>
      <x:c r="N683" s="192" t="n">
        <x:v>300</x:v>
      </x:c>
      <x:c r="O683" s="192" t="n">
        <x:v>28</x:v>
      </x:c>
      <x:c r="P683" s="193" t="b">
        <x:v>0</x:v>
      </x:c>
      <x:c r="Q683" s="193" t="b">
        <x:v>0</x:v>
      </x:c>
      <x:c r="R683" s="193" t="b">
        <x:v>0</x:v>
      </x:c>
      <x:c r="S683" s="193" t="b">
        <x:v>0</x:v>
      </x:c>
      <x:c r="T683" s="192" t="n">
        <x:v>88</x:v>
      </x:c>
      <x:c r="U683" s="192" t="n">
        <x:v>2</x:v>
      </x:c>
      <x:c r="V683" s="200" t="n">
        <x:v>0.0222222222</x:v>
      </x:c>
      <x:c r="W683" s="203" t="n">
        <x:v>650</x:v>
      </x:c>
      <x:c r="X683" s="203" t="n">
        <x:v>1274.9123042938</x:v>
      </x:c>
      <x:c r="Y683" s="203" t="n">
        <x:v>3296.1795200596</x:v>
      </x:c>
      <x:c r="Z683" s="193" t="b">
        <x:v>1</x:v>
      </x:c>
      <x:c r="AA683" s="193" t="b">
        <x:v>0</x:v>
      </x:c>
      <x:c r="AB683" s="193" t="b">
        <x:v>1</x:v>
      </x:c>
      <x:c r="AC683" s="193" t="b">
        <x:v>1</x:v>
      </x:c>
      <x:c r="AD683" s="193" t="b">
        <x:v>1</x:v>
      </x:c>
      <x:c r="AE683" s="193" t="b">
        <x:v>1</x:v>
      </x:c>
      <x:c r="AF683" s="193" t="b">
        <x:v>1</x:v>
      </x:c>
      <x:c r="AG683" s="193" t="b">
        <x:v>1</x:v>
      </x:c>
      <x:c r="AH683" s="193" t="b">
        <x:v>1</x:v>
      </x:c>
      <x:c r="AI683" s="193" t="b">
        <x:v>1</x:v>
      </x:c>
      <x:c r="AJ683" s="193" t="b">
        <x:v>1</x:v>
      </x:c>
    </x:row>
    <x:row r="684">
      <x:c r="A684" s="192" t="n">
        <x:v>1226846054624437000</x:v>
      </x:c>
      <x:c r="B684" s="192" t="str">
        <x:v>https://www.airbnb.com.br/rooms/1226846054624436877</x:v>
      </x:c>
      <x:c r="C684" s="192" t="str">
        <x:v>Apto confortável vista mar 280m da praia MHF0802</x:v>
      </x:c>
      <x:c r="D684" s="192" t="str">
        <x:v>Centro</x:v>
      </x:c>
      <x:c r="E684" s="192" t="n">
        <x:v>-27.09231</x:v>
      </x:c>
      <x:c r="F684" s="192" t="n">
        <x:v>-48.61455</x:v>
      </x:c>
      <x:c r="G684" s="192" t="str">
        <x:v>apartamento</x:v>
      </x:c>
      <x:c r="H684" s="192" t="n">
        <x:v>2</x:v>
      </x:c>
      <x:c r="I684" s="192" t="n">
        <x:v>1</x:v>
      </x:c>
      <x:c r="J684" s="192" t="n">
        <x:v>3</x:v>
      </x:c>
      <x:c r="K684" s="192" t="n">
        <x:v>6</x:v>
      </x:c>
      <x:c r="L684" s="192" t="n">
        <x:v>7</x:v>
      </x:c>
      <x:c r="M684" s="192" t="n">
        <x:v>4.8600001335</x:v>
      </x:c>
      <x:c r="N684" s="192" t="n">
        <x:v>240</x:v>
      </x:c>
      <x:c r="O684" s="192" t="n">
        <x:v>0</x:v>
      </x:c>
      <x:c r="P684" s="193" t="b">
        <x:v>1</x:v>
      </x:c>
      <x:c r="Q684" s="193" t="b">
        <x:v>1</x:v>
      </x:c>
      <x:c r="R684" s="193" t="b">
        <x:v>0</x:v>
      </x:c>
      <x:c r="S684" s="193" t="b">
        <x:v>0</x:v>
      </x:c>
      <x:c r="T684" s="192" t="n">
        <x:v>68</x:v>
      </x:c>
      <x:c r="U684" s="192" t="n">
        <x:v>22</x:v>
      </x:c>
      <x:c r="V684" s="200" t="n">
        <x:v>0.2444444444</x:v>
      </x:c>
      <x:c r="W684" s="203" t="n">
        <x:v>627</x:v>
      </x:c>
      <x:c r="X684" s="203" t="n">
        <x:v>13766.7449725231</x:v>
      </x:c>
      <x:c r="Y684" s="203" t="n">
        <x:v>35592.7718977109</x:v>
      </x:c>
      <x:c r="Z684" s="193" t="b">
        <x:v>1</x:v>
      </x:c>
      <x:c r="AA684" s="193" t="b">
        <x:v>1</x:v>
      </x:c>
      <x:c r="AB684" s="193" t="b">
        <x:v>1</x:v>
      </x:c>
      <x:c r="AC684" s="193" t="b">
        <x:v>1</x:v>
      </x:c>
      <x:c r="AD684" s="193" t="b">
        <x:v>1</x:v>
      </x:c>
      <x:c r="AE684" s="193" t="b">
        <x:v>0</x:v>
      </x:c>
      <x:c r="AF684" s="193" t="b">
        <x:v>1</x:v>
      </x:c>
      <x:c r="AG684" s="193" t="b">
        <x:v>1</x:v>
      </x:c>
      <x:c r="AH684" s="193" t="b">
        <x:v>1</x:v>
      </x:c>
      <x:c r="AI684" s="193" t="b">
        <x:v>1</x:v>
      </x:c>
      <x:c r="AJ684" s="193" t="b">
        <x:v>0</x:v>
      </x:c>
    </x:row>
    <x:row r="685">
      <x:c r="A685" s="192" t="n">
        <x:v>966687088388761200</x:v>
      </x:c>
      <x:c r="B685" s="192" t="str">
        <x:v>https://www.airbnb.com.br/rooms/966687088388761169</x:v>
      </x:c>
      <x:c r="C685" s="192" t="str">
        <x:v>Excelente apto  próximo a praia</x:v>
      </x:c>
      <x:c r="D685" s="192" t="str">
        <x:v>Meia Praia</x:v>
      </x:c>
      <x:c r="E685" s="192" t="n">
        <x:v>-27.1399993896</x:v>
      </x:c>
      <x:c r="F685" s="192" t="n">
        <x:v>-48.5979995728</x:v>
      </x:c>
      <x:c r="G685" s="192" t="str">
        <x:v>apartamento</x:v>
      </x:c>
      <x:c r="H685" s="192" t="n">
        <x:v>3</x:v>
      </x:c>
      <x:c r="I685" s="192" t="n">
        <x:v>3</x:v>
      </x:c>
      <x:c r="J685" s="192" t="n">
        <x:v>3</x:v>
      </x:c>
      <x:c r="K685" s="192" t="n">
        <x:v>6</x:v>
      </x:c>
      <x:c r="L685" s="192" t="n">
        <x:v>14</x:v>
      </x:c>
      <x:c r="M685" s="192" t="n">
        <x:v>5</x:v>
      </x:c>
      <x:c r="N685" s="192" t="n">
        <x:v>350</x:v>
      </x:c>
      <x:c r="O685" s="192" t="n">
        <x:v>8</x:v>
      </x:c>
      <x:c r="P685" s="193" t="b">
        <x:v>0</x:v>
      </x:c>
      <x:c r="Q685" s="193" t="b">
        <x:v>0</x:v>
      </x:c>
      <x:c r="R685" s="193" t="b">
        <x:v>1</x:v>
      </x:c>
      <x:c r="S685" s="193" t="b">
        <x:v>0</x:v>
      </x:c>
      <x:c r="T685" s="192" t="n">
        <x:v>88</x:v>
      </x:c>
      <x:c r="U685" s="192" t="n">
        <x:v>2</x:v>
      </x:c>
      <x:c r="V685" s="200" t="n">
        <x:v>0.0222222222</x:v>
      </x:c>
      <x:c r="W685" s="203" t="n">
        <x:v>700</x:v>
      </x:c>
      <x:c r="X685" s="203" t="n">
        <x:v>1432.9694017092</x:v>
      </x:c>
      <x:c r="Y685" s="203" t="n">
        <x:v>3704.8229740024</x:v>
      </x:c>
      <x:c r="Z685" s="193" t="b">
        <x:v>1</x:v>
      </x:c>
      <x:c r="AA685" s="193" t="b">
        <x:v>0</x:v>
      </x:c>
      <x:c r="AB685" s="193" t="b">
        <x:v>1</x:v>
      </x:c>
      <x:c r="AC685" s="193" t="b">
        <x:v>1</x:v>
      </x:c>
      <x:c r="AD685" s="193" t="b">
        <x:v>0</x:v>
      </x:c>
      <x:c r="AE685" s="193" t="b">
        <x:v>1</x:v>
      </x:c>
      <x:c r="AF685" s="193" t="b">
        <x:v>1</x:v>
      </x:c>
      <x:c r="AG685" s="193" t="b">
        <x:v>1</x:v>
      </x:c>
      <x:c r="AH685" s="193" t="b">
        <x:v>1</x:v>
      </x:c>
      <x:c r="AI685" s="193" t="b">
        <x:v>1</x:v>
      </x:c>
      <x:c r="AJ685" s="193" t="b">
        <x:v>1</x:v>
      </x:c>
    </x:row>
    <x:row r="686">
      <x:c r="A686" s="192" t="n">
        <x:v>28410850</x:v>
      </x:c>
      <x:c r="B686" s="192" t="str">
        <x:v>https://www.airbnb.com.br/rooms/28410850</x:v>
      </x:c>
      <x:c r="C686" s="192" t="str">
        <x:v>Apartamento Alto Padrão , Pé na Areia,
Itapema</x:v>
      </x:c>
      <x:c r="D686" s="192" t="str">
        <x:v>Centro</x:v>
      </x:c>
      <x:c r="E686" s="192" t="n">
        <x:v>-27.09385</x:v>
      </x:c>
      <x:c r="F686" s="192" t="n">
        <x:v>-48.61161</x:v>
      </x:c>
      <x:c r="G686" s="192" t="str">
        <x:v>apartamento</x:v>
      </x:c>
      <x:c r="H686" s="192" t="n">
        <x:v>1</x:v>
      </x:c>
      <x:c r="I686" s="192" t="n">
        <x:v>1</x:v>
      </x:c>
      <x:c r="J686" s="192" t="n">
        <x:v>1</x:v>
      </x:c>
      <x:c r="K686" s="192" t="n">
        <x:v>2</x:v>
      </x:c>
      <x:c r="L686" s="192" t="n">
        <x:v>62</x:v>
      </x:c>
      <x:c r="M686" s="192" t="n">
        <x:v>4.8499999046</x:v>
      </x:c>
      <x:c r="N686" s="192" t="n">
        <x:v>0</x:v>
      </x:c>
      <x:c r="O686" s="192" t="n">
        <x:v>63</x:v>
      </x:c>
      <x:c r="P686" s="193" t="b">
        <x:v>1</x:v>
      </x:c>
      <x:c r="Q686" s="193" t="b">
        <x:v>0</x:v>
      </x:c>
      <x:c r="R686" s="193" t="b">
        <x:v>0</x:v>
      </x:c>
      <x:c r="S686" s="193" t="b">
        <x:v>0</x:v>
      </x:c>
      <x:c r="T686" s="192" t="n">
        <x:v>76</x:v>
      </x:c>
      <x:c r="U686" s="192" t="n">
        <x:v>14</x:v>
      </x:c>
      <x:c r="V686" s="200" t="n">
        <x:v>0.1555555556</x:v>
      </x:c>
      <x:c r="W686" s="203" t="n">
        <x:v>499</x:v>
      </x:c>
      <x:c r="X686" s="203" t="n">
        <x:v>7911.9252282223</x:v>
      </x:c>
      <x:c r="Y686" s="203" t="n">
        <x:v>20455.6233504665</x:v>
      </x:c>
      <x:c r="Z686" s="193" t="b">
        <x:v>1</x:v>
      </x:c>
      <x:c r="AA686" s="193" t="b">
        <x:v>1</x:v>
      </x:c>
      <x:c r="AB686" s="193" t="b">
        <x:v>1</x:v>
      </x:c>
      <x:c r="AC686" s="193" t="b">
        <x:v>1</x:v>
      </x:c>
      <x:c r="AD686" s="193" t="b">
        <x:v>1</x:v>
      </x:c>
      <x:c r="AE686" s="193" t="b">
        <x:v>0</x:v>
      </x:c>
      <x:c r="AF686" s="193" t="b">
        <x:v>1</x:v>
      </x:c>
      <x:c r="AG686" s="193" t="b">
        <x:v>0</x:v>
      </x:c>
      <x:c r="AH686" s="193" t="b">
        <x:v>1</x:v>
      </x:c>
      <x:c r="AI686" s="193" t="b">
        <x:v>1</x:v>
      </x:c>
      <x:c r="AJ686" s="193" t="b">
        <x:v>0</x:v>
      </x:c>
    </x:row>
    <x:row r="687">
      <x:c r="A687" s="192" t="n">
        <x:v>53340772</x:v>
      </x:c>
      <x:c r="B687" s="192" t="str">
        <x:v>https://www.airbnb.com.br/rooms/53340772</x:v>
      </x:c>
      <x:c r="C687" s="192" t="str">
        <x:v>Espaço inteiro: Apartamento em Meia Praia</x:v>
      </x:c>
      <x:c r="D687" s="192" t="str">
        <x:v>Meia Praia</x:v>
      </x:c>
      <x:c r="E687" s="192" t="n">
        <x:v>-27.1317806244</x:v>
      </x:c>
      <x:c r="F687" s="192" t="n">
        <x:v>-48.5987701416</x:v>
      </x:c>
      <x:c r="G687" s="192" t="str">
        <x:v>apartamento</x:v>
      </x:c>
      <x:c r="H687" s="192" t="n">
        <x:v>3</x:v>
      </x:c>
      <x:c r="I687" s="192" t="n">
        <x:v>2</x:v>
      </x:c>
      <x:c r="J687" s="192" t="n">
        <x:v>5</x:v>
      </x:c>
      <x:c r="K687" s="192" t="n">
        <x:v>7</x:v>
      </x:c>
      <x:c r="L687" s="192" t="n">
        <x:v>17</x:v>
      </x:c>
      <x:c r="M687" s="192" t="n">
        <x:v>5</x:v>
      </x:c>
      <x:c r="N687" s="192" t="n">
        <x:v>300</x:v>
      </x:c>
      <x:c r="O687" s="192" t="n">
        <x:v>15</x:v>
      </x:c>
      <x:c r="P687" s="193" t="b">
        <x:v>0</x:v>
      </x:c>
      <x:c r="Q687" s="193" t="b">
        <x:v>0</x:v>
      </x:c>
      <x:c r="R687" s="193" t="b">
        <x:v>1</x:v>
      </x:c>
      <x:c r="S687" s="193" t="b">
        <x:v>1</x:v>
      </x:c>
      <x:c r="T687" s="192" t="n">
        <x:v>59</x:v>
      </x:c>
      <x:c r="U687" s="192" t="n">
        <x:v>31</x:v>
      </x:c>
      <x:c r="V687" s="200" t="n">
        <x:v>0.3444444444</x:v>
      </x:c>
      <x:c r="W687" s="203" t="n">
        <x:v>400</x:v>
      </x:c>
      <x:c r="X687" s="203" t="n">
        <x:v>12184.3321669205</x:v>
      </x:c>
      <x:c r="Y687" s="203" t="n">
        <x:v>31501.575456559</x:v>
      </x:c>
      <x:c r="Z687" s="193" t="b">
        <x:v>1</x:v>
      </x:c>
      <x:c r="AA687" s="193" t="b">
        <x:v>0</x:v>
      </x:c>
      <x:c r="AB687" s="193" t="b">
        <x:v>1</x:v>
      </x:c>
      <x:c r="AC687" s="193" t="b">
        <x:v>1</x:v>
      </x:c>
      <x:c r="AD687" s="193" t="b">
        <x:v>1</x:v>
      </x:c>
      <x:c r="AE687" s="193" t="b">
        <x:v>1</x:v>
      </x:c>
      <x:c r="AF687" s="193" t="b">
        <x:v>1</x:v>
      </x:c>
      <x:c r="AG687" s="193" t="b">
        <x:v>1</x:v>
      </x:c>
      <x:c r="AH687" s="193" t="b">
        <x:v>1</x:v>
      </x:c>
      <x:c r="AI687" s="193" t="b">
        <x:v>1</x:v>
      </x:c>
      <x:c r="AJ687" s="193" t="b">
        <x:v>1</x:v>
      </x:c>
    </x:row>
    <x:row r="688">
      <x:c r="A688" s="192" t="n">
        <x:v>51825638</x:v>
      </x:c>
      <x:c r="B688" s="192" t="str">
        <x:v>https://www.airbnb.com.br/rooms/51825638</x:v>
      </x:c>
      <x:c r="C688" s="192" t="str">
        <x:v>Apartamento amplo e aconchegante</x:v>
      </x:c>
      <x:c r="D688" s="192" t="str">
        <x:v>Meia Praia</x:v>
      </x:c>
      <x:c r="E688" s="192" t="n">
        <x:v>-27.14132</x:v>
      </x:c>
      <x:c r="F688" s="192" t="n">
        <x:v>-48.59172</x:v>
      </x:c>
      <x:c r="G688" s="192" t="str">
        <x:v>apartamento</x:v>
      </x:c>
      <x:c r="H688" s="192" t="n">
        <x:v>3</x:v>
      </x:c>
      <x:c r="I688" s="192" t="n">
        <x:v>2</x:v>
      </x:c>
      <x:c r="J688" s="192" t="n">
        <x:v>4</x:v>
      </x:c>
      <x:c r="K688" s="192" t="n">
        <x:v>6</x:v>
      </x:c>
      <x:c r="L688" s="192" t="n">
        <x:v>8</x:v>
      </x:c>
      <x:c r="M688" s="192" t="n">
        <x:v>5</x:v>
      </x:c>
      <x:c r="N688" s="192" t="n">
        <x:v>50</x:v>
      </x:c>
      <x:c r="O688" s="192" t="n">
        <x:v>13</x:v>
      </x:c>
      <x:c r="P688" s="193" t="b">
        <x:v>1</x:v>
      </x:c>
      <x:c r="Q688" s="193" t="b">
        <x:v>0</x:v>
      </x:c>
      <x:c r="R688" s="193" t="b">
        <x:v>0</x:v>
      </x:c>
      <x:c r="S688" s="193" t="b">
        <x:v>0</x:v>
      </x:c>
      <x:c r="T688" s="192" t="n">
        <x:v>74</x:v>
      </x:c>
      <x:c r="U688" s="192" t="n">
        <x:v>16</x:v>
      </x:c>
      <x:c r="V688" s="200" t="n">
        <x:v>0.1777777778</x:v>
      </x:c>
      <x:c r="W688" s="203" t="n">
        <x:v>650</x:v>
      </x:c>
      <x:c r="X688" s="203" t="n">
        <x:v>11945.9477772484</x:v>
      </x:c>
      <x:c r="Y688" s="203" t="n">
        <x:v>30885.2524824276</x:v>
      </x:c>
      <x:c r="Z688" s="193" t="b">
        <x:v>1</x:v>
      </x:c>
      <x:c r="AA688" s="193" t="b">
        <x:v>0</x:v>
      </x:c>
      <x:c r="AB688" s="193" t="b">
        <x:v>1</x:v>
      </x:c>
      <x:c r="AC688" s="193" t="b">
        <x:v>0</x:v>
      </x:c>
      <x:c r="AD688" s="193" t="b">
        <x:v>0</x:v>
      </x:c>
      <x:c r="AE688" s="193" t="b">
        <x:v>0</x:v>
      </x:c>
      <x:c r="AF688" s="193" t="b">
        <x:v>1</x:v>
      </x:c>
      <x:c r="AG688" s="193" t="b">
        <x:v>1</x:v>
      </x:c>
      <x:c r="AH688" s="193" t="b">
        <x:v>1</x:v>
      </x:c>
      <x:c r="AI688" s="193" t="b">
        <x:v>1</x:v>
      </x:c>
      <x:c r="AJ688" s="193" t="b">
        <x:v>0</x:v>
      </x:c>
    </x:row>
    <x:row r="689">
      <x:c r="A689" s="192" t="n">
        <x:v>22306996</x:v>
      </x:c>
      <x:c r="B689" s="192" t="str">
        <x:v>https://www.airbnb.com.br/rooms/22306996</x:v>
      </x:c>
      <x:c r="C689" s="192" t="str">
        <x:v>Apartamento em Meia Praia</x:v>
      </x:c>
      <x:c r="D689" s="192" t="str">
        <x:v>Meia Praia</x:v>
      </x:c>
      <x:c r="E689" s="192" t="n">
        <x:v>-27.1376438141</x:v>
      </x:c>
      <x:c r="F689" s="192" t="n">
        <x:v>-48.5985221863</x:v>
      </x:c>
      <x:c r="G689" s="192" t="str">
        <x:v>apartamento</x:v>
      </x:c>
      <x:c r="H689" s="192" t="n">
        <x:v>2</x:v>
      </x:c>
      <x:c r="I689" s="192" t="n">
        <x:v>2</x:v>
      </x:c>
      <x:c r="J689" s="192" t="n">
        <x:v>3</x:v>
      </x:c>
      <x:c r="K689" s="192" t="n">
        <x:v>5</x:v>
      </x:c>
      <x:c r="L689" s="192" t="n">
        <x:v>15</x:v>
      </x:c>
      <x:c r="M689" s="192" t="n">
        <x:v>5</x:v>
      </x:c>
      <x:c r="N689" s="192" t="n">
        <x:v>220</x:v>
      </x:c>
      <x:c r="O689" s="192" t="n">
        <x:v>29</x:v>
      </x:c>
      <x:c r="P689" s="193" t="b">
        <x:v>0</x:v>
      </x:c>
      <x:c r="Q689" s="193" t="b">
        <x:v>0</x:v>
      </x:c>
      <x:c r="R689" s="193" t="b">
        <x:v>1</x:v>
      </x:c>
      <x:c r="S689" s="193" t="b">
        <x:v>1</x:v>
      </x:c>
      <x:c r="T689" s="192" t="n">
        <x:v>23</x:v>
      </x:c>
      <x:c r="U689" s="192" t="n">
        <x:v>67</x:v>
      </x:c>
      <x:c r="V689" s="200" t="n">
        <x:v>0.7444444444</x:v>
      </x:c>
      <x:c r="W689" s="203" t="n">
        <x:v>155</x:v>
      </x:c>
      <x:c r="X689" s="203" t="n">
        <x:v>10593.9838701322</x:v>
      </x:c>
      <x:c r="Y689" s="203" t="n">
        <x:v>27389.8624642377</x:v>
      </x:c>
      <x:c r="Z689" s="193" t="b">
        <x:v>0</x:v>
      </x:c>
      <x:c r="AA689" s="193" t="b">
        <x:v>0</x:v>
      </x:c>
      <x:c r="AB689" s="193" t="b">
        <x:v>1</x:v>
      </x:c>
      <x:c r="AC689" s="193" t="b">
        <x:v>1</x:v>
      </x:c>
      <x:c r="AD689" s="193" t="b">
        <x:v>1</x:v>
      </x:c>
      <x:c r="AE689" s="193" t="b">
        <x:v>0</x:v>
      </x:c>
      <x:c r="AF689" s="193" t="b">
        <x:v>1</x:v>
      </x:c>
      <x:c r="AG689" s="193" t="b">
        <x:v>1</x:v>
      </x:c>
      <x:c r="AH689" s="193" t="b">
        <x:v>1</x:v>
      </x:c>
      <x:c r="AI689" s="193" t="b">
        <x:v>1</x:v>
      </x:c>
      <x:c r="AJ689" s="193" t="b">
        <x:v>0</x:v>
      </x:c>
    </x:row>
    <x:row r="690">
      <x:c r="A690" s="192" t="n">
        <x:v>1174263938200349700</x:v>
      </x:c>
      <x:c r="B690" s="192" t="str">
        <x:v>https://www.airbnb.com.br/rooms/1174263938200349649</x:v>
      </x:c>
      <x:c r="C690" s="192" t="str">
        <x:v>Conforto com vista mar Manhattan</x:v>
      </x:c>
      <x:c r="D690" s="192" t="str">
        <x:v>Centro</x:v>
      </x:c>
      <x:c r="E690" s="192" t="n">
        <x:v>-27.0929134</x:v>
      </x:c>
      <x:c r="F690" s="192" t="n">
        <x:v>-48.6132024</x:v>
      </x:c>
      <x:c r="G690" s="192" t="str">
        <x:v>apartamento</x:v>
      </x:c>
      <x:c r="H690" s="192" t="n">
        <x:v>1</x:v>
      </x:c>
      <x:c r="I690" s="192" t="n">
        <x:v>1</x:v>
      </x:c>
      <x:c r="J690" s="192" t="n">
        <x:v>1</x:v>
      </x:c>
      <x:c r="K690" s="192" t="n">
        <x:v>2</x:v>
      </x:c>
      <x:c r="L690" s="192" t="n">
        <x:v>22</x:v>
      </x:c>
      <x:c r="M690" s="192" t="n">
        <x:v>4.9099998474</x:v>
      </x:c>
      <x:c r="N690" s="192" t="n">
        <x:v>250</x:v>
      </x:c>
      <x:c r="O690" s="192" t="n">
        <x:v>35</x:v>
      </x:c>
      <x:c r="P690" s="193" t="b">
        <x:v>0</x:v>
      </x:c>
      <x:c r="Q690" s="193" t="b">
        <x:v>0</x:v>
      </x:c>
      <x:c r="R690" s="193" t="b">
        <x:v>1</x:v>
      </x:c>
      <x:c r="S690" s="193" t="b">
        <x:v>1</x:v>
      </x:c>
      <x:c r="T690" s="192" t="n">
        <x:v>88</x:v>
      </x:c>
      <x:c r="U690" s="192" t="n">
        <x:v>2</x:v>
      </x:c>
      <x:c r="V690" s="200" t="n">
        <x:v>0.0222222222</x:v>
      </x:c>
      <x:c r="W690" s="203" t="n">
        <x:v>500</x:v>
      </x:c>
      <x:c r="X690" s="203" t="n">
        <x:v>1045.4863228246</x:v>
      </x:c>
      <x:c r="Y690" s="203" t="n">
        <x:v>2703.0177638026</x:v>
      </x:c>
      <x:c r="Z690" s="193" t="b">
        <x:v>1</x:v>
      </x:c>
      <x:c r="AA690" s="193" t="b">
        <x:v>1</x:v>
      </x:c>
      <x:c r="AB690" s="193" t="b">
        <x:v>1</x:v>
      </x:c>
      <x:c r="AC690" s="193" t="b">
        <x:v>1</x:v>
      </x:c>
      <x:c r="AD690" s="193" t="b">
        <x:v>1</x:v>
      </x:c>
      <x:c r="AE690" s="193" t="b">
        <x:v>1</x:v>
      </x:c>
      <x:c r="AF690" s="193" t="b">
        <x:v>1</x:v>
      </x:c>
      <x:c r="AG690" s="193" t="b">
        <x:v>1</x:v>
      </x:c>
      <x:c r="AH690" s="193" t="b">
        <x:v>1</x:v>
      </x:c>
      <x:c r="AI690" s="193" t="b">
        <x:v>1</x:v>
      </x:c>
      <x:c r="AJ690" s="193" t="b">
        <x:v>1</x:v>
      </x:c>
    </x:row>
    <x:row r="691">
      <x:c r="A691" s="192" t="n">
        <x:v>1233370107101543400</x:v>
      </x:c>
      <x:c r="B691" s="192" t="str">
        <x:v>https://www.airbnb.com.br/rooms/1233370107101543516</x:v>
      </x:c>
      <x:c r="C691" s="192" t="str">
        <x:v>Estúdio charmoso vista mar em Itapema MHFB1306</x:v>
      </x:c>
      <x:c r="D691" s="192" t="str">
        <x:v>Centro</x:v>
      </x:c>
      <x:c r="E691" s="192" t="n">
        <x:v>-27.09231</x:v>
      </x:c>
      <x:c r="F691" s="192" t="n">
        <x:v>-48.61455</x:v>
      </x:c>
      <x:c r="G691" s="192" t="str">
        <x:v>apartamento</x:v>
      </x:c>
      <x:c r="H691" s="192" t="n">
        <x:v>1</x:v>
      </x:c>
      <x:c r="I691" s="192" t="n">
        <x:v>1</x:v>
      </x:c>
      <x:c r="J691" s="192" t="n">
        <x:v>2</x:v>
      </x:c>
      <x:c r="K691" s="192" t="n">
        <x:v>3</x:v>
      </x:c>
      <x:c r="L691" s="192" t="n">
        <x:v>10</x:v>
      </x:c>
      <x:c r="M691" s="192" t="n">
        <x:v>5</x:v>
      </x:c>
      <x:c r="N691" s="192" t="n">
        <x:v>160</x:v>
      </x:c>
      <x:c r="O691" s="192" t="n">
        <x:v>0</x:v>
      </x:c>
      <x:c r="P691" s="193" t="b">
        <x:v>1</x:v>
      </x:c>
      <x:c r="Q691" s="193" t="b">
        <x:v>1</x:v>
      </x:c>
      <x:c r="R691" s="193" t="b">
        <x:v>1</x:v>
      </x:c>
      <x:c r="S691" s="193" t="b">
        <x:v>0</x:v>
      </x:c>
      <x:c r="T691" s="192" t="n">
        <x:v>43</x:v>
      </x:c>
      <x:c r="U691" s="192" t="n">
        <x:v>47</x:v>
      </x:c>
      <x:c r="V691" s="200" t="n">
        <x:v>0.5222222222</x:v>
      </x:c>
      <x:c r="W691" s="203" t="n">
        <x:v>372</x:v>
      </x:c>
      <x:c r="X691" s="203" t="n">
        <x:v>17808.9581441528</x:v>
      </x:c>
      <x:c r="Y691" s="203" t="n">
        <x:v>46043.5772018618</x:v>
      </x:c>
      <x:c r="Z691" s="193" t="b">
        <x:v>1</x:v>
      </x:c>
      <x:c r="AA691" s="193" t="b">
        <x:v>1</x:v>
      </x:c>
      <x:c r="AB691" s="193" t="b">
        <x:v>1</x:v>
      </x:c>
      <x:c r="AC691" s="193" t="b">
        <x:v>1</x:v>
      </x:c>
      <x:c r="AD691" s="193" t="b">
        <x:v>1</x:v>
      </x:c>
      <x:c r="AE691" s="193" t="b">
        <x:v>1</x:v>
      </x:c>
      <x:c r="AF691" s="193" t="b">
        <x:v>1</x:v>
      </x:c>
      <x:c r="AG691" s="193" t="b">
        <x:v>1</x:v>
      </x:c>
      <x:c r="AH691" s="193" t="b">
        <x:v>1</x:v>
      </x:c>
      <x:c r="AI691" s="193" t="b">
        <x:v>1</x:v>
      </x:c>
      <x:c r="AJ691" s="193" t="b">
        <x:v>0</x:v>
      </x:c>
    </x:row>
    <x:row r="692">
      <x:c r="A692" s="192" t="n">
        <x:v>47558531</x:v>
      </x:c>
      <x:c r="B692" s="192" t="str">
        <x:v>https://www.airbnb.com.br/rooms/47558531</x:v>
      </x:c>
      <x:c r="C692" s="192" t="str">
        <x:v>Apto 3 quartos -Ar / vista mar / WI-FI/40 m praia</x:v>
      </x:c>
      <x:c r="D692" s="192" t="str">
        <x:v>Meia Praia</x:v>
      </x:c>
      <x:c r="E692" s="192" t="n">
        <x:v>-27.13306</x:v>
      </x:c>
      <x:c r="F692" s="192" t="n">
        <x:v>-48.59563</x:v>
      </x:c>
      <x:c r="G692" s="192" t="str">
        <x:v>apartamento</x:v>
      </x:c>
      <x:c r="H692" s="192" t="n">
        <x:v>3</x:v>
      </x:c>
      <x:c r="I692" s="192" t="n">
        <x:v>2</x:v>
      </x:c>
      <x:c r="J692" s="192" t="n">
        <x:v>5</x:v>
      </x:c>
      <x:c r="K692" s="192" t="n">
        <x:v>9</x:v>
      </x:c>
      <x:c r="L692" s="192" t="n">
        <x:v>68</x:v>
      </x:c>
      <x:c r="M692" s="192" t="n">
        <x:v>4.9299998283</x:v>
      </x:c>
      <x:c r="N692" s="192" t="n">
        <x:v>300</x:v>
      </x:c>
      <x:c r="O692" s="192" t="n">
        <x:v>32</x:v>
      </x:c>
      <x:c r="P692" s="193" t="b">
        <x:v>1</x:v>
      </x:c>
      <x:c r="Q692" s="193" t="b">
        <x:v>0</x:v>
      </x:c>
      <x:c r="R692" s="193" t="b">
        <x:v>1</x:v>
      </x:c>
      <x:c r="S692" s="193" t="b">
        <x:v>1</x:v>
      </x:c>
      <x:c r="T692" s="192" t="n">
        <x:v>86</x:v>
      </x:c>
      <x:c r="U692" s="192" t="n">
        <x:v>4</x:v>
      </x:c>
      <x:c r="V692" s="200" t="n">
        <x:v>0.0444444444</x:v>
      </x:c>
      <x:c r="W692" s="203" t="n">
        <x:v>750</x:v>
      </x:c>
      <x:c r="X692" s="203" t="n">
        <x:v>3043.03902362</x:v>
      </x:c>
      <x:c r="Y692" s="203" t="n">
        <x:v>7867.5238089842</x:v>
      </x:c>
      <x:c r="Z692" s="193" t="b">
        <x:v>1</x:v>
      </x:c>
      <x:c r="AA692" s="193" t="b">
        <x:v>0</x:v>
      </x:c>
      <x:c r="AB692" s="193" t="b">
        <x:v>1</x:v>
      </x:c>
      <x:c r="AC692" s="193" t="b">
        <x:v>1</x:v>
      </x:c>
      <x:c r="AD692" s="193" t="b">
        <x:v>1</x:v>
      </x:c>
      <x:c r="AE692" s="193" t="b">
        <x:v>1</x:v>
      </x:c>
      <x:c r="AF692" s="193" t="b">
        <x:v>1</x:v>
      </x:c>
      <x:c r="AG692" s="193" t="b">
        <x:v>1</x:v>
      </x:c>
      <x:c r="AH692" s="193" t="b">
        <x:v>1</x:v>
      </x:c>
      <x:c r="AI692" s="193" t="b">
        <x:v>1</x:v>
      </x:c>
      <x:c r="AJ692" s="193" t="b">
        <x:v>1</x:v>
      </x:c>
    </x:row>
    <x:row r="693">
      <x:c r="A693" s="192" t="n">
        <x:v>1219597802580113200</x:v>
      </x:c>
      <x:c r="B693" s="192" t="str">
        <x:v>https://www.airbnb.com.br/rooms/1219597802580113056</x:v>
      </x:c>
      <x:c r="C693" s="192" t="str">
        <x:v>Apto elegante a 280m da Praia em Itapema MHF0801</x:v>
      </x:c>
      <x:c r="D693" s="192" t="str">
        <x:v>Centro</x:v>
      </x:c>
      <x:c r="E693" s="192" t="n">
        <x:v>-27.09231</x:v>
      </x:c>
      <x:c r="F693" s="192" t="n">
        <x:v>-48.61455</x:v>
      </x:c>
      <x:c r="G693" s="192" t="str">
        <x:v>apartamento</x:v>
      </x:c>
      <x:c r="H693" s="192" t="n">
        <x:v>1</x:v>
      </x:c>
      <x:c r="I693" s="192" t="n">
        <x:v>1</x:v>
      </x:c>
      <x:c r="J693" s="192" t="n">
        <x:v>2</x:v>
      </x:c>
      <x:c r="K693" s="192" t="n">
        <x:v>4</x:v>
      </x:c>
      <x:c r="L693" s="192" t="n">
        <x:v>6</x:v>
      </x:c>
      <x:c r="M693" s="192" t="n">
        <x:v>4.8299999237</x:v>
      </x:c>
      <x:c r="N693" s="192" t="n">
        <x:v>190</x:v>
      </x:c>
      <x:c r="O693" s="192" t="n">
        <x:v>0</x:v>
      </x:c>
      <x:c r="P693" s="193" t="b">
        <x:v>1</x:v>
      </x:c>
      <x:c r="Q693" s="193" t="b">
        <x:v>1</x:v>
      </x:c>
      <x:c r="R693" s="193" t="b">
        <x:v>0</x:v>
      </x:c>
      <x:c r="S693" s="193" t="b">
        <x:v>0</x:v>
      </x:c>
      <x:c r="T693" s="192" t="n">
        <x:v>63</x:v>
      </x:c>
      <x:c r="U693" s="192" t="n">
        <x:v>27</x:v>
      </x:c>
      <x:c r="V693" s="200" t="n">
        <x:v>0.3</x:v>
      </x:c>
      <x:c r="W693" s="203" t="n">
        <x:v>471</x:v>
      </x:c>
      <x:c r="X693" s="203" t="n">
        <x:v>12683.9687448109</x:v>
      </x:c>
      <x:c r="Y693" s="203" t="n">
        <x:v>32793.3441923133</x:v>
      </x:c>
      <x:c r="Z693" s="193" t="b">
        <x:v>1</x:v>
      </x:c>
      <x:c r="AA693" s="193" t="b">
        <x:v>1</x:v>
      </x:c>
      <x:c r="AB693" s="193" t="b">
        <x:v>1</x:v>
      </x:c>
      <x:c r="AC693" s="193" t="b">
        <x:v>1</x:v>
      </x:c>
      <x:c r="AD693" s="193" t="b">
        <x:v>1</x:v>
      </x:c>
      <x:c r="AE693" s="193" t="b">
        <x:v>0</x:v>
      </x:c>
      <x:c r="AF693" s="193" t="b">
        <x:v>1</x:v>
      </x:c>
      <x:c r="AG693" s="193" t="b">
        <x:v>1</x:v>
      </x:c>
      <x:c r="AH693" s="193" t="b">
        <x:v>1</x:v>
      </x:c>
      <x:c r="AI693" s="193" t="b">
        <x:v>1</x:v>
      </x:c>
      <x:c r="AJ693" s="193" t="b">
        <x:v>0</x:v>
      </x:c>
    </x:row>
    <x:row r="694">
      <x:c r="A694" s="192" t="n">
        <x:v>40449599</x:v>
      </x:c>
      <x:c r="B694" s="192" t="str">
        <x:v>https://www.airbnb.com.br/rooms/40449599</x:v>
      </x:c>
      <x:c r="C694" s="192" t="str">
        <x:v>Incrível apto 125m² ótima localização - Meia Praia</x:v>
      </x:c>
      <x:c r="D694" s="192" t="str">
        <x:v>Meia Praia</x:v>
      </x:c>
      <x:c r="E694" s="192" t="n">
        <x:v>-27.12394</x:v>
      </x:c>
      <x:c r="F694" s="192" t="n">
        <x:v>-48.6073</x:v>
      </x:c>
      <x:c r="G694" s="192" t="str">
        <x:v>apartamento</x:v>
      </x:c>
      <x:c r="H694" s="192" t="n">
        <x:v>3</x:v>
      </x:c>
      <x:c r="I694" s="192" t="n">
        <x:v>3</x:v>
      </x:c>
      <x:c r="J694" s="192" t="n">
        <x:v>4</x:v>
      </x:c>
      <x:c r="K694" s="192" t="n">
        <x:v>8</x:v>
      </x:c>
      <x:c r="L694" s="192" t="n">
        <x:v>34</x:v>
      </x:c>
      <x:c r="M694" s="192" t="n">
        <x:v>4.8499999046</x:v>
      </x:c>
      <x:c r="N694" s="192" t="n">
        <x:v>300</x:v>
      </x:c>
      <x:c r="O694" s="192" t="n">
        <x:v>72</x:v>
      </x:c>
      <x:c r="P694" s="193" t="b">
        <x:v>1</x:v>
      </x:c>
      <x:c r="Q694" s="193" t="b">
        <x:v>0</x:v>
      </x:c>
      <x:c r="R694" s="193" t="b">
        <x:v>1</x:v>
      </x:c>
      <x:c r="S694" s="193" t="b">
        <x:v>1</x:v>
      </x:c>
      <x:c r="T694" s="192" t="n">
        <x:v>62</x:v>
      </x:c>
      <x:c r="U694" s="192" t="n">
        <x:v>28</x:v>
      </x:c>
      <x:c r="V694" s="200" t="n">
        <x:v>0.3111111111</x:v>
      </x:c>
      <x:c r="W694" s="203" t="n">
        <x:v>529.6667</x:v>
      </x:c>
      <x:c r="X694" s="203" t="n">
        <x:v>15560.2855980851</x:v>
      </x:c>
      <x:c r="Y694" s="203" t="n">
        <x:v>40229.8217233826</x:v>
      </x:c>
      <x:c r="Z694" s="193" t="b">
        <x:v>1</x:v>
      </x:c>
      <x:c r="AA694" s="193" t="b">
        <x:v>0</x:v>
      </x:c>
      <x:c r="AB694" s="193" t="b">
        <x:v>1</x:v>
      </x:c>
      <x:c r="AC694" s="193" t="b">
        <x:v>1</x:v>
      </x:c>
      <x:c r="AD694" s="193" t="b">
        <x:v>1</x:v>
      </x:c>
      <x:c r="AE694" s="193" t="b">
        <x:v>0</x:v>
      </x:c>
      <x:c r="AF694" s="193" t="b">
        <x:v>1</x:v>
      </x:c>
      <x:c r="AG694" s="193" t="b">
        <x:v>1</x:v>
      </x:c>
      <x:c r="AH694" s="193" t="b">
        <x:v>1</x:v>
      </x:c>
      <x:c r="AI694" s="193" t="b">
        <x:v>1</x:v>
      </x:c>
      <x:c r="AJ694" s="193" t="b">
        <x:v>1</x:v>
      </x:c>
    </x:row>
    <x:row r="695">
      <x:c r="A695" s="192" t="n">
        <x:v>36908385</x:v>
      </x:c>
      <x:c r="B695" s="192" t="str">
        <x:v>https://www.airbnb.com.br/rooms/36908385</x:v>
      </x:c>
      <x:c r="C695" s="192" t="str">
        <x:v>Apartamento 3 suítes próximo a praia</x:v>
      </x:c>
      <x:c r="D695" s="192" t="str">
        <x:v>Meia Praia</x:v>
      </x:c>
      <x:c r="E695" s="192" t="n">
        <x:v>-27.12426</x:v>
      </x:c>
      <x:c r="F695" s="192" t="n">
        <x:v>-48.60745</x:v>
      </x:c>
      <x:c r="G695" s="192" t="str">
        <x:v>apartamento</x:v>
      </x:c>
      <x:c r="H695" s="192" t="n">
        <x:v>3</x:v>
      </x:c>
      <x:c r="I695" s="192" t="n">
        <x:v>3</x:v>
      </x:c>
      <x:c r="J695" s="192" t="n">
        <x:v>4</x:v>
      </x:c>
      <x:c r="K695" s="192" t="n">
        <x:v>7</x:v>
      </x:c>
      <x:c r="L695" s="192" t="n">
        <x:v>22</x:v>
      </x:c>
      <x:c r="M695" s="192" t="n">
        <x:v>4.8200001717</x:v>
      </x:c>
      <x:c r="N695" s="192" t="n">
        <x:v>350</x:v>
      </x:c>
      <x:c r="O695" s="192" t="n">
        <x:v>26</x:v>
      </x:c>
      <x:c r="P695" s="193" t="b">
        <x:v>1</x:v>
      </x:c>
      <x:c r="Q695" s="193" t="b">
        <x:v>1</x:v>
      </x:c>
      <x:c r="R695" s="193" t="b">
        <x:v>0</x:v>
      </x:c>
      <x:c r="S695" s="193" t="b">
        <x:v>1</x:v>
      </x:c>
      <x:c r="T695" s="192" t="n">
        <x:v>19</x:v>
      </x:c>
      <x:c r="U695" s="192" t="n">
        <x:v>71</x:v>
      </x:c>
      <x:c r="V695" s="200" t="n">
        <x:v>0.7888888889</x:v>
      </x:c>
      <x:c r="W695" s="203" t="n">
        <x:v>455</x:v>
      </x:c>
      <x:c r="X695" s="203" t="n">
        <x:v>31966.6574560474</x:v>
      </x:c>
      <x:c r="Y695" s="203" t="n">
        <x:v>82647.1289644891</x:v>
      </x:c>
      <x:c r="Z695" s="193" t="b">
        <x:v>1</x:v>
      </x:c>
      <x:c r="AA695" s="193" t="b">
        <x:v>0</x:v>
      </x:c>
      <x:c r="AB695" s="193" t="b">
        <x:v>1</x:v>
      </x:c>
      <x:c r="AC695" s="193" t="b">
        <x:v>1</x:v>
      </x:c>
      <x:c r="AD695" s="193" t="b">
        <x:v>1</x:v>
      </x:c>
      <x:c r="AE695" s="193" t="b">
        <x:v>0</x:v>
      </x:c>
      <x:c r="AF695" s="193" t="b">
        <x:v>1</x:v>
      </x:c>
      <x:c r="AG695" s="193" t="b">
        <x:v>1</x:v>
      </x:c>
      <x:c r="AH695" s="193" t="b">
        <x:v>1</x:v>
      </x:c>
      <x:c r="AI695" s="193" t="b">
        <x:v>1</x:v>
      </x:c>
      <x:c r="AJ695" s="193" t="b">
        <x:v>0</x:v>
      </x:c>
    </x:row>
    <x:row r="696">
      <x:c r="A696" s="192" t="n">
        <x:v>30402651</x:v>
      </x:c>
      <x:c r="B696" s="192" t="str">
        <x:v>https://www.airbnb.com.br/rooms/30402651</x:v>
      </x:c>
      <x:c r="C696" s="192" t="str">
        <x:v>AP Meia Praia - Itapema</x:v>
      </x:c>
      <x:c r="D696" s="192" t="str">
        <x:v>Meia Praia</x:v>
      </x:c>
      <x:c r="E696" s="192" t="n">
        <x:v>-27.1350097656</x:v>
      </x:c>
      <x:c r="F696" s="192" t="n">
        <x:v>-48.6000709534</x:v>
      </x:c>
      <x:c r="G696" s="192" t="str">
        <x:v>apartamento</x:v>
      </x:c>
      <x:c r="H696" s="192" t="n">
        <x:v>2</x:v>
      </x:c>
      <x:c r="I696" s="192" t="n">
        <x:v>2</x:v>
      </x:c>
      <x:c r="J696" s="192" t="n">
        <x:v>3</x:v>
      </x:c>
      <x:c r="K696" s="192" t="n">
        <x:v>6</x:v>
      </x:c>
      <x:c r="L696" s="192" t="n">
        <x:v>10</x:v>
      </x:c>
      <x:c r="M696" s="192" t="n">
        <x:v>5</x:v>
      </x:c>
      <x:c r="N696" s="192" t="n">
        <x:v>200</x:v>
      </x:c>
      <x:c r="O696" s="192" t="n">
        <x:v>19</x:v>
      </x:c>
      <x:c r="P696" s="193" t="b">
        <x:v>0</x:v>
      </x:c>
      <x:c r="Q696" s="193" t="b">
        <x:v>0</x:v>
      </x:c>
      <x:c r="R696" s="193" t="b">
        <x:v>0</x:v>
      </x:c>
      <x:c r="S696" s="193" t="b">
        <x:v>0</x:v>
      </x:c>
      <x:c r="T696" s="192" t="n">
        <x:v>48</x:v>
      </x:c>
      <x:c r="U696" s="192" t="n">
        <x:v>42</x:v>
      </x:c>
      <x:c r="V696" s="200" t="n">
        <x:v>0.4666666667</x:v>
      </x:c>
      <x:c r="W696" s="203" t="n">
        <x:v>550</x:v>
      </x:c>
      <x:c r="X696" s="203" t="n">
        <x:v>23492.4254442393</x:v>
      </x:c>
      <x:c r="Y696" s="203" t="n">
        <x:v>60737.7082839605</x:v>
      </x:c>
      <x:c r="Z696" s="193" t="b">
        <x:v>1</x:v>
      </x:c>
      <x:c r="AA696" s="193" t="b">
        <x:v>0</x:v>
      </x:c>
      <x:c r="AB696" s="193" t="b">
        <x:v>1</x:v>
      </x:c>
      <x:c r="AC696" s="193" t="b">
        <x:v>1</x:v>
      </x:c>
      <x:c r="AD696" s="193" t="b">
        <x:v>1</x:v>
      </x:c>
      <x:c r="AE696" s="193" t="b">
        <x:v>0</x:v>
      </x:c>
      <x:c r="AF696" s="193" t="b">
        <x:v>1</x:v>
      </x:c>
      <x:c r="AG696" s="193" t="b">
        <x:v>1</x:v>
      </x:c>
      <x:c r="AH696" s="193" t="b">
        <x:v>1</x:v>
      </x:c>
      <x:c r="AI696" s="193" t="b">
        <x:v>1</x:v>
      </x:c>
      <x:c r="AJ696" s="193" t="b">
        <x:v>1</x:v>
      </x:c>
    </x:row>
    <x:row r="697">
      <x:c r="A697" s="192" t="n">
        <x:v>968213956640500500</x:v>
      </x:c>
      <x:c r="B697" s="192" t="str">
        <x:v>https://www.airbnb.com.br/rooms/968213956640500474</x:v>
      </x:c>
      <x:c r="C697" s="192" t="str">
        <x:v>Refúgio com vista para o mar!</x:v>
      </x:c>
      <x:c r="D697" s="192" t="str">
        <x:v>Morretes</x:v>
      </x:c>
      <x:c r="E697" s="192" t="n">
        <x:v>-27.1189994812</x:v>
      </x:c>
      <x:c r="F697" s="192" t="n">
        <x:v>-48.6100006104</x:v>
      </x:c>
      <x:c r="G697" s="192" t="str">
        <x:v>apartamento</x:v>
      </x:c>
      <x:c r="H697" s="192" t="n">
        <x:v>2</x:v>
      </x:c>
      <x:c r="I697" s="192" t="n">
        <x:v>2</x:v>
      </x:c>
      <x:c r="J697" s="192" t="n">
        <x:v>3</x:v>
      </x:c>
      <x:c r="K697" s="192" t="n">
        <x:v>6</x:v>
      </x:c>
      <x:c r="L697" s="192" t="n">
        <x:v>37</x:v>
      </x:c>
      <x:c r="M697" s="192" t="n">
        <x:v>5</x:v>
      </x:c>
      <x:c r="N697" s="192" t="n">
        <x:v>300</x:v>
      </x:c>
      <x:c r="O697" s="192" t="n">
        <x:v>39</x:v>
      </x:c>
      <x:c r="P697" s="193" t="b">
        <x:v>0</x:v>
      </x:c>
      <x:c r="Q697" s="193" t="b">
        <x:v>0</x:v>
      </x:c>
      <x:c r="R697" s="193" t="b">
        <x:v>1</x:v>
      </x:c>
      <x:c r="S697" s="193" t="b">
        <x:v>1</x:v>
      </x:c>
      <x:c r="T697" s="192" t="n">
        <x:v>80</x:v>
      </x:c>
      <x:c r="U697" s="192" t="n">
        <x:v>10</x:v>
      </x:c>
      <x:c r="V697" s="200" t="n">
        <x:v>0.1111111111</x:v>
      </x:c>
      <x:c r="W697" s="203" t="n">
        <x:v>473</x:v>
      </x:c>
      <x:c r="X697" s="203" t="n">
        <x:v>4723.1463726037</x:v>
      </x:c>
      <x:c r="Y697" s="203" t="n">
        <x:v>12211.3013508358</x:v>
      </x:c>
      <x:c r="Z697" s="193" t="b">
        <x:v>1</x:v>
      </x:c>
      <x:c r="AA697" s="193" t="b">
        <x:v>0</x:v>
      </x:c>
      <x:c r="AB697" s="193" t="b">
        <x:v>1</x:v>
      </x:c>
      <x:c r="AC697" s="193" t="b">
        <x:v>1</x:v>
      </x:c>
      <x:c r="AD697" s="193" t="b">
        <x:v>1</x:v>
      </x:c>
      <x:c r="AE697" s="193" t="b">
        <x:v>1</x:v>
      </x:c>
      <x:c r="AF697" s="193" t="b">
        <x:v>1</x:v>
      </x:c>
      <x:c r="AG697" s="193" t="b">
        <x:v>0</x:v>
      </x:c>
      <x:c r="AH697" s="193" t="b">
        <x:v>1</x:v>
      </x:c>
      <x:c r="AI697" s="193" t="b">
        <x:v>1</x:v>
      </x:c>
      <x:c r="AJ697" s="193" t="b">
        <x:v>1</x:v>
      </x:c>
    </x:row>
    <x:row r="698">
      <x:c r="A698" s="192" t="n">
        <x:v>1032037416009523100</x:v>
      </x:c>
      <x:c r="B698" s="192" t="str">
        <x:v>https://www.airbnb.com.br/rooms/1032037416009523135</x:v>
      </x:c>
      <x:c r="C698" s="192" t="str">
        <x:v>Chalé Casal Campo/Praia Itapema</x:v>
      </x:c>
      <x:c r="D698" s="192" t="str">
        <x:v>Areal</x:v>
      </x:c>
      <x:c r="E698" s="192" t="n">
        <x:v>-27.0994586945</x:v>
      </x:c>
      <x:c r="F698" s="192" t="n">
        <x:v>-48.6594085693</x:v>
      </x:c>
      <x:c r="G698" s="192" t="str">
        <x:v>casa</x:v>
      </x:c>
      <x:c r="H698" s="192" t="n">
        <x:v>1</x:v>
      </x:c>
      <x:c r="I698" s="192" t="n">
        <x:v>1</x:v>
      </x:c>
      <x:c r="J698" s="192" t="n">
        <x:v>1</x:v>
      </x:c>
      <x:c r="K698" s="192" t="n">
        <x:v>2</x:v>
      </x:c>
      <x:c r="L698" s="192" t="n">
        <x:v>21</x:v>
      </x:c>
      <x:c r="M698" s="192" t="n">
        <x:v>5</x:v>
      </x:c>
      <x:c r="N698" s="192" t="n">
        <x:v>0</x:v>
      </x:c>
      <x:c r="O698" s="192" t="n">
        <x:v>49</x:v>
      </x:c>
      <x:c r="P698" s="193" t="b">
        <x:v>1</x:v>
      </x:c>
      <x:c r="Q698" s="193" t="b">
        <x:v>1</x:v>
      </x:c>
      <x:c r="R698" s="193" t="b">
        <x:v>1</x:v>
      </x:c>
      <x:c r="S698" s="193" t="b">
        <x:v>1</x:v>
      </x:c>
      <x:c r="T698" s="192" t="n">
        <x:v>37</x:v>
      </x:c>
      <x:c r="U698" s="192" t="n">
        <x:v>53</x:v>
      </x:c>
      <x:c r="V698" s="200" t="n">
        <x:v>0.5888888889</x:v>
      </x:c>
      <x:c r="W698" s="203" t="n">
        <x:v>556</x:v>
      </x:c>
      <x:c r="X698" s="203" t="n">
        <x:v>28199.8602149419</x:v>
      </x:c>
      <x:c r="Y698" s="203" t="n">
        <x:v>72908.3885973811</x:v>
      </x:c>
      <x:c r="Z698" s="193" t="b">
        <x:v>0</x:v>
      </x:c>
      <x:c r="AA698" s="193" t="b">
        <x:v>0</x:v>
      </x:c>
      <x:c r="AB698" s="193" t="b">
        <x:v>1</x:v>
      </x:c>
      <x:c r="AC698" s="193" t="b">
        <x:v>1</x:v>
      </x:c>
      <x:c r="AD698" s="193" t="b">
        <x:v>0</x:v>
      </x:c>
      <x:c r="AE698" s="193" t="b">
        <x:v>0</x:v>
      </x:c>
      <x:c r="AF698" s="193" t="b">
        <x:v>1</x:v>
      </x:c>
      <x:c r="AG698" s="193" t="b">
        <x:v>0</x:v>
      </x:c>
      <x:c r="AH698" s="193" t="b">
        <x:v>1</x:v>
      </x:c>
      <x:c r="AI698" s="193" t="b">
        <x:v>1</x:v>
      </x:c>
      <x:c r="AJ698" s="193" t="b">
        <x:v>1</x:v>
      </x:c>
    </x:row>
    <x:row r="699">
      <x:c r="A699" s="192" t="n">
        <x:v>29739100</x:v>
      </x:c>
      <x:c r="B699" s="192" t="str">
        <x:v>https://www.airbnb.com.br/rooms/29739100</x:v>
      </x:c>
      <x:c r="C699" s="192" t="str">
        <x:v>Apt.Quadra Mar/Meia Praia/3 dorm/2 vagas/Vista Mar</x:v>
      </x:c>
      <x:c r="D699" s="192" t="str">
        <x:v>Meia Praia</x:v>
      </x:c>
      <x:c r="E699" s="192" t="n">
        <x:v>-27.1362800598</x:v>
      </x:c>
      <x:c r="F699" s="192" t="n">
        <x:v>-48.5939407349</x:v>
      </x:c>
      <x:c r="G699" s="192" t="str">
        <x:v>apartamento</x:v>
      </x:c>
      <x:c r="H699" s="192" t="n">
        <x:v>3</x:v>
      </x:c>
      <x:c r="I699" s="192" t="n">
        <x:v>2</x:v>
      </x:c>
      <x:c r="J699" s="192" t="n">
        <x:v>3</x:v>
      </x:c>
      <x:c r="K699" s="192" t="n">
        <x:v>7</x:v>
      </x:c>
      <x:c r="L699" s="192" t="n">
        <x:v>19</x:v>
      </x:c>
      <x:c r="M699" s="192" t="n">
        <x:v>5</x:v>
      </x:c>
      <x:c r="N699" s="192" t="n">
        <x:v>350</x:v>
      </x:c>
      <x:c r="O699" s="192" t="n">
        <x:v>20</x:v>
      </x:c>
      <x:c r="P699" s="193" t="b">
        <x:v>1</x:v>
      </x:c>
      <x:c r="Q699" s="193" t="b">
        <x:v>0</x:v>
      </x:c>
      <x:c r="R699" s="193" t="b">
        <x:v>1</x:v>
      </x:c>
      <x:c r="S699" s="193" t="b">
        <x:v>0</x:v>
      </x:c>
      <x:c r="T699" s="192" t="n">
        <x:v>69</x:v>
      </x:c>
      <x:c r="U699" s="192" t="n">
        <x:v>21</x:v>
      </x:c>
      <x:c r="V699" s="200" t="n">
        <x:v>0.2333333333</x:v>
      </x:c>
      <x:c r="W699" s="203" t="n">
        <x:v>661.7</x:v>
      </x:c>
      <x:c r="X699" s="203" t="n">
        <x:v>13923.5272102617</x:v>
      </x:c>
      <x:c r="Y699" s="203" t="n">
        <x:v>35998.1193081975</x:v>
      </x:c>
      <x:c r="Z699" s="193" t="b">
        <x:v>1</x:v>
      </x:c>
      <x:c r="AA699" s="193" t="b">
        <x:v>0</x:v>
      </x:c>
      <x:c r="AB699" s="193" t="b">
        <x:v>1</x:v>
      </x:c>
      <x:c r="AC699" s="193" t="b">
        <x:v>1</x:v>
      </x:c>
      <x:c r="AD699" s="193" t="b">
        <x:v>1</x:v>
      </x:c>
      <x:c r="AE699" s="193" t="b">
        <x:v>1</x:v>
      </x:c>
      <x:c r="AF699" s="193" t="b">
        <x:v>1</x:v>
      </x:c>
      <x:c r="AG699" s="193" t="b">
        <x:v>1</x:v>
      </x:c>
      <x:c r="AH699" s="193" t="b">
        <x:v>1</x:v>
      </x:c>
      <x:c r="AI699" s="193" t="b">
        <x:v>1</x:v>
      </x:c>
      <x:c r="AJ699" s="193" t="b">
        <x:v>1</x:v>
      </x:c>
    </x:row>
    <x:row r="700">
      <x:c r="A700" s="192" t="n">
        <x:v>577547502503396600</x:v>
      </x:c>
      <x:c r="B700" s="192" t="str">
        <x:v>https://www.airbnb.com.br/rooms/577547502503396579</x:v>
      </x:c>
      <x:c r="C700" s="192" t="str">
        <x:v>Apartamento à Beira Mar</x:v>
      </x:c>
      <x:c r="D700" s="192" t="str">
        <x:v>Meia Praia</x:v>
      </x:c>
      <x:c r="E700" s="192" t="n">
        <x:v>-27.137562</x:v>
      </x:c>
      <x:c r="F700" s="192" t="n">
        <x:v>-48.592739</x:v>
      </x:c>
      <x:c r="G700" s="192" t="str">
        <x:v>apartamento</x:v>
      </x:c>
      <x:c r="H700" s="192" t="n">
        <x:v>2</x:v>
      </x:c>
      <x:c r="I700" s="192" t="n">
        <x:v>2</x:v>
      </x:c>
      <x:c r="J700" s="192" t="n">
        <x:v>2</x:v>
      </x:c>
      <x:c r="K700" s="192" t="n">
        <x:v>4</x:v>
      </x:c>
      <x:c r="L700" s="192" t="n">
        <x:v>26</x:v>
      </x:c>
      <x:c r="M700" s="192" t="n">
        <x:v>4.8499999046</x:v>
      </x:c>
      <x:c r="N700" s="192" t="n">
        <x:v>250</x:v>
      </x:c>
      <x:c r="O700" s="192" t="n">
        <x:v>29</x:v>
      </x:c>
      <x:c r="P700" s="193" t="b">
        <x:v>0</x:v>
      </x:c>
      <x:c r="Q700" s="193" t="b">
        <x:v>0</x:v>
      </x:c>
      <x:c r="R700" s="193" t="b">
        <x:v>1</x:v>
      </x:c>
      <x:c r="S700" s="193" t="b">
        <x:v>1</x:v>
      </x:c>
      <x:c r="T700" s="192" t="n">
        <x:v>58</x:v>
      </x:c>
      <x:c r="U700" s="192" t="n">
        <x:v>32</x:v>
      </x:c>
      <x:c r="V700" s="200" t="n">
        <x:v>0.3555555556</x:v>
      </x:c>
      <x:c r="W700" s="203" t="n">
        <x:v>650</x:v>
      </x:c>
      <x:c r="X700" s="203" t="n">
        <x:v>21592.7650962568</x:v>
      </x:c>
      <x:c r="Y700" s="203" t="n">
        <x:v>55826.2947592806</x:v>
      </x:c>
      <x:c r="Z700" s="193" t="b">
        <x:v>1</x:v>
      </x:c>
      <x:c r="AA700" s="193" t="b">
        <x:v>0</x:v>
      </x:c>
      <x:c r="AB700" s="193" t="b">
        <x:v>1</x:v>
      </x:c>
      <x:c r="AC700" s="193" t="b">
        <x:v>1</x:v>
      </x:c>
      <x:c r="AD700" s="193" t="b">
        <x:v>1</x:v>
      </x:c>
      <x:c r="AE700" s="193" t="b">
        <x:v>1</x:v>
      </x:c>
      <x:c r="AF700" s="193" t="b">
        <x:v>1</x:v>
      </x:c>
      <x:c r="AG700" s="193" t="b">
        <x:v>1</x:v>
      </x:c>
      <x:c r="AH700" s="193" t="b">
        <x:v>1</x:v>
      </x:c>
      <x:c r="AI700" s="193" t="b">
        <x:v>1</x:v>
      </x:c>
      <x:c r="AJ700" s="193" t="b">
        <x:v>0</x:v>
      </x:c>
    </x:row>
    <x:row r="701">
      <x:c r="A701" s="192" t="n">
        <x:v>786807324710664200</x:v>
      </x:c>
      <x:c r="B701" s="192" t="str">
        <x:v>https://www.airbnb.com.br/rooms/786807324710664147</x:v>
      </x:c>
      <x:c r="C701" s="192" t="str">
        <x:v>Perto do Mar em Meia Praia c/ 4 vagas e 4 suítes!</x:v>
      </x:c>
      <x:c r="D701" s="192" t="str">
        <x:v>Meia Praia</x:v>
      </x:c>
      <x:c r="E701" s="192" t="n">
        <x:v>-27.1359996796</x:v>
      </x:c>
      <x:c r="F701" s="192" t="n">
        <x:v>-48.5979995728</x:v>
      </x:c>
      <x:c r="G701" s="192" t="str">
        <x:v>apartamento</x:v>
      </x:c>
      <x:c r="H701" s="192" t="n">
        <x:v>4</x:v>
      </x:c>
      <x:c r="I701" s="192" t="n">
        <x:v>4</x:v>
      </x:c>
      <x:c r="J701" s="192" t="n">
        <x:v>4</x:v>
      </x:c>
      <x:c r="K701" s="192" t="n">
        <x:v>8</x:v>
      </x:c>
      <x:c r="L701" s="192" t="n">
        <x:v>13</x:v>
      </x:c>
      <x:c r="M701" s="192" t="n">
        <x:v>4.8499999046</x:v>
      </x:c>
      <x:c r="N701" s="192" t="n">
        <x:v>200</x:v>
      </x:c>
      <x:c r="O701" s="192" t="n">
        <x:v>48</x:v>
      </x:c>
      <x:c r="P701" s="193" t="b">
        <x:v>1</x:v>
      </x:c>
      <x:c r="Q701" s="193" t="b">
        <x:v>1</x:v>
      </x:c>
      <x:c r="R701" s="193" t="b">
        <x:v>1</x:v>
      </x:c>
      <x:c r="S701" s="193" t="b">
        <x:v>1</x:v>
      </x:c>
      <x:c r="T701" s="192" t="n">
        <x:v>43</x:v>
      </x:c>
      <x:c r="U701" s="192" t="n">
        <x:v>47</x:v>
      </x:c>
      <x:c r="V701" s="200" t="n">
        <x:v>0.5222222222</x:v>
      </x:c>
      <x:c r="W701" s="203" t="n">
        <x:v>850</x:v>
      </x:c>
      <x:c r="X701" s="203" t="n">
        <x:v>40003.9903355387</x:v>
      </x:c>
      <x:c r="Y701" s="203" t="n">
        <x:v>103426.983346674</x:v>
      </x:c>
      <x:c r="Z701" s="193" t="b">
        <x:v>1</x:v>
      </x:c>
      <x:c r="AA701" s="193" t="b">
        <x:v>0</x:v>
      </x:c>
      <x:c r="AB701" s="193" t="b">
        <x:v>1</x:v>
      </x:c>
      <x:c r="AC701" s="193" t="b">
        <x:v>1</x:v>
      </x:c>
      <x:c r="AD701" s="193" t="b">
        <x:v>1</x:v>
      </x:c>
      <x:c r="AE701" s="193" t="b">
        <x:v>0</x:v>
      </x:c>
      <x:c r="AF701" s="193" t="b">
        <x:v>1</x:v>
      </x:c>
      <x:c r="AG701" s="193" t="b">
        <x:v>1</x:v>
      </x:c>
      <x:c r="AH701" s="193" t="b">
        <x:v>1</x:v>
      </x:c>
      <x:c r="AI701" s="193" t="b">
        <x:v>1</x:v>
      </x:c>
      <x:c r="AJ701" s="193" t="b">
        <x:v>1</x:v>
      </x:c>
    </x:row>
    <x:row r="702">
      <x:c r="A702" s="192" t="n">
        <x:v>16321793</x:v>
      </x:c>
      <x:c r="B702" s="192" t="str">
        <x:v>https://www.airbnb.com.br/rooms/16321793</x:v>
      </x:c>
      <x:c r="C702" s="192" t="str">
        <x:v>Apart. quadra mar com vista para a praia Itapema</x:v>
      </x:c>
      <x:c r="D702" s="192" t="str">
        <x:v>Meia Praia</x:v>
      </x:c>
      <x:c r="E702" s="192" t="n">
        <x:v>-27.14282</x:v>
      </x:c>
      <x:c r="F702" s="192" t="n">
        <x:v>-48.58983</x:v>
      </x:c>
      <x:c r="G702" s="192" t="str">
        <x:v>apartamento</x:v>
      </x:c>
      <x:c r="H702" s="192" t="n">
        <x:v>3</x:v>
      </x:c>
      <x:c r="I702" s="192" t="n">
        <x:v>2</x:v>
      </x:c>
      <x:c r="J702" s="192" t="n">
        <x:v>5</x:v>
      </x:c>
      <x:c r="K702" s="192" t="n">
        <x:v>7</x:v>
      </x:c>
      <x:c r="L702" s="192" t="n">
        <x:v>31</x:v>
      </x:c>
      <x:c r="M702" s="192" t="n">
        <x:v>4.9699997902</x:v>
      </x:c>
      <x:c r="N702" s="192" t="n">
        <x:v>250</x:v>
      </x:c>
      <x:c r="O702" s="192" t="n">
        <x:v>25</x:v>
      </x:c>
      <x:c r="P702" s="193" t="b">
        <x:v>0</x:v>
      </x:c>
      <x:c r="Q702" s="193" t="b">
        <x:v>0</x:v>
      </x:c>
      <x:c r="R702" s="193" t="b">
        <x:v>1</x:v>
      </x:c>
      <x:c r="S702" s="193" t="b">
        <x:v>0</x:v>
      </x:c>
      <x:c r="T702" s="192" t="n">
        <x:v>72</x:v>
      </x:c>
      <x:c r="U702" s="192" t="n">
        <x:v>18</x:v>
      </x:c>
      <x:c r="V702" s="200" t="n">
        <x:v>0.2</x:v>
      </x:c>
      <x:c r="W702" s="203" t="n">
        <x:v>450</x:v>
      </x:c>
      <x:c r="X702" s="203" t="n">
        <x:v>8125.2860876704</x:v>
      </x:c>
      <x:c r="Y702" s="203" t="n">
        <x:v>21007.2500724979</x:v>
      </x:c>
      <x:c r="Z702" s="193" t="b">
        <x:v>1</x:v>
      </x:c>
      <x:c r="AA702" s="193" t="b">
        <x:v>0</x:v>
      </x:c>
      <x:c r="AB702" s="193" t="b">
        <x:v>1</x:v>
      </x:c>
      <x:c r="AC702" s="193" t="b">
        <x:v>1</x:v>
      </x:c>
      <x:c r="AD702" s="193" t="b">
        <x:v>1</x:v>
      </x:c>
      <x:c r="AE702" s="193" t="b">
        <x:v>1</x:v>
      </x:c>
      <x:c r="AF702" s="193" t="b">
        <x:v>1</x:v>
      </x:c>
      <x:c r="AG702" s="193" t="b">
        <x:v>1</x:v>
      </x:c>
      <x:c r="AH702" s="193" t="b">
        <x:v>1</x:v>
      </x:c>
      <x:c r="AI702" s="193" t="b">
        <x:v>1</x:v>
      </x:c>
      <x:c r="AJ702" s="193" t="b">
        <x:v>1</x:v>
      </x:c>
    </x:row>
    <x:row r="703">
      <x:c r="A703" s="192" t="n">
        <x:v>53972959</x:v>
      </x:c>
      <x:c r="B703" s="192" t="str">
        <x:v>https://www.airbnb.com.br/rooms/53972959</x:v>
      </x:c>
      <x:c r="C703" s="192" t="str">
        <x:v>Pé na areia em Meia Praia: Curta sem sair de casa.</x:v>
      </x:c>
      <x:c r="D703" s="192" t="str">
        <x:v>Meia Praia</x:v>
      </x:c>
      <x:c r="E703" s="192" t="n">
        <x:v>-27.12606</x:v>
      </x:c>
      <x:c r="F703" s="192" t="n">
        <x:v>-48.60417</x:v>
      </x:c>
      <x:c r="G703" s="192" t="str">
        <x:v>apartamento</x:v>
      </x:c>
      <x:c r="H703" s="192" t="n">
        <x:v>3</x:v>
      </x:c>
      <x:c r="I703" s="192" t="n">
        <x:v>3</x:v>
      </x:c>
      <x:c r="J703" s="192" t="n">
        <x:v>3</x:v>
      </x:c>
      <x:c r="K703" s="192" t="n">
        <x:v>6</x:v>
      </x:c>
      <x:c r="L703" s="192" t="n">
        <x:v>13</x:v>
      </x:c>
      <x:c r="M703" s="192" t="n">
        <x:v>4.7699999809</x:v>
      </x:c>
      <x:c r="N703" s="192" t="n">
        <x:v>400</x:v>
      </x:c>
      <x:c r="O703" s="192" t="n">
        <x:v>19</x:v>
      </x:c>
      <x:c r="P703" s="193" t="b">
        <x:v>0</x:v>
      </x:c>
      <x:c r="Q703" s="193" t="b">
        <x:v>0</x:v>
      </x:c>
      <x:c r="R703" s="193" t="b">
        <x:v>1</x:v>
      </x:c>
      <x:c r="S703" s="193" t="b">
        <x:v>1</x:v>
      </x:c>
      <x:c r="T703" s="192" t="n">
        <x:v>48</x:v>
      </x:c>
      <x:c r="U703" s="192" t="n">
        <x:v>42</x:v>
      </x:c>
      <x:c r="V703" s="200" t="n">
        <x:v>0.4666666667</x:v>
      </x:c>
      <x:c r="W703" s="203" t="n">
        <x:v>899</x:v>
      </x:c>
      <x:c r="X703" s="203" t="n">
        <x:v>39352.7386633813</x:v>
      </x:c>
      <x:c r="Y703" s="203" t="n">
        <x:v>101743.2264192836</x:v>
      </x:c>
      <x:c r="Z703" s="193" t="b">
        <x:v>0</x:v>
      </x:c>
      <x:c r="AA703" s="193" t="b">
        <x:v>0</x:v>
      </x:c>
      <x:c r="AB703" s="193" t="b">
        <x:v>1</x:v>
      </x:c>
      <x:c r="AC703" s="193" t="b">
        <x:v>1</x:v>
      </x:c>
      <x:c r="AD703" s="193" t="b">
        <x:v>1</x:v>
      </x:c>
      <x:c r="AE703" s="193" t="b">
        <x:v>1</x:v>
      </x:c>
      <x:c r="AF703" s="193" t="b">
        <x:v>1</x:v>
      </x:c>
      <x:c r="AG703" s="193" t="b">
        <x:v>1</x:v>
      </x:c>
      <x:c r="AH703" s="193" t="b">
        <x:v>1</x:v>
      </x:c>
      <x:c r="AI703" s="193" t="b">
        <x:v>1</x:v>
      </x:c>
      <x:c r="AJ703" s="193" t="b">
        <x:v>1</x:v>
      </x:c>
    </x:row>
    <x:row r="704">
      <x:c r="A704" s="192" t="n">
        <x:v>1280559161534348000</x:v>
      </x:c>
      <x:c r="B704" s="192" t="str">
        <x:v>https://www.airbnb.com.br/rooms/1280559161534348023</x:v>
      </x:c>
      <x:c r="C704" s="192" t="str">
        <x:v>Apto moderno vista mar 280m da Praia MHF2107</x:v>
      </x:c>
      <x:c r="D704" s="192" t="str">
        <x:v>Centro</x:v>
      </x:c>
      <x:c r="E704" s="192" t="n">
        <x:v>-27.09364394</x:v>
      </x:c>
      <x:c r="F704" s="192" t="n">
        <x:v>-48.6130949487</x:v>
      </x:c>
      <x:c r="G704" s="192" t="str">
        <x:v>apartamento</x:v>
      </x:c>
      <x:c r="H704" s="192" t="n">
        <x:v>1</x:v>
      </x:c>
      <x:c r="I704" s="192" t="n">
        <x:v>1</x:v>
      </x:c>
      <x:c r="J704" s="192" t="n">
        <x:v>2</x:v>
      </x:c>
      <x:c r="K704" s="192" t="n">
        <x:v>4</x:v>
      </x:c>
      <x:c r="L704" s="192" t="n">
        <x:v>0</x:v>
      </x:c>
      <x:c r="M704" s="192"/>
      <x:c r="N704" s="192" t="n">
        <x:v>190</x:v>
      </x:c>
      <x:c r="O704" s="192" t="n">
        <x:v>0</x:v>
      </x:c>
      <x:c r="P704" s="193" t="b">
        <x:v>1</x:v>
      </x:c>
      <x:c r="Q704" s="193" t="b">
        <x:v>1</x:v>
      </x:c>
      <x:c r="R704" s="193" t="b">
        <x:v>0</x:v>
      </x:c>
      <x:c r="S704" s="193" t="b">
        <x:v>0</x:v>
      </x:c>
      <x:c r="T704" s="192" t="n">
        <x:v>84</x:v>
      </x:c>
      <x:c r="U704" s="192" t="n">
        <x:v>6</x:v>
      </x:c>
      <x:c r="V704" s="200" t="n">
        <x:v>0.0666666667</x:v>
      </x:c>
      <x:c r="W704" s="203" t="n">
        <x:v>554</x:v>
      </x:c>
      <x:c r="X704" s="203" t="n">
        <x:v>3387.3327781413</x:v>
      </x:c>
      <x:c r="Y704" s="203" t="n">
        <x:v>8757.6666201528</x:v>
      </x:c>
      <x:c r="Z704" s="193" t="b">
        <x:v>1</x:v>
      </x:c>
      <x:c r="AA704" s="193" t="b">
        <x:v>1</x:v>
      </x:c>
      <x:c r="AB704" s="193" t="b">
        <x:v>1</x:v>
      </x:c>
      <x:c r="AC704" s="193" t="b">
        <x:v>1</x:v>
      </x:c>
      <x:c r="AD704" s="193" t="b">
        <x:v>1</x:v>
      </x:c>
      <x:c r="AE704" s="193" t="b">
        <x:v>1</x:v>
      </x:c>
      <x:c r="AF704" s="193" t="b">
        <x:v>1</x:v>
      </x:c>
      <x:c r="AG704" s="193" t="b">
        <x:v>1</x:v>
      </x:c>
      <x:c r="AH704" s="193" t="b">
        <x:v>1</x:v>
      </x:c>
      <x:c r="AI704" s="193" t="b">
        <x:v>1</x:v>
      </x:c>
      <x:c r="AJ704" s="193" t="b">
        <x:v>0</x:v>
      </x:c>
    </x:row>
    <x:row r="705">
      <x:c r="A705" s="192" t="n">
        <x:v>49050392</x:v>
      </x:c>
      <x:c r="B705" s="192" t="str">
        <x:v>https://www.airbnb.com.br/rooms/49050392</x:v>
      </x:c>
      <x:c r="C705" s="192" t="str">
        <x:v>Apto Quadra Mar, Duas vagas média - Rua Kaabak</x:v>
      </x:c>
      <x:c r="D705" s="192" t="str">
        <x:v>Meia Praia</x:v>
      </x:c>
      <x:c r="E705" s="192" t="n">
        <x:v>-27.13206</x:v>
      </x:c>
      <x:c r="F705" s="192" t="n">
        <x:v>-48.59931</x:v>
      </x:c>
      <x:c r="G705" s="192" t="str">
        <x:v>apartamento</x:v>
      </x:c>
      <x:c r="H705" s="192" t="n">
        <x:v>3</x:v>
      </x:c>
      <x:c r="I705" s="192" t="n">
        <x:v>2</x:v>
      </x:c>
      <x:c r="J705" s="192" t="n">
        <x:v>3</x:v>
      </x:c>
      <x:c r="K705" s="192" t="n">
        <x:v>8</x:v>
      </x:c>
      <x:c r="L705" s="192" t="n">
        <x:v>44</x:v>
      </x:c>
      <x:c r="M705" s="192" t="n">
        <x:v>4.9499998093</x:v>
      </x:c>
      <x:c r="N705" s="192" t="n">
        <x:v>150</x:v>
      </x:c>
      <x:c r="O705" s="192" t="n">
        <x:v>35</x:v>
      </x:c>
      <x:c r="P705" s="193" t="b">
        <x:v>0</x:v>
      </x:c>
      <x:c r="Q705" s="193" t="b">
        <x:v>0</x:v>
      </x:c>
      <x:c r="R705" s="193" t="b">
        <x:v>1</x:v>
      </x:c>
      <x:c r="S705" s="193" t="b">
        <x:v>0</x:v>
      </x:c>
      <x:c r="T705" s="192" t="n">
        <x:v>46</x:v>
      </x:c>
      <x:c r="U705" s="192" t="n">
        <x:v>44</x:v>
      </x:c>
      <x:c r="V705" s="200" t="n">
        <x:v>0.4888888889</x:v>
      </x:c>
      <x:c r="W705" s="203" t="n">
        <x:v>700</x:v>
      </x:c>
      <x:c r="X705" s="203" t="n">
        <x:v>31150.8300729094</x:v>
      </x:c>
      <x:c r="Y705" s="203" t="n">
        <x:v>80537.8752510012</x:v>
      </x:c>
      <x:c r="Z705" s="193" t="b">
        <x:v>1</x:v>
      </x:c>
      <x:c r="AA705" s="193" t="b">
        <x:v>0</x:v>
      </x:c>
      <x:c r="AB705" s="193" t="b">
        <x:v>1</x:v>
      </x:c>
      <x:c r="AC705" s="193" t="b">
        <x:v>1</x:v>
      </x:c>
      <x:c r="AD705" s="193" t="b">
        <x:v>0</x:v>
      </x:c>
      <x:c r="AE705" s="193" t="b">
        <x:v>1</x:v>
      </x:c>
      <x:c r="AF705" s="193" t="b">
        <x:v>1</x:v>
      </x:c>
      <x:c r="AG705" s="193" t="b">
        <x:v>1</x:v>
      </x:c>
      <x:c r="AH705" s="193" t="b">
        <x:v>1</x:v>
      </x:c>
      <x:c r="AI705" s="193" t="b">
        <x:v>1</x:v>
      </x:c>
      <x:c r="AJ705" s="193" t="b">
        <x:v>1</x:v>
      </x:c>
    </x:row>
    <x:row r="706">
      <x:c r="A706" s="192" t="n">
        <x:v>15934309</x:v>
      </x:c>
      <x:c r="B706" s="192" t="str">
        <x:v>https://www.airbnb.com.br/rooms/15934309</x:v>
      </x:c>
      <x:c r="C706" s="192" t="str">
        <x:v>Apto Beira Mar Vista lateral Mar frente Rua - Bl B</x:v>
      </x:c>
      <x:c r="D706" s="192" t="str">
        <x:v>Meia Praia</x:v>
      </x:c>
      <x:c r="E706" s="192" t="n">
        <x:v>-27.13171</x:v>
      </x:c>
      <x:c r="F706" s="192" t="n">
        <x:v>-48.59928</x:v>
      </x:c>
      <x:c r="G706" s="192" t="str">
        <x:v>apartamento</x:v>
      </x:c>
      <x:c r="H706" s="192" t="n">
        <x:v>3</x:v>
      </x:c>
      <x:c r="I706" s="192" t="n">
        <x:v>2</x:v>
      </x:c>
      <x:c r="J706" s="192" t="n">
        <x:v>3</x:v>
      </x:c>
      <x:c r="K706" s="192" t="n">
        <x:v>8</x:v>
      </x:c>
      <x:c r="L706" s="192" t="n">
        <x:v>32</x:v>
      </x:c>
      <x:c r="M706" s="192" t="n">
        <x:v>4.9400000572</x:v>
      </x:c>
      <x:c r="N706" s="192" t="n">
        <x:v>320</x:v>
      </x:c>
      <x:c r="O706" s="192" t="n">
        <x:v>23</x:v>
      </x:c>
      <x:c r="P706" s="193" t="b">
        <x:v>0</x:v>
      </x:c>
      <x:c r="Q706" s="193" t="b">
        <x:v>0</x:v>
      </x:c>
      <x:c r="R706" s="193" t="b">
        <x:v>0</x:v>
      </x:c>
      <x:c r="S706" s="193" t="b">
        <x:v>0</x:v>
      </x:c>
      <x:c r="T706" s="192" t="n">
        <x:v>61</x:v>
      </x:c>
      <x:c r="U706" s="192" t="n">
        <x:v>29</x:v>
      </x:c>
      <x:c r="V706" s="200" t="n">
        <x:v>0.3222222222</x:v>
      </x:c>
      <x:c r="W706" s="203" t="n">
        <x:v>790</x:v>
      </x:c>
      <x:c r="X706" s="203" t="n">
        <x:v>22800.9625743937</x:v>
      </x:c>
      <x:c r="Y706" s="203" t="n">
        <x:v>58949.9886558804</x:v>
      </x:c>
      <x:c r="Z706" s="193" t="b">
        <x:v>1</x:v>
      </x:c>
      <x:c r="AA706" s="193" t="b">
        <x:v>0</x:v>
      </x:c>
      <x:c r="AB706" s="193" t="b">
        <x:v>1</x:v>
      </x:c>
      <x:c r="AC706" s="193" t="b">
        <x:v>1</x:v>
      </x:c>
      <x:c r="AD706" s="193" t="b">
        <x:v>1</x:v>
      </x:c>
      <x:c r="AE706" s="193" t="b">
        <x:v>0</x:v>
      </x:c>
      <x:c r="AF706" s="193" t="b">
        <x:v>1</x:v>
      </x:c>
      <x:c r="AG706" s="193" t="b">
        <x:v>1</x:v>
      </x:c>
      <x:c r="AH706" s="193" t="b">
        <x:v>1</x:v>
      </x:c>
      <x:c r="AI706" s="193" t="b">
        <x:v>1</x:v>
      </x:c>
      <x:c r="AJ706" s="193" t="b">
        <x:v>1</x:v>
      </x:c>
    </x:row>
    <x:row r="707">
      <x:c r="A707" s="192" t="n">
        <x:v>676838365540390300</x:v>
      </x:c>
      <x:c r="B707" s="192" t="str">
        <x:v>https://www.airbnb.com.br/rooms/676838365540390245</x:v>
      </x:c>
      <x:c r="C707" s="192" t="str">
        <x:v>Apartamento 2 quartos em Meia-Praia a 100 m do mar</x:v>
      </x:c>
      <x:c r="D707" s="192" t="str">
        <x:v>Meia Praia</x:v>
      </x:c>
      <x:c r="E707" s="192" t="n">
        <x:v>-27.120297</x:v>
      </x:c>
      <x:c r="F707" s="192" t="n">
        <x:v>-48.6080199</x:v>
      </x:c>
      <x:c r="G707" s="192" t="str">
        <x:v>apartamento</x:v>
      </x:c>
      <x:c r="H707" s="192" t="n">
        <x:v>2</x:v>
      </x:c>
      <x:c r="I707" s="192" t="n">
        <x:v>2</x:v>
      </x:c>
      <x:c r="J707" s="192" t="n">
        <x:v>4</x:v>
      </x:c>
      <x:c r="K707" s="192" t="n">
        <x:v>6</x:v>
      </x:c>
      <x:c r="L707" s="192" t="n">
        <x:v>8</x:v>
      </x:c>
      <x:c r="M707" s="192" t="n">
        <x:v>5</x:v>
      </x:c>
      <x:c r="N707" s="192" t="n">
        <x:v>200</x:v>
      </x:c>
      <x:c r="O707" s="192" t="n">
        <x:v>16</x:v>
      </x:c>
      <x:c r="P707" s="193" t="b">
        <x:v>0</x:v>
      </x:c>
      <x:c r="Q707" s="193" t="b">
        <x:v>0</x:v>
      </x:c>
      <x:c r="R707" s="193" t="b">
        <x:v>1</x:v>
      </x:c>
      <x:c r="S707" s="193" t="b">
        <x:v>0</x:v>
      </x:c>
      <x:c r="T707" s="192" t="n">
        <x:v>20</x:v>
      </x:c>
      <x:c r="U707" s="192" t="n">
        <x:v>70</x:v>
      </x:c>
      <x:c r="V707" s="200" t="n">
        <x:v>0.7777777778</x:v>
      </x:c>
      <x:c r="W707" s="203" t="n">
        <x:v>250</x:v>
      </x:c>
      <x:c r="X707" s="203" t="n">
        <x:v>17803.2411316412</x:v>
      </x:c>
      <x:c r="Y707" s="203" t="n">
        <x:v>46028.7963424307</x:v>
      </x:c>
      <x:c r="Z707" s="193" t="b">
        <x:v>0</x:v>
      </x:c>
      <x:c r="AA707" s="193" t="b">
        <x:v>0</x:v>
      </x:c>
      <x:c r="AB707" s="193" t="b">
        <x:v>1</x:v>
      </x:c>
      <x:c r="AC707" s="193" t="b">
        <x:v>1</x:v>
      </x:c>
      <x:c r="AD707" s="193" t="b">
        <x:v>1</x:v>
      </x:c>
      <x:c r="AE707" s="193" t="b">
        <x:v>0</x:v>
      </x:c>
      <x:c r="AF707" s="193" t="b">
        <x:v>0</x:v>
      </x:c>
      <x:c r="AG707" s="193" t="b">
        <x:v>1</x:v>
      </x:c>
      <x:c r="AH707" s="193" t="b">
        <x:v>1</x:v>
      </x:c>
      <x:c r="AI707" s="193" t="b">
        <x:v>1</x:v>
      </x:c>
      <x:c r="AJ707" s="193" t="b">
        <x:v>0</x:v>
      </x:c>
    </x:row>
    <x:row r="708">
      <x:c r="A708" s="192" t="n">
        <x:v>43499385</x:v>
      </x:c>
      <x:c r="B708" s="192" t="str">
        <x:v>https://www.airbnb.com.br/rooms/43499385</x:v>
      </x:c>
      <x:c r="C708" s="192" t="str">
        <x:v>Conforto, Sofisticação no melhor de Itapema</x:v>
      </x:c>
      <x:c r="D708" s="192" t="str">
        <x:v>Ilhota</x:v>
      </x:c>
      <x:c r="E708" s="192" t="n">
        <x:v>-27.0612792969</x:v>
      </x:c>
      <x:c r="F708" s="192" t="n">
        <x:v>-48.598690033</x:v>
      </x:c>
      <x:c r="G708" s="192" t="str">
        <x:v>apartamento</x:v>
      </x:c>
      <x:c r="H708" s="192" t="n">
        <x:v>2</x:v>
      </x:c>
      <x:c r="I708" s="192" t="n">
        <x:v>3</x:v>
      </x:c>
      <x:c r="J708" s="192" t="n">
        <x:v>4</x:v>
      </x:c>
      <x:c r="K708" s="192" t="n">
        <x:v>5</x:v>
      </x:c>
      <x:c r="L708" s="192" t="n">
        <x:v>67</x:v>
      </x:c>
      <x:c r="M708" s="192" t="n">
        <x:v>4.9699997902</x:v>
      </x:c>
      <x:c r="N708" s="192" t="n">
        <x:v>200</x:v>
      </x:c>
      <x:c r="O708" s="192" t="n">
        <x:v>32</x:v>
      </x:c>
      <x:c r="P708" s="193" t="b">
        <x:v>0</x:v>
      </x:c>
      <x:c r="Q708" s="193" t="b">
        <x:v>0</x:v>
      </x:c>
      <x:c r="R708" s="193" t="b">
        <x:v>1</x:v>
      </x:c>
      <x:c r="S708" s="193" t="b">
        <x:v>1</x:v>
      </x:c>
      <x:c r="T708" s="192" t="n">
        <x:v>69</x:v>
      </x:c>
      <x:c r="U708" s="192" t="n">
        <x:v>21</x:v>
      </x:c>
      <x:c r="V708" s="200" t="n">
        <x:v>0.2333333333</x:v>
      </x:c>
      <x:c r="W708" s="203" t="n">
        <x:v>585</x:v>
      </x:c>
      <x:c r="X708" s="203" t="n">
        <x:v>12187.1198979714</x:v>
      </x:c>
      <x:c r="Y708" s="203" t="n">
        <x:v>31508.7829028801</x:v>
      </x:c>
      <x:c r="Z708" s="193" t="b">
        <x:v>1</x:v>
      </x:c>
      <x:c r="AA708" s="193" t="b">
        <x:v>0</x:v>
      </x:c>
      <x:c r="AB708" s="193" t="b">
        <x:v>1</x:v>
      </x:c>
      <x:c r="AC708" s="193" t="b">
        <x:v>1</x:v>
      </x:c>
      <x:c r="AD708" s="193" t="b">
        <x:v>0</x:v>
      </x:c>
      <x:c r="AE708" s="193" t="b">
        <x:v>0</x:v>
      </x:c>
      <x:c r="AF708" s="193" t="b">
        <x:v>1</x:v>
      </x:c>
      <x:c r="AG708" s="193" t="b">
        <x:v>1</x:v>
      </x:c>
      <x:c r="AH708" s="193" t="b">
        <x:v>1</x:v>
      </x:c>
      <x:c r="AI708" s="193" t="b">
        <x:v>1</x:v>
      </x:c>
      <x:c r="AJ708" s="193" t="b">
        <x:v>0</x:v>
      </x:c>
    </x:row>
    <x:row r="709">
      <x:c r="A709" s="192" t="n">
        <x:v>42841323</x:v>
      </x:c>
      <x:c r="B709" s="192" t="str">
        <x:v>https://www.airbnb.com.br/rooms/42841323</x:v>
      </x:c>
      <x:c r="C709" s="192" t="str">
        <x:v>Ap VIP pé na areia frente mar</x:v>
      </x:c>
      <x:c r="D709" s="192" t="str">
        <x:v>Centro</x:v>
      </x:c>
      <x:c r="E709" s="192" t="n">
        <x:v>-27.09874</x:v>
      </x:c>
      <x:c r="F709" s="192" t="n">
        <x:v>-48.61364</x:v>
      </x:c>
      <x:c r="G709" s="192" t="str">
        <x:v>apartamento</x:v>
      </x:c>
      <x:c r="H709" s="192" t="n">
        <x:v>1</x:v>
      </x:c>
      <x:c r="I709" s="192" t="n">
        <x:v>1</x:v>
      </x:c>
      <x:c r="J709" s="192" t="n">
        <x:v>2</x:v>
      </x:c>
      <x:c r="K709" s="192" t="n">
        <x:v>4</x:v>
      </x:c>
      <x:c r="L709" s="192" t="n">
        <x:v>36</x:v>
      </x:c>
      <x:c r="M709" s="192" t="n">
        <x:v>5</x:v>
      </x:c>
      <x:c r="N709" s="192" t="n">
        <x:v>300</x:v>
      </x:c>
      <x:c r="O709" s="192" t="n">
        <x:v>31</x:v>
      </x:c>
      <x:c r="P709" s="193" t="b">
        <x:v>0</x:v>
      </x:c>
      <x:c r="Q709" s="193" t="b">
        <x:v>0</x:v>
      </x:c>
      <x:c r="R709" s="193" t="b">
        <x:v>1</x:v>
      </x:c>
      <x:c r="S709" s="193" t="b">
        <x:v>1</x:v>
      </x:c>
      <x:c r="T709" s="192" t="n">
        <x:v>17</x:v>
      </x:c>
      <x:c r="U709" s="192" t="n">
        <x:v>73</x:v>
      </x:c>
      <x:c r="V709" s="200" t="n">
        <x:v>0.8111111111</x:v>
      </x:c>
      <x:c r="W709" s="203" t="n">
        <x:v>402</x:v>
      </x:c>
      <x:c r="X709" s="203" t="n">
        <x:v>29559.4031439234</x:v>
      </x:c>
      <x:c r="Y709" s="203" t="n">
        <x:v>76423.3735450185</x:v>
      </x:c>
      <x:c r="Z709" s="193" t="b">
        <x:v>0</x:v>
      </x:c>
      <x:c r="AA709" s="193" t="b">
        <x:v>0</x:v>
      </x:c>
      <x:c r="AB709" s="193" t="b">
        <x:v>1</x:v>
      </x:c>
      <x:c r="AC709" s="193" t="b">
        <x:v>1</x:v>
      </x:c>
      <x:c r="AD709" s="193" t="b">
        <x:v>1</x:v>
      </x:c>
      <x:c r="AE709" s="193" t="b">
        <x:v>1</x:v>
      </x:c>
      <x:c r="AF709" s="193" t="b">
        <x:v>1</x:v>
      </x:c>
      <x:c r="AG709" s="193" t="b">
        <x:v>1</x:v>
      </x:c>
      <x:c r="AH709" s="193" t="b">
        <x:v>1</x:v>
      </x:c>
      <x:c r="AI709" s="193" t="b">
        <x:v>1</x:v>
      </x:c>
      <x:c r="AJ709" s="193" t="b">
        <x:v>1</x:v>
      </x:c>
    </x:row>
    <x:row r="710">
      <x:c r="A710" s="192" t="n">
        <x:v>1208746927423730400</x:v>
      </x:c>
      <x:c r="B710" s="192" t="str">
        <x:v>https://www.airbnb.com.br/rooms/1208746927423730353</x:v>
      </x:c>
      <x:c r="C710" s="192" t="str">
        <x:v>Estúdio Moderno Vista Mar em Itapema MHFB0504</x:v>
      </x:c>
      <x:c r="D710" s="192" t="str">
        <x:v>Centro</x:v>
      </x:c>
      <x:c r="E710" s="192" t="n">
        <x:v>-27.09306</x:v>
      </x:c>
      <x:c r="F710" s="192" t="n">
        <x:v>-48.61326</x:v>
      </x:c>
      <x:c r="G710" s="192" t="str">
        <x:v>apartamento</x:v>
      </x:c>
      <x:c r="H710" s="192" t="n">
        <x:v>1</x:v>
      </x:c>
      <x:c r="I710" s="192" t="n">
        <x:v>1</x:v>
      </x:c>
      <x:c r="J710" s="192" t="n">
        <x:v>1</x:v>
      </x:c>
      <x:c r="K710" s="192" t="n">
        <x:v>2</x:v>
      </x:c>
      <x:c r="L710" s="192" t="n">
        <x:v>1</x:v>
      </x:c>
      <x:c r="M710" s="192" t="n">
        <x:v>5</x:v>
      </x:c>
      <x:c r="N710" s="192" t="n">
        <x:v>150</x:v>
      </x:c>
      <x:c r="O710" s="192" t="n">
        <x:v>0</x:v>
      </x:c>
      <x:c r="P710" s="193" t="b">
        <x:v>1</x:v>
      </x:c>
      <x:c r="Q710" s="193" t="b">
        <x:v>1</x:v>
      </x:c>
      <x:c r="R710" s="193" t="b">
        <x:v>0</x:v>
      </x:c>
      <x:c r="S710" s="193" t="b">
        <x:v>0</x:v>
      </x:c>
      <x:c r="T710" s="192" t="n">
        <x:v>72</x:v>
      </x:c>
      <x:c r="U710" s="192" t="n">
        <x:v>18</x:v>
      </x:c>
      <x:c r="V710" s="200" t="n">
        <x:v>0.2</x:v>
      </x:c>
      <x:c r="W710" s="203" t="n">
        <x:v>379</x:v>
      </x:c>
      <x:c r="X710" s="203" t="n">
        <x:v>6801.6442158168</x:v>
      </x:c>
      <x:c r="Y710" s="203" t="n">
        <x:v>17585.0843163097</x:v>
      </x:c>
      <x:c r="Z710" s="193" t="b">
        <x:v>1</x:v>
      </x:c>
      <x:c r="AA710" s="193" t="b">
        <x:v>1</x:v>
      </x:c>
      <x:c r="AB710" s="193" t="b">
        <x:v>1</x:v>
      </x:c>
      <x:c r="AC710" s="193" t="b">
        <x:v>1</x:v>
      </x:c>
      <x:c r="AD710" s="193" t="b">
        <x:v>1</x:v>
      </x:c>
      <x:c r="AE710" s="193" t="b">
        <x:v>0</x:v>
      </x:c>
      <x:c r="AF710" s="193" t="b">
        <x:v>1</x:v>
      </x:c>
      <x:c r="AG710" s="193" t="b">
        <x:v>1</x:v>
      </x:c>
      <x:c r="AH710" s="193" t="b">
        <x:v>1</x:v>
      </x:c>
      <x:c r="AI710" s="193" t="b">
        <x:v>0</x:v>
      </x:c>
      <x:c r="AJ710" s="193" t="b">
        <x:v>0</x:v>
      </x:c>
    </x:row>
    <x:row r="711">
      <x:c r="A711" s="192" t="n">
        <x:v>53794321</x:v>
      </x:c>
      <x:c r="B711" s="192" t="str">
        <x:v>https://www.airbnb.com.br/rooms/53794321</x:v>
      </x:c>
      <x:c r="C711" s="192" t="str">
        <x:v>Apartamento em Itapema Meia Praia próx ao mar</x:v>
      </x:c>
      <x:c r="D711" s="192" t="str">
        <x:v>Meia Praia</x:v>
      </x:c>
      <x:c r="E711" s="192" t="n">
        <x:v>-27.144075</x:v>
      </x:c>
      <x:c r="F711" s="192" t="n">
        <x:v>-48.588612</x:v>
      </x:c>
      <x:c r="G711" s="192" t="str">
        <x:v>apartamento</x:v>
      </x:c>
      <x:c r="H711" s="192" t="n">
        <x:v>2</x:v>
      </x:c>
      <x:c r="I711" s="192" t="n">
        <x:v>2</x:v>
      </x:c>
      <x:c r="J711" s="192" t="n">
        <x:v>2</x:v>
      </x:c>
      <x:c r="K711" s="192" t="n">
        <x:v>5</x:v>
      </x:c>
      <x:c r="L711" s="192" t="n">
        <x:v>17</x:v>
      </x:c>
      <x:c r="M711" s="192" t="n">
        <x:v>4.8800001144</x:v>
      </x:c>
      <x:c r="N711" s="192" t="n">
        <x:v>250</x:v>
      </x:c>
      <x:c r="O711" s="192" t="n">
        <x:v>27</x:v>
      </x:c>
      <x:c r="P711" s="193" t="b">
        <x:v>1</x:v>
      </x:c>
      <x:c r="Q711" s="193" t="b">
        <x:v>0</x:v>
      </x:c>
      <x:c r="R711" s="193" t="b">
        <x:v>0</x:v>
      </x:c>
      <x:c r="S711" s="193" t="b">
        <x:v>0</x:v>
      </x:c>
      <x:c r="T711" s="192" t="n">
        <x:v>42</x:v>
      </x:c>
      <x:c r="U711" s="192" t="n">
        <x:v>48</x:v>
      </x:c>
      <x:c r="V711" s="200" t="n">
        <x:v>0.5333333333</x:v>
      </x:c>
      <x:c r="W711" s="203" t="n">
        <x:v>549</x:v>
      </x:c>
      <x:c r="X711" s="203" t="n">
        <x:v>25120.7463950338</x:v>
      </x:c>
      <x:c r="Y711" s="203" t="n">
        <x:v>64947.5964088269</x:v>
      </x:c>
      <x:c r="Z711" s="193" t="b">
        <x:v>0</x:v>
      </x:c>
      <x:c r="AA711" s="193" t="b">
        <x:v>0</x:v>
      </x:c>
      <x:c r="AB711" s="193" t="b">
        <x:v>1</x:v>
      </x:c>
      <x:c r="AC711" s="193" t="b">
        <x:v>1</x:v>
      </x:c>
      <x:c r="AD711" s="193" t="b">
        <x:v>1</x:v>
      </x:c>
      <x:c r="AE711" s="193" t="b">
        <x:v>1</x:v>
      </x:c>
      <x:c r="AF711" s="193" t="b">
        <x:v>1</x:v>
      </x:c>
      <x:c r="AG711" s="193" t="b">
        <x:v>1</x:v>
      </x:c>
      <x:c r="AH711" s="193" t="b">
        <x:v>1</x:v>
      </x:c>
      <x:c r="AI711" s="193" t="b">
        <x:v>1</x:v>
      </x:c>
      <x:c r="AJ711" s="193" t="b">
        <x:v>1</x:v>
      </x:c>
    </x:row>
    <x:row r="712">
      <x:c r="A712" s="192" t="n">
        <x:v>47325492</x:v>
      </x:c>
      <x:c r="B712" s="192" t="str">
        <x:v>https://www.airbnb.com.br/rooms/47325492</x:v>
      </x:c>
      <x:c r="C712" s="192" t="str">
        <x:v>Apartamento alto padrão Meia Praia</x:v>
      </x:c>
      <x:c r="D712" s="192" t="str">
        <x:v>Meia Praia</x:v>
      </x:c>
      <x:c r="E712" s="192" t="n">
        <x:v>-27.12907</x:v>
      </x:c>
      <x:c r="F712" s="192" t="n">
        <x:v>-48.6067</x:v>
      </x:c>
      <x:c r="G712" s="192" t="str">
        <x:v>apartamento</x:v>
      </x:c>
      <x:c r="H712" s="192" t="n">
        <x:v>3</x:v>
      </x:c>
      <x:c r="I712" s="192" t="n">
        <x:v>3</x:v>
      </x:c>
      <x:c r="J712" s="192" t="n">
        <x:v>3</x:v>
      </x:c>
      <x:c r="K712" s="192" t="n">
        <x:v>8</x:v>
      </x:c>
      <x:c r="L712" s="192" t="n">
        <x:v>11</x:v>
      </x:c>
      <x:c r="M712" s="192" t="n">
        <x:v>5</x:v>
      </x:c>
      <x:c r="N712" s="192" t="n">
        <x:v>150</x:v>
      </x:c>
      <x:c r="O712" s="192" t="n">
        <x:v>26</x:v>
      </x:c>
      <x:c r="P712" s="193" t="b">
        <x:v>1</x:v>
      </x:c>
      <x:c r="Q712" s="193" t="b">
        <x:v>0</x:v>
      </x:c>
      <x:c r="R712" s="193" t="b">
        <x:v>1</x:v>
      </x:c>
      <x:c r="S712" s="193" t="b">
        <x:v>0</x:v>
      </x:c>
      <x:c r="T712" s="192" t="n">
        <x:v>79</x:v>
      </x:c>
      <x:c r="U712" s="192" t="n">
        <x:v>11</x:v>
      </x:c>
      <x:c r="V712" s="200" t="n">
        <x:v>0.1222222222</x:v>
      </x:c>
      <x:c r="W712" s="203" t="n">
        <x:v>607.1429</x:v>
      </x:c>
      <x:c r="X712" s="203" t="n">
        <x:v>6718.1672315404</x:v>
      </x:c>
      <x:c r="Y712" s="203" t="n">
        <x:v>17369.2615298784</x:v>
      </x:c>
      <x:c r="Z712" s="193" t="b">
        <x:v>1</x:v>
      </x:c>
      <x:c r="AA712" s="193" t="b">
        <x:v>0</x:v>
      </x:c>
      <x:c r="AB712" s="193" t="b">
        <x:v>1</x:v>
      </x:c>
      <x:c r="AC712" s="193" t="b">
        <x:v>1</x:v>
      </x:c>
      <x:c r="AD712" s="193" t="b">
        <x:v>1</x:v>
      </x:c>
      <x:c r="AE712" s="193" t="b">
        <x:v>0</x:v>
      </x:c>
      <x:c r="AF712" s="193" t="b">
        <x:v>1</x:v>
      </x:c>
      <x:c r="AG712" s="193" t="b">
        <x:v>1</x:v>
      </x:c>
      <x:c r="AH712" s="193" t="b">
        <x:v>1</x:v>
      </x:c>
      <x:c r="AI712" s="193" t="b">
        <x:v>1</x:v>
      </x:c>
      <x:c r="AJ712" s="193" t="b">
        <x:v>1</x:v>
      </x:c>
    </x:row>
    <x:row r="713">
      <x:c r="A713" s="192" t="n">
        <x:v>47232230</x:v>
      </x:c>
      <x:c r="B713" s="192" t="str">
        <x:v>https://www.airbnb.com.br/rooms/47232230</x:v>
      </x:c>
      <x:c r="C713" s="192" t="str">
        <x:v>Frente mar maravilhoso</x:v>
      </x:c>
      <x:c r="D713" s="192" t="str">
        <x:v>Meia Praia</x:v>
      </x:c>
      <x:c r="E713" s="192" t="n">
        <x:v>-27.14165</x:v>
      </x:c>
      <x:c r="F713" s="192" t="n">
        <x:v>-48.58762</x:v>
      </x:c>
      <x:c r="G713" s="192" t="str">
        <x:v>apartamento</x:v>
      </x:c>
      <x:c r="H713" s="192" t="n">
        <x:v>3</x:v>
      </x:c>
      <x:c r="I713" s="192" t="n">
        <x:v>2</x:v>
      </x:c>
      <x:c r="J713" s="192" t="n">
        <x:v>6</x:v>
      </x:c>
      <x:c r="K713" s="192" t="n">
        <x:v>6</x:v>
      </x:c>
      <x:c r="L713" s="192" t="n">
        <x:v>20</x:v>
      </x:c>
      <x:c r="M713" s="192" t="n">
        <x:v>4.9499998093</x:v>
      </x:c>
      <x:c r="N713" s="192" t="n">
        <x:v>400</x:v>
      </x:c>
      <x:c r="O713" s="192" t="n">
        <x:v>61</x:v>
      </x:c>
      <x:c r="P713" s="193" t="b">
        <x:v>0</x:v>
      </x:c>
      <x:c r="Q713" s="193" t="b">
        <x:v>0</x:v>
      </x:c>
      <x:c r="R713" s="193" t="b">
        <x:v>0</x:v>
      </x:c>
      <x:c r="S713" s="193" t="b">
        <x:v>1</x:v>
      </x:c>
      <x:c r="T713" s="192" t="n">
        <x:v>15</x:v>
      </x:c>
      <x:c r="U713" s="192" t="n">
        <x:v>75</x:v>
      </x:c>
      <x:c r="V713" s="200" t="n">
        <x:v>0.8333333333</x:v>
      </x:c>
      <x:c r="W713" s="203" t="n">
        <x:v>1001</x:v>
      </x:c>
      <x:c r="X713" s="203" t="n">
        <x:v>74734.2752924914</x:v>
      </x:c>
      <x:c r="Y713" s="203" t="n">
        <x:v>193219.2409124621</x:v>
      </x:c>
      <x:c r="Z713" s="193" t="b">
        <x:v>0</x:v>
      </x:c>
      <x:c r="AA713" s="193" t="b">
        <x:v>0</x:v>
      </x:c>
      <x:c r="AB713" s="193" t="b">
        <x:v>1</x:v>
      </x:c>
      <x:c r="AC713" s="193" t="b">
        <x:v>1</x:v>
      </x:c>
      <x:c r="AD713" s="193" t="b">
        <x:v>1</x:v>
      </x:c>
      <x:c r="AE713" s="193" t="b">
        <x:v>1</x:v>
      </x:c>
      <x:c r="AF713" s="193" t="b">
        <x:v>1</x:v>
      </x:c>
      <x:c r="AG713" s="193" t="b">
        <x:v>1</x:v>
      </x:c>
      <x:c r="AH713" s="193" t="b">
        <x:v>1</x:v>
      </x:c>
      <x:c r="AI713" s="193" t="b">
        <x:v>1</x:v>
      </x:c>
      <x:c r="AJ713" s="193" t="b">
        <x:v>1</x:v>
      </x:c>
    </x:row>
    <x:row r="714">
      <x:c r="A714" s="192" t="n">
        <x:v>1263128865886946800</x:v>
      </x:c>
      <x:c r="B714" s="192" t="str">
        <x:v>https://www.airbnb.com.br/rooms/1263128865886946817</x:v>
      </x:c>
      <x:c r="C714" s="192" t="str">
        <x:v>Apto aconchegante 280m da Praia em Itapema MHF1707</x:v>
      </x:c>
      <x:c r="D714" s="192" t="str">
        <x:v>Centro</x:v>
      </x:c>
      <x:c r="E714" s="192" t="n">
        <x:v>-27.0936893</x:v>
      </x:c>
      <x:c r="F714" s="192" t="n">
        <x:v>-48.6131638</x:v>
      </x:c>
      <x:c r="G714" s="192" t="str">
        <x:v>apartamento</x:v>
      </x:c>
      <x:c r="H714" s="192" t="n">
        <x:v>1</x:v>
      </x:c>
      <x:c r="I714" s="192" t="n">
        <x:v>1</x:v>
      </x:c>
      <x:c r="J714" s="192" t="n">
        <x:v>1</x:v>
      </x:c>
      <x:c r="K714" s="192" t="n">
        <x:v>2</x:v>
      </x:c>
      <x:c r="L714" s="192" t="n">
        <x:v>1</x:v>
      </x:c>
      <x:c r="M714" s="192" t="n">
        <x:v>5</x:v>
      </x:c>
      <x:c r="N714" s="192" t="n">
        <x:v>170</x:v>
      </x:c>
      <x:c r="O714" s="192" t="n">
        <x:v>0</x:v>
      </x:c>
      <x:c r="P714" s="193" t="b">
        <x:v>1</x:v>
      </x:c>
      <x:c r="Q714" s="193" t="b">
        <x:v>1</x:v>
      </x:c>
      <x:c r="R714" s="193" t="b">
        <x:v>0</x:v>
      </x:c>
      <x:c r="S714" s="193" t="b">
        <x:v>0</x:v>
      </x:c>
      <x:c r="T714" s="192" t="n">
        <x:v>76</x:v>
      </x:c>
      <x:c r="U714" s="192" t="n">
        <x:v>14</x:v>
      </x:c>
      <x:c r="V714" s="200" t="n">
        <x:v>0.1555555556</x:v>
      </x:c>
      <x:c r="W714" s="203" t="n">
        <x:v>523</x:v>
      </x:c>
      <x:c r="X714" s="203" t="n">
        <x:v>8301.4671644153</x:v>
      </x:c>
      <x:c r="Y714" s="203" t="n">
        <x:v>21462.7515646654</x:v>
      </x:c>
      <x:c r="Z714" s="193" t="b">
        <x:v>1</x:v>
      </x:c>
      <x:c r="AA714" s="193" t="b">
        <x:v>1</x:v>
      </x:c>
      <x:c r="AB714" s="193" t="b">
        <x:v>1</x:v>
      </x:c>
      <x:c r="AC714" s="193" t="b">
        <x:v>1</x:v>
      </x:c>
      <x:c r="AD714" s="193" t="b">
        <x:v>1</x:v>
      </x:c>
      <x:c r="AE714" s="193" t="b">
        <x:v>1</x:v>
      </x:c>
      <x:c r="AF714" s="193" t="b">
        <x:v>1</x:v>
      </x:c>
      <x:c r="AG714" s="193" t="b">
        <x:v>1</x:v>
      </x:c>
      <x:c r="AH714" s="193" t="b">
        <x:v>1</x:v>
      </x:c>
      <x:c r="AI714" s="193" t="b">
        <x:v>1</x:v>
      </x:c>
      <x:c r="AJ714" s="193" t="b">
        <x:v>0</x:v>
      </x:c>
    </x:row>
    <x:row r="715">
      <x:c r="A715" s="192" t="n">
        <x:v>46704215</x:v>
      </x:c>
      <x:c r="B715" s="192" t="str">
        <x:v>https://www.airbnb.com.br/rooms/46704215</x:v>
      </x:c>
      <x:c r="C715" s="192" t="str">
        <x:v>256 Apartamento a 100 metros da praia,  Itapema</x:v>
      </x:c>
      <x:c r="D715" s="192" t="str">
        <x:v>Meia Praia</x:v>
      </x:c>
      <x:c r="E715" s="192" t="n">
        <x:v>-27.1302528381</x:v>
      </x:c>
      <x:c r="F715" s="192" t="n">
        <x:v>-48.6007804871</x:v>
      </x:c>
      <x:c r="G715" s="192" t="str">
        <x:v>apartamento</x:v>
      </x:c>
      <x:c r="H715" s="192" t="n">
        <x:v>2</x:v>
      </x:c>
      <x:c r="I715" s="192" t="n">
        <x:v>2</x:v>
      </x:c>
      <x:c r="J715" s="192" t="n">
        <x:v>2</x:v>
      </x:c>
      <x:c r="K715" s="192" t="n">
        <x:v>4</x:v>
      </x:c>
      <x:c r="L715" s="192" t="n">
        <x:v>61</x:v>
      </x:c>
      <x:c r="M715" s="192" t="n">
        <x:v>4.8400001526</x:v>
      </x:c>
      <x:c r="N715" s="192" t="n">
        <x:v>100</x:v>
      </x:c>
      <x:c r="O715" s="192" t="n">
        <x:v>13</x:v>
      </x:c>
      <x:c r="P715" s="193" t="b">
        <x:v>0</x:v>
      </x:c>
      <x:c r="Q715" s="193" t="b">
        <x:v>0</x:v>
      </x:c>
      <x:c r="R715" s="193" t="b">
        <x:v>1</x:v>
      </x:c>
      <x:c r="S715" s="193" t="b">
        <x:v>1</x:v>
      </x:c>
      <x:c r="T715" s="192" t="n">
        <x:v>11</x:v>
      </x:c>
      <x:c r="U715" s="192" t="n">
        <x:v>79</x:v>
      </x:c>
      <x:c r="V715" s="200" t="n">
        <x:v>0.8777777778</x:v>
      </x:c>
      <x:c r="W715" s="203" t="n">
        <x:v>580</x:v>
      </x:c>
      <x:c r="X715" s="203" t="n">
        <x:v>45995.1460240746</x:v>
      </x:c>
      <x:c r="Y715" s="203" t="n">
        <x:v>118916.6171164095</x:v>
      </x:c>
      <x:c r="Z715" s="193" t="b">
        <x:v>0</x:v>
      </x:c>
      <x:c r="AA715" s="193" t="b">
        <x:v>0</x:v>
      </x:c>
      <x:c r="AB715" s="193" t="b">
        <x:v>1</x:v>
      </x:c>
      <x:c r="AC715" s="193" t="b">
        <x:v>1</x:v>
      </x:c>
      <x:c r="AD715" s="193" t="b">
        <x:v>0</x:v>
      </x:c>
      <x:c r="AE715" s="193" t="b">
        <x:v>0</x:v>
      </x:c>
      <x:c r="AF715" s="193" t="b">
        <x:v>1</x:v>
      </x:c>
      <x:c r="AG715" s="193" t="b">
        <x:v>1</x:v>
      </x:c>
      <x:c r="AH715" s="193" t="b">
        <x:v>1</x:v>
      </x:c>
      <x:c r="AI715" s="193" t="b">
        <x:v>1</x:v>
      </x:c>
      <x:c r="AJ715" s="193" t="b">
        <x:v>1</x:v>
      </x:c>
    </x:row>
    <x:row r="716">
      <x:c r="A716" s="192" t="n">
        <x:v>30105402</x:v>
      </x:c>
      <x:c r="B716" s="192" t="str">
        <x:v>https://www.airbnb.com.br/rooms/30105402</x:v>
      </x:c>
      <x:c r="C716" s="192" t="str">
        <x:v>Apartamento Exclusivo em  Itapema</x:v>
      </x:c>
      <x:c r="D716" s="192" t="str">
        <x:v>Meia Praia</x:v>
      </x:c>
      <x:c r="E716" s="192" t="n">
        <x:v>-27.13775</x:v>
      </x:c>
      <x:c r="F716" s="192" t="n">
        <x:v>-48.59519</x:v>
      </x:c>
      <x:c r="G716" s="192" t="str">
        <x:v>apartamento</x:v>
      </x:c>
      <x:c r="H716" s="192" t="n">
        <x:v>3</x:v>
      </x:c>
      <x:c r="I716" s="192" t="n">
        <x:v>2</x:v>
      </x:c>
      <x:c r="J716" s="192" t="n">
        <x:v>4</x:v>
      </x:c>
      <x:c r="K716" s="192" t="n">
        <x:v>8</x:v>
      </x:c>
      <x:c r="L716" s="192" t="n">
        <x:v>12</x:v>
      </x:c>
      <x:c r="M716" s="192" t="n">
        <x:v>4.75</x:v>
      </x:c>
      <x:c r="N716" s="192" t="n">
        <x:v>350</x:v>
      </x:c>
      <x:c r="O716" s="192" t="n">
        <x:v>27</x:v>
      </x:c>
      <x:c r="P716" s="193" t="b">
        <x:v>0</x:v>
      </x:c>
      <x:c r="Q716" s="193" t="b">
        <x:v>0</x:v>
      </x:c>
      <x:c r="R716" s="193" t="b">
        <x:v>0</x:v>
      </x:c>
      <x:c r="S716" s="193" t="b">
        <x:v>0</x:v>
      </x:c>
      <x:c r="T716" s="192" t="n">
        <x:v>87</x:v>
      </x:c>
      <x:c r="U716" s="192" t="n">
        <x:v>3</x:v>
      </x:c>
      <x:c r="V716" s="200" t="n">
        <x:v>0.0333333333</x:v>
      </x:c>
      <x:c r="W716" s="203" t="n">
        <x:v>900</x:v>
      </x:c>
      <x:c r="X716" s="203" t="n">
        <x:v>2578.2133441083</x:v>
      </x:c>
      <x:c r="Y716" s="203" t="n">
        <x:v>6665.7557500801</x:v>
      </x:c>
      <x:c r="Z716" s="193" t="b">
        <x:v>1</x:v>
      </x:c>
      <x:c r="AA716" s="193" t="b">
        <x:v>0</x:v>
      </x:c>
      <x:c r="AB716" s="193" t="b">
        <x:v>1</x:v>
      </x:c>
      <x:c r="AC716" s="193" t="b">
        <x:v>1</x:v>
      </x:c>
      <x:c r="AD716" s="193" t="b">
        <x:v>1</x:v>
      </x:c>
      <x:c r="AE716" s="193" t="b">
        <x:v>1</x:v>
      </x:c>
      <x:c r="AF716" s="193" t="b">
        <x:v>1</x:v>
      </x:c>
      <x:c r="AG716" s="193" t="b">
        <x:v>1</x:v>
      </x:c>
      <x:c r="AH716" s="193" t="b">
        <x:v>1</x:v>
      </x:c>
      <x:c r="AI716" s="193" t="b">
        <x:v>1</x:v>
      </x:c>
      <x:c r="AJ716" s="193" t="b">
        <x:v>0</x:v>
      </x:c>
    </x:row>
    <x:row r="717">
      <x:c r="A717" s="192" t="n">
        <x:v>1233994658216309000</x:v>
      </x:c>
      <x:c r="B717" s="192" t="str">
        <x:v>https://www.airbnb.com.br/rooms/1233994658216308874</x:v>
      </x:c>
      <x:c r="C717" s="192" t="str">
        <x:v>Stúdio Moderno com Vista Mar! - MHFA1307</x:v>
      </x:c>
      <x:c r="D717" s="192" t="str">
        <x:v>Centro</x:v>
      </x:c>
      <x:c r="E717" s="192" t="n">
        <x:v>-27.09306</x:v>
      </x:c>
      <x:c r="F717" s="192" t="n">
        <x:v>-48.61326</x:v>
      </x:c>
      <x:c r="G717" s="192" t="str">
        <x:v>apartamento</x:v>
      </x:c>
      <x:c r="H717" s="192" t="n">
        <x:v>1</x:v>
      </x:c>
      <x:c r="I717" s="192" t="n">
        <x:v>1</x:v>
      </x:c>
      <x:c r="J717" s="192" t="n">
        <x:v>2</x:v>
      </x:c>
      <x:c r="K717" s="192" t="n">
        <x:v>3</x:v>
      </x:c>
      <x:c r="L717" s="192" t="n">
        <x:v>16</x:v>
      </x:c>
      <x:c r="M717" s="192" t="n">
        <x:v>4.3800001144</x:v>
      </x:c>
      <x:c r="N717" s="192" t="n">
        <x:v>180</x:v>
      </x:c>
      <x:c r="O717" s="192" t="n">
        <x:v>0</x:v>
      </x:c>
      <x:c r="P717" s="193" t="b">
        <x:v>1</x:v>
      </x:c>
      <x:c r="Q717" s="193" t="b">
        <x:v>1</x:v>
      </x:c>
      <x:c r="R717" s="193" t="b">
        <x:v>0</x:v>
      </x:c>
      <x:c r="S717" s="193" t="b">
        <x:v>0</x:v>
      </x:c>
      <x:c r="T717" s="192" t="n">
        <x:v>48</x:v>
      </x:c>
      <x:c r="U717" s="192" t="n">
        <x:v>42</x:v>
      </x:c>
      <x:c r="V717" s="200" t="n">
        <x:v>0.4666666667</x:v>
      </x:c>
      <x:c r="W717" s="203" t="n">
        <x:v>383</x:v>
      </x:c>
      <x:c r="X717" s="203" t="n">
        <x:v>16396.4540736548</x:v>
      </x:c>
      <x:c r="Y717" s="203" t="n">
        <x:v>42391.6656362618</x:v>
      </x:c>
      <x:c r="Z717" s="193" t="b">
        <x:v>1</x:v>
      </x:c>
      <x:c r="AA717" s="193" t="b">
        <x:v>1</x:v>
      </x:c>
      <x:c r="AB717" s="193" t="b">
        <x:v>1</x:v>
      </x:c>
      <x:c r="AC717" s="193" t="b">
        <x:v>1</x:v>
      </x:c>
      <x:c r="AD717" s="193" t="b">
        <x:v>1</x:v>
      </x:c>
      <x:c r="AE717" s="193" t="b">
        <x:v>1</x:v>
      </x:c>
      <x:c r="AF717" s="193" t="b">
        <x:v>1</x:v>
      </x:c>
      <x:c r="AG717" s="193" t="b">
        <x:v>1</x:v>
      </x:c>
      <x:c r="AH717" s="193" t="b">
        <x:v>1</x:v>
      </x:c>
      <x:c r="AI717" s="193" t="b">
        <x:v>1</x:v>
      </x:c>
      <x:c r="AJ717" s="193" t="b">
        <x:v>0</x:v>
      </x:c>
    </x:row>
    <x:row r="718">
      <x:c r="A718" s="192" t="n">
        <x:v>1264729892004302800</x:v>
      </x:c>
      <x:c r="B718" s="192" t="str">
        <x:v>https://www.airbnb.com.br/rooms/1264729892004302735</x:v>
      </x:c>
      <x:c r="C718" s="192" t="str">
        <x:v>Excelente ap Centro de Itapema</x:v>
      </x:c>
      <x:c r="D718" s="192" t="str">
        <x:v>Centro</x:v>
      </x:c>
      <x:c r="E718" s="192" t="n">
        <x:v>-27.0959778521</x:v>
      </x:c>
      <x:c r="F718" s="192" t="n">
        <x:v>-48.6156897888</x:v>
      </x:c>
      <x:c r="G718" s="192" t="str">
        <x:v>apartamento</x:v>
      </x:c>
      <x:c r="H718" s="192" t="n">
        <x:v>1</x:v>
      </x:c>
      <x:c r="I718" s="192" t="n">
        <x:v>2</x:v>
      </x:c>
      <x:c r="J718" s="192" t="n">
        <x:v>2</x:v>
      </x:c>
      <x:c r="K718" s="192" t="n">
        <x:v>4</x:v>
      </x:c>
      <x:c r="L718" s="192" t="n">
        <x:v>0</x:v>
      </x:c>
      <x:c r="M718" s="192"/>
      <x:c r="N718" s="192" t="n">
        <x:v>190</x:v>
      </x:c>
      <x:c r="O718" s="192" t="n">
        <x:v>0</x:v>
      </x:c>
      <x:c r="P718" s="193" t="b">
        <x:v>0</x:v>
      </x:c>
      <x:c r="Q718" s="193" t="b">
        <x:v>0</x:v>
      </x:c>
      <x:c r="R718" s="193" t="b">
        <x:v>0</x:v>
      </x:c>
      <x:c r="S718" s="193" t="b">
        <x:v>0</x:v>
      </x:c>
      <x:c r="T718" s="192" t="n">
        <x:v>35</x:v>
      </x:c>
      <x:c r="U718" s="192" t="n">
        <x:v>55</x:v>
      </x:c>
      <x:c r="V718" s="200" t="n">
        <x:v>0.6111111111</x:v>
      </x:c>
      <x:c r="W718" s="203" t="n">
        <x:v>450</x:v>
      </x:c>
      <x:c r="X718" s="203" t="n">
        <x:v>24145.9854812745</x:v>
      </x:c>
      <x:c r="Y718" s="203" t="n">
        <x:v>62427.4332963785</x:v>
      </x:c>
      <x:c r="Z718" s="193" t="b">
        <x:v>1</x:v>
      </x:c>
      <x:c r="AA718" s="193" t="b">
        <x:v>0</x:v>
      </x:c>
      <x:c r="AB718" s="193" t="b">
        <x:v>1</x:v>
      </x:c>
      <x:c r="AC718" s="193" t="b">
        <x:v>1</x:v>
      </x:c>
      <x:c r="AD718" s="193" t="b">
        <x:v>0</x:v>
      </x:c>
      <x:c r="AE718" s="193" t="b">
        <x:v>0</x:v>
      </x:c>
      <x:c r="AF718" s="193" t="b">
        <x:v>1</x:v>
      </x:c>
      <x:c r="AG718" s="193" t="b">
        <x:v>1</x:v>
      </x:c>
      <x:c r="AH718" s="193" t="b">
        <x:v>1</x:v>
      </x:c>
      <x:c r="AI718" s="193" t="b">
        <x:v>1</x:v>
      </x:c>
      <x:c r="AJ718" s="193" t="b">
        <x:v>0</x:v>
      </x:c>
    </x:row>
    <x:row r="719">
      <x:c r="A719" s="192" t="n">
        <x:v>32486859</x:v>
      </x:c>
      <x:c r="B719" s="192" t="str">
        <x:v>https://www.airbnb.com.br/rooms/32486859</x:v>
      </x:c>
      <x:c r="C719" s="192" t="str">
        <x:v>Apartamento de Alto Padrão Meia Praia - Itapema</x:v>
      </x:c>
      <x:c r="D719" s="192" t="str">
        <x:v>Meia Praia</x:v>
      </x:c>
      <x:c r="E719" s="192" t="n">
        <x:v>-27.14191</x:v>
      </x:c>
      <x:c r="F719" s="192" t="n">
        <x:v>-48.59225</x:v>
      </x:c>
      <x:c r="G719" s="192" t="str">
        <x:v>apartamento</x:v>
      </x:c>
      <x:c r="H719" s="192" t="n">
        <x:v>4</x:v>
      </x:c>
      <x:c r="I719" s="192" t="n">
        <x:v>4</x:v>
      </x:c>
      <x:c r="J719" s="192" t="n">
        <x:v>5</x:v>
      </x:c>
      <x:c r="K719" s="192" t="n">
        <x:v>8</x:v>
      </x:c>
      <x:c r="L719" s="192" t="n">
        <x:v>70</x:v>
      </x:c>
      <x:c r="M719" s="192" t="n">
        <x:v>4.8899998665</x:v>
      </x:c>
      <x:c r="N719" s="192" t="n">
        <x:v>400</x:v>
      </x:c>
      <x:c r="O719" s="192" t="n">
        <x:v>129</x:v>
      </x:c>
      <x:c r="P719" s="193" t="b">
        <x:v>0</x:v>
      </x:c>
      <x:c r="Q719" s="193" t="b">
        <x:v>0</x:v>
      </x:c>
      <x:c r="R719" s="193" t="b">
        <x:v>1</x:v>
      </x:c>
      <x:c r="S719" s="193" t="b">
        <x:v>1</x:v>
      </x:c>
      <x:c r="T719" s="192" t="n">
        <x:v>48</x:v>
      </x:c>
      <x:c r="U719" s="192" t="n">
        <x:v>42</x:v>
      </x:c>
      <x:c r="V719" s="200" t="n">
        <x:v>0.4666666667</x:v>
      </x:c>
      <x:c r="W719" s="203" t="n">
        <x:v>849</x:v>
      </x:c>
      <x:c r="X719" s="203" t="n">
        <x:v>37104.8388434663</x:v>
      </x:c>
      <x:c r="Y719" s="203" t="n">
        <x:v>95931.4687598784</x:v>
      </x:c>
      <x:c r="Z719" s="193" t="b">
        <x:v>1</x:v>
      </x:c>
      <x:c r="AA719" s="193" t="b">
        <x:v>0</x:v>
      </x:c>
      <x:c r="AB719" s="193" t="b">
        <x:v>1</x:v>
      </x:c>
      <x:c r="AC719" s="193" t="b">
        <x:v>1</x:v>
      </x:c>
      <x:c r="AD719" s="193" t="b">
        <x:v>1</x:v>
      </x:c>
      <x:c r="AE719" s="193" t="b">
        <x:v>1</x:v>
      </x:c>
      <x:c r="AF719" s="193" t="b">
        <x:v>1</x:v>
      </x:c>
      <x:c r="AG719" s="193" t="b">
        <x:v>1</x:v>
      </x:c>
      <x:c r="AH719" s="193" t="b">
        <x:v>1</x:v>
      </x:c>
      <x:c r="AI719" s="193" t="b">
        <x:v>1</x:v>
      </x:c>
      <x:c r="AJ719" s="193" t="b">
        <x:v>0</x:v>
      </x:c>
    </x:row>
    <x:row r="720">
      <x:c r="A720" s="192" t="n">
        <x:v>53973724</x:v>
      </x:c>
      <x:c r="B720" s="192" t="str">
        <x:v>https://www.airbnb.com.br/rooms/53973724</x:v>
      </x:c>
      <x:c r="C720" s="192" t="str">
        <x:v>Apartamento Frente Mar Meia Praia</x:v>
      </x:c>
      <x:c r="D720" s="192" t="str">
        <x:v>Meia Praia</x:v>
      </x:c>
      <x:c r="E720" s="192" t="n">
        <x:v>-27.138261795</x:v>
      </x:c>
      <x:c r="F720" s="192" t="n">
        <x:v>-48.5921401978</x:v>
      </x:c>
      <x:c r="G720" s="192" t="str">
        <x:v>apartamento</x:v>
      </x:c>
      <x:c r="H720" s="192" t="n">
        <x:v>3</x:v>
      </x:c>
      <x:c r="I720" s="192" t="n">
        <x:v>2</x:v>
      </x:c>
      <x:c r="J720" s="192" t="n">
        <x:v>4</x:v>
      </x:c>
      <x:c r="K720" s="192" t="n">
        <x:v>6</x:v>
      </x:c>
      <x:c r="L720" s="192" t="n">
        <x:v>15</x:v>
      </x:c>
      <x:c r="M720" s="192" t="n">
        <x:v>4.9299998283</x:v>
      </x:c>
      <x:c r="N720" s="192" t="n">
        <x:v>300</x:v>
      </x:c>
      <x:c r="O720" s="192" t="n">
        <x:v>24</x:v>
      </x:c>
      <x:c r="P720" s="193" t="b">
        <x:v>0</x:v>
      </x:c>
      <x:c r="Q720" s="193" t="b">
        <x:v>0</x:v>
      </x:c>
      <x:c r="R720" s="193" t="b">
        <x:v>1</x:v>
      </x:c>
      <x:c r="S720" s="193" t="b">
        <x:v>0</x:v>
      </x:c>
      <x:c r="T720" s="192" t="n">
        <x:v>55</x:v>
      </x:c>
      <x:c r="U720" s="192" t="n">
        <x:v>35</x:v>
      </x:c>
      <x:c r="V720" s="200" t="n">
        <x:v>0.3888888889</x:v>
      </x:c>
      <x:c r="W720" s="203" t="n">
        <x:v>589</x:v>
      </x:c>
      <x:c r="X720" s="203" t="n">
        <x:v>21416.9359850022</x:v>
      </x:c>
      <x:c r="Y720" s="203" t="n">
        <x:v>55371.7032445578</x:v>
      </x:c>
      <x:c r="Z720" s="193" t="b">
        <x:v>1</x:v>
      </x:c>
      <x:c r="AA720" s="193" t="b">
        <x:v>0</x:v>
      </x:c>
      <x:c r="AB720" s="193" t="b">
        <x:v>1</x:v>
      </x:c>
      <x:c r="AC720" s="193" t="b">
        <x:v>1</x:v>
      </x:c>
      <x:c r="AD720" s="193" t="b">
        <x:v>1</x:v>
      </x:c>
      <x:c r="AE720" s="193" t="b">
        <x:v>1</x:v>
      </x:c>
      <x:c r="AF720" s="193" t="b">
        <x:v>1</x:v>
      </x:c>
      <x:c r="AG720" s="193" t="b">
        <x:v>1</x:v>
      </x:c>
      <x:c r="AH720" s="193" t="b">
        <x:v>1</x:v>
      </x:c>
      <x:c r="AI720" s="193" t="b">
        <x:v>1</x:v>
      </x:c>
      <x:c r="AJ720" s="193" t="b">
        <x:v>1</x:v>
      </x:c>
    </x:row>
    <x:row r="721">
      <x:c r="A721" s="192" t="n">
        <x:v>46072703</x:v>
      </x:c>
      <x:c r="B721" s="192" t="str">
        <x:v>https://www.airbnb.com.br/rooms/46072703</x:v>
      </x:c>
      <x:c r="C721" s="192" t="str">
        <x:v>Aluguel verão Meia Praia – 3 suítes *049</x:v>
      </x:c>
      <x:c r="D721" s="192" t="str">
        <x:v>Meia Praia</x:v>
      </x:c>
      <x:c r="E721" s="192" t="n">
        <x:v>-27.1317596436</x:v>
      </x:c>
      <x:c r="F721" s="192" t="n">
        <x:v>-48.6003189087</x:v>
      </x:c>
      <x:c r="G721" s="192" t="str">
        <x:v>apartamento</x:v>
      </x:c>
      <x:c r="H721" s="192" t="n">
        <x:v>3</x:v>
      </x:c>
      <x:c r="I721" s="192" t="n">
        <x:v>3</x:v>
      </x:c>
      <x:c r="J721" s="192" t="n">
        <x:v>5</x:v>
      </x:c>
      <x:c r="K721" s="192" t="n">
        <x:v>8</x:v>
      </x:c>
      <x:c r="L721" s="192" t="n">
        <x:v>14</x:v>
      </x:c>
      <x:c r="M721" s="192" t="n">
        <x:v>5</x:v>
      </x:c>
      <x:c r="N721" s="192" t="n">
        <x:v>300</x:v>
      </x:c>
      <x:c r="O721" s="192" t="n">
        <x:v>41</x:v>
      </x:c>
      <x:c r="P721" s="193" t="b">
        <x:v>0</x:v>
      </x:c>
      <x:c r="Q721" s="193" t="b">
        <x:v>0</x:v>
      </x:c>
      <x:c r="R721" s="193" t="b">
        <x:v>0</x:v>
      </x:c>
      <x:c r="S721" s="193" t="b">
        <x:v>1</x:v>
      </x:c>
      <x:c r="T721" s="192" t="n">
        <x:v>39</x:v>
      </x:c>
      <x:c r="U721" s="192" t="n">
        <x:v>51</x:v>
      </x:c>
      <x:c r="V721" s="200" t="n">
        <x:v>0.5666666667</x:v>
      </x:c>
      <x:c r="W721" s="203" t="n">
        <x:v>584</x:v>
      </x:c>
      <x:c r="X721" s="203" t="n">
        <x:v>29466.4023314593</x:v>
      </x:c>
      <x:c r="Y721" s="203" t="n">
        <x:v>76182.9276944603</x:v>
      </x:c>
      <x:c r="Z721" s="193" t="b">
        <x:v>0</x:v>
      </x:c>
      <x:c r="AA721" s="193" t="b">
        <x:v>0</x:v>
      </x:c>
      <x:c r="AB721" s="193" t="b">
        <x:v>1</x:v>
      </x:c>
      <x:c r="AC721" s="193" t="b">
        <x:v>1</x:v>
      </x:c>
      <x:c r="AD721" s="193" t="b">
        <x:v>1</x:v>
      </x:c>
      <x:c r="AE721" s="193" t="b">
        <x:v>1</x:v>
      </x:c>
      <x:c r="AF721" s="193" t="b">
        <x:v>1</x:v>
      </x:c>
      <x:c r="AG721" s="193" t="b">
        <x:v>1</x:v>
      </x:c>
      <x:c r="AH721" s="193" t="b">
        <x:v>1</x:v>
      </x:c>
      <x:c r="AI721" s="193" t="b">
        <x:v>1</x:v>
      </x:c>
      <x:c r="AJ721" s="193" t="b">
        <x:v>1</x:v>
      </x:c>
    </x:row>
    <x:row r="722">
      <x:c r="A722" s="192" t="n">
        <x:v>40342798</x:v>
      </x:c>
      <x:c r="B722" s="192" t="str">
        <x:v>https://www.airbnb.com.br/rooms/40342798</x:v>
      </x:c>
      <x:c r="C722" s="192" t="str">
        <x:v>Excelente apartamento no centro de meia praia</x:v>
      </x:c>
      <x:c r="D722" s="192" t="str">
        <x:v>Meia Praia</x:v>
      </x:c>
      <x:c r="E722" s="192" t="n">
        <x:v>-27.12416</x:v>
      </x:c>
      <x:c r="F722" s="192" t="n">
        <x:v>-48.6064</x:v>
      </x:c>
      <x:c r="G722" s="192" t="str">
        <x:v>apartamento</x:v>
      </x:c>
      <x:c r="H722" s="192" t="n">
        <x:v>3</x:v>
      </x:c>
      <x:c r="I722" s="192" t="n">
        <x:v>3</x:v>
      </x:c>
      <x:c r="J722" s="192" t="n">
        <x:v>3</x:v>
      </x:c>
      <x:c r="K722" s="192" t="n">
        <x:v>6</x:v>
      </x:c>
      <x:c r="L722" s="192" t="n">
        <x:v>14</x:v>
      </x:c>
      <x:c r="M722" s="192" t="n">
        <x:v>5</x:v>
      </x:c>
      <x:c r="N722" s="192" t="n">
        <x:v>300</x:v>
      </x:c>
      <x:c r="O722" s="192" t="n">
        <x:v>25</x:v>
      </x:c>
      <x:c r="P722" s="193" t="b">
        <x:v>0</x:v>
      </x:c>
      <x:c r="Q722" s="193" t="b">
        <x:v>0</x:v>
      </x:c>
      <x:c r="R722" s="193" t="b">
        <x:v>1</x:v>
      </x:c>
      <x:c r="S722" s="193" t="b">
        <x:v>0</x:v>
      </x:c>
      <x:c r="T722" s="192" t="n">
        <x:v>81</x:v>
      </x:c>
      <x:c r="U722" s="192" t="n">
        <x:v>9</x:v>
      </x:c>
      <x:c r="V722" s="200" t="n">
        <x:v>0.1</x:v>
      </x:c>
      <x:c r="W722" s="203" t="n">
        <x:v>700</x:v>
      </x:c>
      <x:c r="X722" s="203" t="n">
        <x:v>6377.6364803959</x:v>
      </x:c>
      <x:c r="Y722" s="203" t="n">
        <x:v>16488.8476503569</x:v>
      </x:c>
      <x:c r="Z722" s="193" t="b">
        <x:v>1</x:v>
      </x:c>
      <x:c r="AA722" s="193" t="b">
        <x:v>0</x:v>
      </x:c>
      <x:c r="AB722" s="193" t="b">
        <x:v>1</x:v>
      </x:c>
      <x:c r="AC722" s="193" t="b">
        <x:v>1</x:v>
      </x:c>
      <x:c r="AD722" s="193" t="b">
        <x:v>1</x:v>
      </x:c>
      <x:c r="AE722" s="193" t="b">
        <x:v>0</x:v>
      </x:c>
      <x:c r="AF722" s="193" t="b">
        <x:v>1</x:v>
      </x:c>
      <x:c r="AG722" s="193" t="b">
        <x:v>1</x:v>
      </x:c>
      <x:c r="AH722" s="193" t="b">
        <x:v>1</x:v>
      </x:c>
      <x:c r="AI722" s="193" t="b">
        <x:v>1</x:v>
      </x:c>
      <x:c r="AJ722" s="193" t="b">
        <x:v>1</x:v>
      </x:c>
    </x:row>
    <x:row r="723">
      <x:c r="A723" s="192" t="n">
        <x:v>32600458</x:v>
      </x:c>
      <x:c r="B723" s="192" t="str">
        <x:v>https://www.airbnb.com.br/rooms/32600458</x:v>
      </x:c>
      <x:c r="C723" s="192" t="str">
        <x:v>Excelente apto beira mar- Itapema  -Meia Praia- SC</x:v>
      </x:c>
      <x:c r="D723" s="192" t="str">
        <x:v>Meia Praia</x:v>
      </x:c>
      <x:c r="E723" s="192" t="n">
        <x:v>-27.13826</x:v>
      </x:c>
      <x:c r="F723" s="192" t="n">
        <x:v>-48.59214</x:v>
      </x:c>
      <x:c r="G723" s="192" t="str">
        <x:v>apartamento</x:v>
      </x:c>
      <x:c r="H723" s="192" t="n">
        <x:v>3</x:v>
      </x:c>
      <x:c r="I723" s="192" t="n">
        <x:v>3</x:v>
      </x:c>
      <x:c r="J723" s="192" t="n">
        <x:v>4</x:v>
      </x:c>
      <x:c r="K723" s="192" t="n">
        <x:v>8</x:v>
      </x:c>
      <x:c r="L723" s="192" t="n">
        <x:v>31</x:v>
      </x:c>
      <x:c r="M723" s="192" t="n">
        <x:v>4.9000000954</x:v>
      </x:c>
      <x:c r="N723" s="192" t="n">
        <x:v>350</x:v>
      </x:c>
      <x:c r="O723" s="192" t="n">
        <x:v>11</x:v>
      </x:c>
      <x:c r="P723" s="193" t="b">
        <x:v>0</x:v>
      </x:c>
      <x:c r="Q723" s="193" t="b">
        <x:v>0</x:v>
      </x:c>
      <x:c r="R723" s="193" t="b">
        <x:v>1</x:v>
      </x:c>
      <x:c r="S723" s="193" t="b">
        <x:v>1</x:v>
      </x:c>
      <x:c r="T723" s="192" t="n">
        <x:v>38</x:v>
      </x:c>
      <x:c r="U723" s="192" t="n">
        <x:v>52</x:v>
      </x:c>
      <x:c r="V723" s="200" t="n">
        <x:v>0.5777777778</x:v>
      </x:c>
      <x:c r="W723" s="203" t="n">
        <x:v>500</x:v>
      </x:c>
      <x:c r="X723" s="203" t="n">
        <x:v>26661.420581441</x:v>
      </x:c>
      <x:c r="Y723" s="203" t="n">
        <x:v>68930.8811282671</x:v>
      </x:c>
      <x:c r="Z723" s="193" t="b">
        <x:v>0</x:v>
      </x:c>
      <x:c r="AA723" s="193" t="b">
        <x:v>0</x:v>
      </x:c>
      <x:c r="AB723" s="193" t="b">
        <x:v>1</x:v>
      </x:c>
      <x:c r="AC723" s="193" t="b">
        <x:v>1</x:v>
      </x:c>
      <x:c r="AD723" s="193" t="b">
        <x:v>1</x:v>
      </x:c>
      <x:c r="AE723" s="193" t="b">
        <x:v>1</x:v>
      </x:c>
      <x:c r="AF723" s="193" t="b">
        <x:v>1</x:v>
      </x:c>
      <x:c r="AG723" s="193" t="b">
        <x:v>1</x:v>
      </x:c>
      <x:c r="AH723" s="193" t="b">
        <x:v>1</x:v>
      </x:c>
      <x:c r="AI723" s="193" t="b">
        <x:v>1</x:v>
      </x:c>
      <x:c r="AJ723" s="193" t="b">
        <x:v>1</x:v>
      </x:c>
    </x:row>
    <x:row r="724">
      <x:c r="A724" s="192" t="n">
        <x:v>10982940</x:v>
      </x:c>
      <x:c r="B724" s="192" t="str">
        <x:v>https://www.airbnb.com.br/rooms/10982940</x:v>
      </x:c>
      <x:c r="C724" s="192" t="str">
        <x:v>Alto padrão: 4 suítes, 13 andar, 180m do mar.</x:v>
      </x:c>
      <x:c r="D724" s="192" t="str">
        <x:v>Meia Praia</x:v>
      </x:c>
      <x:c r="E724" s="192" t="n">
        <x:v>-27.14</x:v>
      </x:c>
      <x:c r="F724" s="192" t="n">
        <x:v>-48.59169</x:v>
      </x:c>
      <x:c r="G724" s="192" t="str">
        <x:v>apartamento</x:v>
      </x:c>
      <x:c r="H724" s="192" t="n">
        <x:v>4</x:v>
      </x:c>
      <x:c r="I724" s="192" t="n">
        <x:v>4</x:v>
      </x:c>
      <x:c r="J724" s="192" t="n">
        <x:v>5</x:v>
      </x:c>
      <x:c r="K724" s="192" t="n">
        <x:v>8</x:v>
      </x:c>
      <x:c r="L724" s="192" t="n">
        <x:v>7</x:v>
      </x:c>
      <x:c r="M724" s="192" t="n">
        <x:v>5</x:v>
      </x:c>
      <x:c r="N724" s="192" t="n">
        <x:v>300</x:v>
      </x:c>
      <x:c r="O724" s="192" t="n">
        <x:v>35</x:v>
      </x:c>
      <x:c r="P724" s="193" t="b">
        <x:v>0</x:v>
      </x:c>
      <x:c r="Q724" s="193" t="b">
        <x:v>0</x:v>
      </x:c>
      <x:c r="R724" s="193" t="b">
        <x:v>0</x:v>
      </x:c>
      <x:c r="S724" s="193" t="b">
        <x:v>0</x:v>
      </x:c>
      <x:c r="T724" s="192" t="n">
        <x:v>75</x:v>
      </x:c>
      <x:c r="U724" s="192" t="n">
        <x:v>15</x:v>
      </x:c>
      <x:c r="V724" s="200" t="n">
        <x:v>0.1666666667</x:v>
      </x:c>
      <x:c r="W724" s="203" t="n">
        <x:v>1800</x:v>
      </x:c>
      <x:c r="X724" s="203" t="n">
        <x:v>26482.2871799847</x:v>
      </x:c>
      <x:c r="Y724" s="203" t="n">
        <x:v>68467.7466465855</x:v>
      </x:c>
      <x:c r="Z724" s="193" t="b">
        <x:v>1</x:v>
      </x:c>
      <x:c r="AA724" s="193" t="b">
        <x:v>0</x:v>
      </x:c>
      <x:c r="AB724" s="193" t="b">
        <x:v>1</x:v>
      </x:c>
      <x:c r="AC724" s="193" t="b">
        <x:v>1</x:v>
      </x:c>
      <x:c r="AD724" s="193" t="b">
        <x:v>1</x:v>
      </x:c>
      <x:c r="AE724" s="193" t="b">
        <x:v>1</x:v>
      </x:c>
      <x:c r="AF724" s="193" t="b">
        <x:v>1</x:v>
      </x:c>
      <x:c r="AG724" s="193" t="b">
        <x:v>1</x:v>
      </x:c>
      <x:c r="AH724" s="193" t="b">
        <x:v>1</x:v>
      </x:c>
      <x:c r="AI724" s="193" t="b">
        <x:v>1</x:v>
      </x:c>
      <x:c r="AJ724" s="193" t="b">
        <x:v>1</x:v>
      </x:c>
    </x:row>
    <x:row r="725">
      <x:c r="A725" s="192" t="n">
        <x:v>1191261348067720200</x:v>
      </x:c>
      <x:c r="B725" s="192" t="str">
        <x:v>https://www.airbnb.com.br/rooms/1191261348067720296</x:v>
      </x:c>
      <x:c r="C725" s="192" t="str">
        <x:v>Apto elegante 280m da Praia com vista mar MHF1702</x:v>
      </x:c>
      <x:c r="D725" s="192" t="str">
        <x:v>Centro</x:v>
      </x:c>
      <x:c r="E725" s="192" t="n">
        <x:v>-27.0936893</x:v>
      </x:c>
      <x:c r="F725" s="192" t="n">
        <x:v>-48.6131638</x:v>
      </x:c>
      <x:c r="G725" s="192" t="str">
        <x:v>apartamento</x:v>
      </x:c>
      <x:c r="H725" s="192" t="n">
        <x:v>2</x:v>
      </x:c>
      <x:c r="I725" s="192" t="n">
        <x:v>1</x:v>
      </x:c>
      <x:c r="J725" s="192" t="n">
        <x:v>3</x:v>
      </x:c>
      <x:c r="K725" s="192" t="n">
        <x:v>6</x:v>
      </x:c>
      <x:c r="L725" s="192" t="n">
        <x:v>25</x:v>
      </x:c>
      <x:c r="M725" s="192" t="n">
        <x:v>5</x:v>
      </x:c>
      <x:c r="N725" s="192" t="n">
        <x:v>240</x:v>
      </x:c>
      <x:c r="O725" s="192" t="n">
        <x:v>0</x:v>
      </x:c>
      <x:c r="P725" s="193" t="b">
        <x:v>1</x:v>
      </x:c>
      <x:c r="Q725" s="193" t="b">
        <x:v>1</x:v>
      </x:c>
      <x:c r="R725" s="193" t="b">
        <x:v>1</x:v>
      </x:c>
      <x:c r="S725" s="193" t="b">
        <x:v>0</x:v>
      </x:c>
      <x:c r="T725" s="192" t="n">
        <x:v>61</x:v>
      </x:c>
      <x:c r="U725" s="192" t="n">
        <x:v>29</x:v>
      </x:c>
      <x:c r="V725" s="200" t="n">
        <x:v>0.3222222222</x:v>
      </x:c>
      <x:c r="W725" s="203" t="n">
        <x:v>627</x:v>
      </x:c>
      <x:c r="X725" s="203" t="n">
        <x:v>18155.5728338013</x:v>
      </x:c>
      <x:c r="Y725" s="203" t="n">
        <x:v>46939.7205973903</x:v>
      </x:c>
      <x:c r="Z725" s="193" t="b">
        <x:v>1</x:v>
      </x:c>
      <x:c r="AA725" s="193" t="b">
        <x:v>1</x:v>
      </x:c>
      <x:c r="AB725" s="193" t="b">
        <x:v>1</x:v>
      </x:c>
      <x:c r="AC725" s="193" t="b">
        <x:v>0</x:v>
      </x:c>
      <x:c r="AD725" s="193" t="b">
        <x:v>1</x:v>
      </x:c>
      <x:c r="AE725" s="193" t="b">
        <x:v>1</x:v>
      </x:c>
      <x:c r="AF725" s="193" t="b">
        <x:v>1</x:v>
      </x:c>
      <x:c r="AG725" s="193" t="b">
        <x:v>1</x:v>
      </x:c>
      <x:c r="AH725" s="193" t="b">
        <x:v>1</x:v>
      </x:c>
      <x:c r="AI725" s="193" t="b">
        <x:v>1</x:v>
      </x:c>
      <x:c r="AJ725" s="193" t="b">
        <x:v>0</x:v>
      </x:c>
    </x:row>
    <x:row r="726">
      <x:c r="A726" s="192" t="n">
        <x:v>34866449</x:v>
      </x:c>
      <x:c r="B726" s="192" t="str">
        <x:v>https://www.airbnb.com.br/rooms/34866449</x:v>
      </x:c>
      <x:c r="C726" s="192" t="str">
        <x:v>Excelente apto  há 80 mts do mar em  Meia Praia</x:v>
      </x:c>
      <x:c r="D726" s="192" t="str">
        <x:v>Meia Praia</x:v>
      </x:c>
      <x:c r="E726" s="192" t="n">
        <x:v>-27.14122</x:v>
      </x:c>
      <x:c r="F726" s="192" t="n">
        <x:v>-48.59192</x:v>
      </x:c>
      <x:c r="G726" s="192" t="str">
        <x:v>apartamento</x:v>
      </x:c>
      <x:c r="H726" s="192" t="n">
        <x:v>3</x:v>
      </x:c>
      <x:c r="I726" s="192" t="n">
        <x:v>2</x:v>
      </x:c>
      <x:c r="J726" s="192" t="n">
        <x:v>4</x:v>
      </x:c>
      <x:c r="K726" s="192" t="n">
        <x:v>8</x:v>
      </x:c>
      <x:c r="L726" s="192" t="n">
        <x:v>23</x:v>
      </x:c>
      <x:c r="M726" s="192" t="n">
        <x:v>4.8299999237</x:v>
      </x:c>
      <x:c r="N726" s="192" t="n">
        <x:v>150</x:v>
      </x:c>
      <x:c r="O726" s="192" t="n">
        <x:v>22</x:v>
      </x:c>
      <x:c r="P726" s="193" t="b">
        <x:v>0</x:v>
      </x:c>
      <x:c r="Q726" s="193" t="b">
        <x:v>0</x:v>
      </x:c>
      <x:c r="R726" s="193" t="b">
        <x:v>1</x:v>
      </x:c>
      <x:c r="S726" s="193" t="b">
        <x:v>0</x:v>
      </x:c>
      <x:c r="T726" s="192" t="n">
        <x:v>59</x:v>
      </x:c>
      <x:c r="U726" s="192" t="n">
        <x:v>31</x:v>
      </x:c>
      <x:c r="V726" s="200" t="n">
        <x:v>0.3444444444</x:v>
      </x:c>
      <x:c r="W726" s="203" t="n">
        <x:v>400</x:v>
      </x:c>
      <x:c r="X726" s="203" t="n">
        <x:v>12280.842429588</x:v>
      </x:c>
      <x:c r="Y726" s="203" t="n">
        <x:v>31751.0946981639</x:v>
      </x:c>
      <x:c r="Z726" s="193" t="b">
        <x:v>1</x:v>
      </x:c>
      <x:c r="AA726" s="193" t="b">
        <x:v>0</x:v>
      </x:c>
      <x:c r="AB726" s="193" t="b">
        <x:v>1</x:v>
      </x:c>
      <x:c r="AC726" s="193" t="b">
        <x:v>1</x:v>
      </x:c>
      <x:c r="AD726" s="193" t="b">
        <x:v>0</x:v>
      </x:c>
      <x:c r="AE726" s="193" t="b">
        <x:v>0</x:v>
      </x:c>
      <x:c r="AF726" s="193" t="b">
        <x:v>1</x:v>
      </x:c>
      <x:c r="AG726" s="193" t="b">
        <x:v>1</x:v>
      </x:c>
      <x:c r="AH726" s="193" t="b">
        <x:v>1</x:v>
      </x:c>
      <x:c r="AI726" s="193" t="b">
        <x:v>1</x:v>
      </x:c>
      <x:c r="AJ726" s="193" t="b">
        <x:v>1</x:v>
      </x:c>
    </x:row>
    <x:row r="727">
      <x:c r="A727" s="192" t="n">
        <x:v>1088251024341369600</x:v>
      </x:c>
      <x:c r="B727" s="192" t="str">
        <x:v>https://www.airbnb.com.br/rooms/1088251024341369589</x:v>
      </x:c>
      <x:c r="C727" s="192" t="str">
        <x:v>Apartamento novo Gran Safira</x:v>
      </x:c>
      <x:c r="D727" s="192" t="str">
        <x:v>Morretes</x:v>
      </x:c>
      <x:c r="E727" s="192" t="n">
        <x:v>-27.1189994812</x:v>
      </x:c>
      <x:c r="F727" s="192" t="n">
        <x:v>-48.6100006104</x:v>
      </x:c>
      <x:c r="G727" s="192" t="str">
        <x:v>apartamento</x:v>
      </x:c>
      <x:c r="H727" s="192" t="n">
        <x:v>2</x:v>
      </x:c>
      <x:c r="I727" s="192" t="n">
        <x:v>3</x:v>
      </x:c>
      <x:c r="J727" s="192" t="n">
        <x:v>2</x:v>
      </x:c>
      <x:c r="K727" s="192" t="n">
        <x:v>5</x:v>
      </x:c>
      <x:c r="L727" s="192" t="n">
        <x:v>16</x:v>
      </x:c>
      <x:c r="M727" s="192" t="n">
        <x:v>4.8800001144</x:v>
      </x:c>
      <x:c r="N727" s="192" t="n">
        <x:v>0</x:v>
      </x:c>
      <x:c r="O727" s="192" t="n">
        <x:v>13</x:v>
      </x:c>
      <x:c r="P727" s="193" t="b">
        <x:v>0</x:v>
      </x:c>
      <x:c r="Q727" s="193" t="b">
        <x:v>0</x:v>
      </x:c>
      <x:c r="R727" s="193" t="b">
        <x:v>1</x:v>
      </x:c>
      <x:c r="S727" s="193" t="b">
        <x:v>1</x:v>
      </x:c>
      <x:c r="T727" s="192" t="n">
        <x:v>14</x:v>
      </x:c>
      <x:c r="U727" s="192" t="n">
        <x:v>76</x:v>
      </x:c>
      <x:c r="V727" s="200" t="n">
        <x:v>0.8444444444</x:v>
      </x:c>
      <x:c r="W727" s="203" t="n">
        <x:v>600</x:v>
      </x:c>
      <x:c r="X727" s="203" t="n">
        <x:v>45715.5984083681</x:v>
      </x:c>
      <x:c r="Y727" s="203" t="n">
        <x:v>118193.8700516351</x:v>
      </x:c>
      <x:c r="Z727" s="193" t="b">
        <x:v>0</x:v>
      </x:c>
      <x:c r="AA727" s="193" t="b">
        <x:v>0</x:v>
      </x:c>
      <x:c r="AB727" s="193" t="b">
        <x:v>1</x:v>
      </x:c>
      <x:c r="AC727" s="193" t="b">
        <x:v>1</x:v>
      </x:c>
      <x:c r="AD727" s="193" t="b">
        <x:v>0</x:v>
      </x:c>
      <x:c r="AE727" s="193" t="b">
        <x:v>1</x:v>
      </x:c>
      <x:c r="AF727" s="193" t="b">
        <x:v>1</x:v>
      </x:c>
      <x:c r="AG727" s="193" t="b">
        <x:v>1</x:v>
      </x:c>
      <x:c r="AH727" s="193" t="b">
        <x:v>1</x:v>
      </x:c>
      <x:c r="AI727" s="193" t="b">
        <x:v>1</x:v>
      </x:c>
      <x:c r="AJ727" s="193" t="b">
        <x:v>0</x:v>
      </x:c>
    </x:row>
    <x:row r="728">
      <x:c r="A728" s="192" t="n">
        <x:v>754141022905987500</x:v>
      </x:c>
      <x:c r="B728" s="192" t="str">
        <x:v>https://www.airbnb.com.br/rooms/754141022905987471</x:v>
      </x:c>
      <x:c r="C728" s="192" t="str">
        <x:v>Apartamento Meia Praia</x:v>
      </x:c>
      <x:c r="D728" s="192" t="str">
        <x:v>Meia Praia</x:v>
      </x:c>
      <x:c r="E728" s="192" t="n">
        <x:v>-27.1267204285</x:v>
      </x:c>
      <x:c r="F728" s="192" t="n">
        <x:v>-48.6050186157</x:v>
      </x:c>
      <x:c r="G728" s="192" t="str">
        <x:v>apartamento</x:v>
      </x:c>
      <x:c r="H728" s="192" t="n">
        <x:v>3</x:v>
      </x:c>
      <x:c r="I728" s="192" t="n">
        <x:v>2</x:v>
      </x:c>
      <x:c r="J728" s="192" t="n">
        <x:v>4</x:v>
      </x:c>
      <x:c r="K728" s="192" t="n">
        <x:v>8</x:v>
      </x:c>
      <x:c r="L728" s="192" t="n">
        <x:v>15</x:v>
      </x:c>
      <x:c r="M728" s="192" t="n">
        <x:v>4.9299998283</x:v>
      </x:c>
      <x:c r="N728" s="192" t="n">
        <x:v>250</x:v>
      </x:c>
      <x:c r="O728" s="192" t="n">
        <x:v>17</x:v>
      </x:c>
      <x:c r="P728" s="193" t="b">
        <x:v>0</x:v>
      </x:c>
      <x:c r="Q728" s="193" t="b">
        <x:v>0</x:v>
      </x:c>
      <x:c r="R728" s="193" t="b">
        <x:v>1</x:v>
      </x:c>
      <x:c r="S728" s="193" t="b">
        <x:v>1</x:v>
      </x:c>
      <x:c r="T728" s="192" t="n">
        <x:v>80</x:v>
      </x:c>
      <x:c r="U728" s="192" t="n">
        <x:v>10</x:v>
      </x:c>
      <x:c r="V728" s="200" t="n">
        <x:v>0.1111111111</x:v>
      </x:c>
      <x:c r="W728" s="203" t="n">
        <x:v>600</x:v>
      </x:c>
      <x:c r="X728" s="203" t="n">
        <x:v>6075.290371984</x:v>
      </x:c>
      <x:c r="Y728" s="203" t="n">
        <x:v>15707.1569825669</x:v>
      </x:c>
      <x:c r="Z728" s="193" t="b">
        <x:v>1</x:v>
      </x:c>
      <x:c r="AA728" s="193" t="b">
        <x:v>0</x:v>
      </x:c>
      <x:c r="AB728" s="193" t="b">
        <x:v>1</x:v>
      </x:c>
      <x:c r="AC728" s="193" t="b">
        <x:v>1</x:v>
      </x:c>
      <x:c r="AD728" s="193" t="b">
        <x:v>1</x:v>
      </x:c>
      <x:c r="AE728" s="193" t="b">
        <x:v>1</x:v>
      </x:c>
      <x:c r="AF728" s="193" t="b">
        <x:v>1</x:v>
      </x:c>
      <x:c r="AG728" s="193" t="b">
        <x:v>1</x:v>
      </x:c>
      <x:c r="AH728" s="193" t="b">
        <x:v>1</x:v>
      </x:c>
      <x:c r="AI728" s="193" t="b">
        <x:v>1</x:v>
      </x:c>
      <x:c r="AJ728" s="193" t="b">
        <x:v>1</x:v>
      </x:c>
    </x:row>
    <x:row r="729">
      <x:c r="A729" s="192" t="n">
        <x:v>1045077329214831700</x:v>
      </x:c>
      <x:c r="B729" s="192" t="str">
        <x:v>https://www.airbnb.com.br/rooms/1045077329214831775</x:v>
      </x:c>
      <x:c r="C729" s="192" t="str">
        <x:v>Casa completa aconchegante</x:v>
      </x:c>
      <x:c r="D729" s="192" t="str">
        <x:v>Morretes</x:v>
      </x:c>
      <x:c r="E729" s="192" t="n">
        <x:v>-27.12212</x:v>
      </x:c>
      <x:c r="F729" s="192" t="n">
        <x:v>-48.61756</x:v>
      </x:c>
      <x:c r="G729" s="192" t="str">
        <x:v>casa</x:v>
      </x:c>
      <x:c r="H729" s="192" t="n">
        <x:v>2</x:v>
      </x:c>
      <x:c r="I729" s="192" t="n">
        <x:v>2</x:v>
      </x:c>
      <x:c r="J729" s="192" t="n">
        <x:v>2</x:v>
      </x:c>
      <x:c r="K729" s="192" t="n">
        <x:v>8</x:v>
      </x:c>
      <x:c r="L729" s="192" t="n">
        <x:v>1</x:v>
      </x:c>
      <x:c r="M729" s="192" t="n">
        <x:v>5</x:v>
      </x:c>
      <x:c r="N729" s="192" t="n">
        <x:v>160</x:v>
      </x:c>
      <x:c r="O729" s="192" t="n">
        <x:v>22</x:v>
      </x:c>
      <x:c r="P729" s="193" t="b">
        <x:v>1</x:v>
      </x:c>
      <x:c r="Q729" s="193" t="b">
        <x:v>0</x:v>
      </x:c>
      <x:c r="R729" s="193" t="b">
        <x:v>0</x:v>
      </x:c>
      <x:c r="S729" s="193" t="b">
        <x:v>1</x:v>
      </x:c>
      <x:c r="T729" s="192" t="n">
        <x:v>31</x:v>
      </x:c>
      <x:c r="U729" s="192" t="n">
        <x:v>59</x:v>
      </x:c>
      <x:c r="V729" s="200" t="n">
        <x:v>0.6555555556</x:v>
      </x:c>
      <x:c r="W729" s="203" t="n">
        <x:v>800</x:v>
      </x:c>
      <x:c r="X729" s="203" t="n">
        <x:v>48567.305907121</x:v>
      </x:c>
      <x:c r="Y729" s="203" t="n">
        <x:v>125566.722147369</x:v>
      </x:c>
      <x:c r="Z729" s="193" t="b">
        <x:v>0</x:v>
      </x:c>
      <x:c r="AA729" s="193" t="b">
        <x:v>0</x:v>
      </x:c>
      <x:c r="AB729" s="193" t="b">
        <x:v>1</x:v>
      </x:c>
      <x:c r="AC729" s="193" t="b">
        <x:v>1</x:v>
      </x:c>
      <x:c r="AD729" s="193" t="b">
        <x:v>0</x:v>
      </x:c>
      <x:c r="AE729" s="193" t="b">
        <x:v>0</x:v>
      </x:c>
      <x:c r="AF729" s="193" t="b">
        <x:v>1</x:v>
      </x:c>
      <x:c r="AG729" s="193" t="b">
        <x:v>1</x:v>
      </x:c>
      <x:c r="AH729" s="193" t="b">
        <x:v>1</x:v>
      </x:c>
      <x:c r="AI729" s="193" t="b">
        <x:v>1</x:v>
      </x:c>
      <x:c r="AJ729" s="193" t="b">
        <x:v>0</x:v>
      </x:c>
    </x:row>
    <x:row r="730">
      <x:c r="A730" s="192" t="n">
        <x:v>735732850757918600</x:v>
      </x:c>
      <x:c r="B730" s="192" t="str">
        <x:v>https://www.airbnb.com.br/rooms/735732850757918650</x:v>
      </x:c>
      <x:c r="C730" s="192" t="str">
        <x:v>Beira Mar em Itapema, com 2 vagas e Churrasqueira!</x:v>
      </x:c>
      <x:c r="D730" s="192" t="str">
        <x:v>Meia Praia</x:v>
      </x:c>
      <x:c r="E730" s="192" t="n">
        <x:v>-27.1243572235</x:v>
      </x:c>
      <x:c r="F730" s="192" t="n">
        <x:v>-48.6038894653</x:v>
      </x:c>
      <x:c r="G730" s="192" t="str">
        <x:v>apartamento</x:v>
      </x:c>
      <x:c r="H730" s="192" t="n">
        <x:v>3</x:v>
      </x:c>
      <x:c r="I730" s="192" t="n">
        <x:v>2</x:v>
      </x:c>
      <x:c r="J730" s="192" t="n">
        <x:v>3</x:v>
      </x:c>
      <x:c r="K730" s="192" t="n">
        <x:v>6</x:v>
      </x:c>
      <x:c r="L730" s="192" t="n">
        <x:v>15</x:v>
      </x:c>
      <x:c r="M730" s="192" t="n">
        <x:v>4.7300000191</x:v>
      </x:c>
      <x:c r="N730" s="192" t="n">
        <x:v>200</x:v>
      </x:c>
      <x:c r="O730" s="192" t="n">
        <x:v>43</x:v>
      </x:c>
      <x:c r="P730" s="193" t="b">
        <x:v>1</x:v>
      </x:c>
      <x:c r="Q730" s="193" t="b">
        <x:v>1</x:v>
      </x:c>
      <x:c r="R730" s="193" t="b">
        <x:v>0</x:v>
      </x:c>
      <x:c r="S730" s="193" t="b">
        <x:v>1</x:v>
      </x:c>
      <x:c r="T730" s="192" t="n">
        <x:v>35</x:v>
      </x:c>
      <x:c r="U730" s="192" t="n">
        <x:v>55</x:v>
      </x:c>
      <x:c r="V730" s="200" t="n">
        <x:v>0.6111111111</x:v>
      </x:c>
      <x:c r="W730" s="203" t="n">
        <x:v>927.6667</x:v>
      </x:c>
      <x:c r="X730" s="203" t="n">
        <x:v>50349.8000485878</x:v>
      </x:c>
      <x:c r="Y730" s="203" t="n">
        <x:v>130175.2122089531</x:v>
      </x:c>
      <x:c r="Z730" s="193" t="b">
        <x:v>0</x:v>
      </x:c>
      <x:c r="AA730" s="193" t="b">
        <x:v>0</x:v>
      </x:c>
      <x:c r="AB730" s="193" t="b">
        <x:v>1</x:v>
      </x:c>
      <x:c r="AC730" s="193" t="b">
        <x:v>1</x:v>
      </x:c>
      <x:c r="AD730" s="193" t="b">
        <x:v>1</x:v>
      </x:c>
      <x:c r="AE730" s="193" t="b">
        <x:v>1</x:v>
      </x:c>
      <x:c r="AF730" s="193" t="b">
        <x:v>1</x:v>
      </x:c>
      <x:c r="AG730" s="193" t="b">
        <x:v>1</x:v>
      </x:c>
      <x:c r="AH730" s="193" t="b">
        <x:v>1</x:v>
      </x:c>
      <x:c r="AI730" s="193" t="b">
        <x:v>1</x:v>
      </x:c>
      <x:c r="AJ730" s="193" t="b">
        <x:v>1</x:v>
      </x:c>
    </x:row>
    <x:row r="731">
      <x:c r="A731" s="192" t="n">
        <x:v>1015691857467598500</x:v>
      </x:c>
      <x:c r="B731" s="192" t="str">
        <x:v>https://www.airbnb.com.br/rooms/1015691857467598452</x:v>
      </x:c>
      <x:c r="C731" s="192" t="str">
        <x:v>(321) Costa Mare alto padrão</x:v>
      </x:c>
      <x:c r="D731" s="192" t="str">
        <x:v>Meia Praia</x:v>
      </x:c>
      <x:c r="E731" s="192" t="n">
        <x:v>-27.145</x:v>
      </x:c>
      <x:c r="F731" s="192" t="n">
        <x:v>-48.58943</x:v>
      </x:c>
      <x:c r="G731" s="192" t="str">
        <x:v>apartamento</x:v>
      </x:c>
      <x:c r="H731" s="192" t="n">
        <x:v>3</x:v>
      </x:c>
      <x:c r="I731" s="192" t="n">
        <x:v>2</x:v>
      </x:c>
      <x:c r="J731" s="192" t="n">
        <x:v>3</x:v>
      </x:c>
      <x:c r="K731" s="192" t="n">
        <x:v>6</x:v>
      </x:c>
      <x:c r="L731" s="192" t="n">
        <x:v>21</x:v>
      </x:c>
      <x:c r="M731" s="192" t="n">
        <x:v>5</x:v>
      </x:c>
      <x:c r="N731" s="192" t="n">
        <x:v>250</x:v>
      </x:c>
      <x:c r="O731" s="192" t="n">
        <x:v>44</x:v>
      </x:c>
      <x:c r="P731" s="193" t="b">
        <x:v>0</x:v>
      </x:c>
      <x:c r="Q731" s="193" t="b">
        <x:v>1</x:v>
      </x:c>
      <x:c r="R731" s="193" t="b">
        <x:v>1</x:v>
      </x:c>
      <x:c r="S731" s="193" t="b">
        <x:v>1</x:v>
      </x:c>
      <x:c r="T731" s="192" t="n">
        <x:v>54</x:v>
      </x:c>
      <x:c r="U731" s="192" t="n">
        <x:v>36</x:v>
      </x:c>
      <x:c r="V731" s="200" t="n">
        <x:v>0.4</x:v>
      </x:c>
      <x:c r="W731" s="203" t="n">
        <x:v>1296</x:v>
      </x:c>
      <x:c r="X731" s="203" t="n">
        <x:v>44739.1290997605</x:v>
      </x:c>
      <x:c r="Y731" s="203" t="n">
        <x:v>115669.2900266724</x:v>
      </x:c>
      <x:c r="Z731" s="193" t="b">
        <x:v>1</x:v>
      </x:c>
      <x:c r="AA731" s="193" t="b">
        <x:v>0</x:v>
      </x:c>
      <x:c r="AB731" s="193" t="b">
        <x:v>0</x:v>
      </x:c>
      <x:c r="AC731" s="193" t="b">
        <x:v>1</x:v>
      </x:c>
      <x:c r="AD731" s="193" t="b">
        <x:v>0</x:v>
      </x:c>
      <x:c r="AE731" s="193" t="b">
        <x:v>1</x:v>
      </x:c>
      <x:c r="AF731" s="193" t="b">
        <x:v>0</x:v>
      </x:c>
      <x:c r="AG731" s="193" t="b">
        <x:v>1</x:v>
      </x:c>
      <x:c r="AH731" s="193" t="b">
        <x:v>1</x:v>
      </x:c>
      <x:c r="AI731" s="193" t="b">
        <x:v>1</x:v>
      </x:c>
      <x:c r="AJ731" s="193" t="b">
        <x:v>0</x:v>
      </x:c>
    </x:row>
    <x:row r="732">
      <x:c r="A732" s="192" t="n">
        <x:v>911476333007658800</x:v>
      </x:c>
      <x:c r="B732" s="192" t="str">
        <x:v>https://www.airbnb.com.br/rooms/911476333007658783</x:v>
      </x:c>
      <x:c r="C732" s="192" t="str">
        <x:v>Apto quadra mar e avenida.</x:v>
      </x:c>
      <x:c r="D732" s="192" t="str">
        <x:v>Meia Praia</x:v>
      </x:c>
      <x:c r="E732" s="192" t="n">
        <x:v>-27.1410007477</x:v>
      </x:c>
      <x:c r="F732" s="192" t="n">
        <x:v>-48.5929985046</x:v>
      </x:c>
      <x:c r="G732" s="192" t="str">
        <x:v>apartamento</x:v>
      </x:c>
      <x:c r="H732" s="192" t="n">
        <x:v>2</x:v>
      </x:c>
      <x:c r="I732" s="192" t="n">
        <x:v>2</x:v>
      </x:c>
      <x:c r="J732" s="192" t="n">
        <x:v>2</x:v>
      </x:c>
      <x:c r="K732" s="192" t="n">
        <x:v>8</x:v>
      </x:c>
      <x:c r="L732" s="192" t="n">
        <x:v>65</x:v>
      </x:c>
      <x:c r="M732" s="192" t="n">
        <x:v>4.6300001144</x:v>
      </x:c>
      <x:c r="N732" s="192" t="n">
        <x:v>160</x:v>
      </x:c>
      <x:c r="O732" s="192" t="n">
        <x:v>23</x:v>
      </x:c>
      <x:c r="P732" s="193" t="b">
        <x:v>0</x:v>
      </x:c>
      <x:c r="Q732" s="193" t="b">
        <x:v>0</x:v>
      </x:c>
      <x:c r="R732" s="193" t="b">
        <x:v>0</x:v>
      </x:c>
      <x:c r="S732" s="193" t="b">
        <x:v>0</x:v>
      </x:c>
      <x:c r="T732" s="192" t="n">
        <x:v>53</x:v>
      </x:c>
      <x:c r="U732" s="192" t="n">
        <x:v>37</x:v>
      </x:c>
      <x:c r="V732" s="200" t="n">
        <x:v>0.4111111111</x:v>
      </x:c>
      <x:c r="W732" s="203" t="n">
        <x:v>250</x:v>
      </x:c>
      <x:c r="X732" s="203" t="n">
        <x:v>9463.1977985786</x:v>
      </x:c>
      <x:c r="Y732" s="203" t="n">
        <x:v>24466.3093084083</x:v>
      </x:c>
      <x:c r="Z732" s="193" t="b">
        <x:v>1</x:v>
      </x:c>
      <x:c r="AA732" s="193" t="b">
        <x:v>0</x:v>
      </x:c>
      <x:c r="AB732" s="193" t="b">
        <x:v>1</x:v>
      </x:c>
      <x:c r="AC732" s="193" t="b">
        <x:v>1</x:v>
      </x:c>
      <x:c r="AD732" s="193" t="b">
        <x:v>1</x:v>
      </x:c>
      <x:c r="AE732" s="193" t="b">
        <x:v>0</x:v>
      </x:c>
      <x:c r="AF732" s="193" t="b">
        <x:v>0</x:v>
      </x:c>
      <x:c r="AG732" s="193" t="b">
        <x:v>1</x:v>
      </x:c>
      <x:c r="AH732" s="193" t="b">
        <x:v>1</x:v>
      </x:c>
      <x:c r="AI732" s="193" t="b">
        <x:v>1</x:v>
      </x:c>
      <x:c r="AJ732" s="193" t="b">
        <x:v>0</x:v>
      </x:c>
    </x:row>
    <x:row r="733">
      <x:c r="A733" s="192" t="n">
        <x:v>897144549301156900</x:v>
      </x:c>
      <x:c r="B733" s="192" t="str">
        <x:v>https://www.airbnb.com.br/rooms/897144549301156856</x:v>
      </x:c>
      <x:c r="C733" s="192" t="str">
        <x:v>Apto na Avenida principal com vista para o mar</x:v>
      </x:c>
      <x:c r="D733" s="192" t="str">
        <x:v>Meia Praia</x:v>
      </x:c>
      <x:c r="E733" s="192" t="n">
        <x:v>-27.1299591064</x:v>
      </x:c>
      <x:c r="F733" s="192" t="n">
        <x:v>-48.6005516052</x:v>
      </x:c>
      <x:c r="G733" s="192" t="str">
        <x:v>apartamento</x:v>
      </x:c>
      <x:c r="H733" s="192" t="n">
        <x:v>3</x:v>
      </x:c>
      <x:c r="I733" s="192" t="n">
        <x:v>2</x:v>
      </x:c>
      <x:c r="J733" s="192" t="n">
        <x:v>4</x:v>
      </x:c>
      <x:c r="K733" s="192" t="n">
        <x:v>6</x:v>
      </x:c>
      <x:c r="L733" s="192" t="n">
        <x:v>10</x:v>
      </x:c>
      <x:c r="M733" s="192" t="n">
        <x:v>5</x:v>
      </x:c>
      <x:c r="N733" s="192" t="n">
        <x:v>200</x:v>
      </x:c>
      <x:c r="O733" s="192" t="n">
        <x:v>15</x:v>
      </x:c>
      <x:c r="P733" s="193" t="b">
        <x:v>0</x:v>
      </x:c>
      <x:c r="Q733" s="193" t="b">
        <x:v>0</x:v>
      </x:c>
      <x:c r="R733" s="193" t="b">
        <x:v>1</x:v>
      </x:c>
      <x:c r="S733" s="193" t="b">
        <x:v>1</x:v>
      </x:c>
      <x:c r="T733" s="192" t="n">
        <x:v>27</x:v>
      </x:c>
      <x:c r="U733" s="192" t="n">
        <x:v>63</x:v>
      </x:c>
      <x:c r="V733" s="200" t="n">
        <x:v>0.7</x:v>
      </x:c>
      <x:c r="W733" s="203" t="n">
        <x:v>850</x:v>
      </x:c>
      <x:c r="X733" s="203" t="n">
        <x:v>51548.8002796066</x:v>
      </x:c>
      <x:c r="Y733" s="203" t="n">
        <x:v>133275.1273895661</x:v>
      </x:c>
      <x:c r="Z733" s="193" t="b">
        <x:v>0</x:v>
      </x:c>
      <x:c r="AA733" s="193" t="b">
        <x:v>0</x:v>
      </x:c>
      <x:c r="AB733" s="193" t="b">
        <x:v>1</x:v>
      </x:c>
      <x:c r="AC733" s="193" t="b">
        <x:v>1</x:v>
      </x:c>
      <x:c r="AD733" s="193" t="b">
        <x:v>0</x:v>
      </x:c>
      <x:c r="AE733" s="193" t="b">
        <x:v>0</x:v>
      </x:c>
      <x:c r="AF733" s="193" t="b">
        <x:v>1</x:v>
      </x:c>
      <x:c r="AG733" s="193" t="b">
        <x:v>1</x:v>
      </x:c>
      <x:c r="AH733" s="193" t="b">
        <x:v>1</x:v>
      </x:c>
      <x:c r="AI733" s="193" t="b">
        <x:v>1</x:v>
      </x:c>
      <x:c r="AJ733" s="193" t="b">
        <x:v>1</x:v>
      </x:c>
    </x:row>
    <x:row r="734">
      <x:c r="A734" s="192" t="n">
        <x:v>1037047027853582000</x:v>
      </x:c>
      <x:c r="B734" s="192" t="str">
        <x:v>https://www.airbnb.com.br/rooms/1037047027853581998</x:v>
      </x:c>
      <x:c r="C734" s="192" t="str">
        <x:v>Alto padrão e vista de cinema do mar | 2 Suítes</x:v>
      </x:c>
      <x:c r="D734" s="192" t="str">
        <x:v>Centro</x:v>
      </x:c>
      <x:c r="E734" s="192" t="n">
        <x:v>-27.093000412</x:v>
      </x:c>
      <x:c r="F734" s="192" t="n">
        <x:v>-48.6119995117</x:v>
      </x:c>
      <x:c r="G734" s="192" t="str">
        <x:v>apartamento</x:v>
      </x:c>
      <x:c r="H734" s="192" t="n">
        <x:v>2</x:v>
      </x:c>
      <x:c r="I734" s="192" t="n">
        <x:v>2</x:v>
      </x:c>
      <x:c r="J734" s="192" t="n">
        <x:v>2</x:v>
      </x:c>
      <x:c r="K734" s="192" t="n">
        <x:v>5</x:v>
      </x:c>
      <x:c r="L734" s="192" t="n">
        <x:v>17</x:v>
      </x:c>
      <x:c r="M734" s="192" t="n">
        <x:v>4.8800001144</x:v>
      </x:c>
      <x:c r="N734" s="192" t="n">
        <x:v>250</x:v>
      </x:c>
      <x:c r="O734" s="192" t="n">
        <x:v>41</x:v>
      </x:c>
      <x:c r="P734" s="193" t="b">
        <x:v>0</x:v>
      </x:c>
      <x:c r="Q734" s="193" t="b">
        <x:v>1</x:v>
      </x:c>
      <x:c r="R734" s="193" t="b">
        <x:v>1</x:v>
      </x:c>
      <x:c r="S734" s="193" t="b">
        <x:v>1</x:v>
      </x:c>
      <x:c r="T734" s="192" t="n">
        <x:v>9</x:v>
      </x:c>
      <x:c r="U734" s="192" t="n">
        <x:v>81</x:v>
      </x:c>
      <x:c r="V734" s="200" t="n">
        <x:v>0.9</x:v>
      </x:c>
      <x:c r="W734" s="203" t="n">
        <x:v>1791</x:v>
      </x:c>
      <x:c r="X734" s="203" t="n">
        <x:v>141868.8636685596</x:v>
      </x:c>
      <x:c r="Y734" s="203" t="n">
        <x:v>366790.1246097553</x:v>
      </x:c>
      <x:c r="Z734" s="193" t="b">
        <x:v>0</x:v>
      </x:c>
      <x:c r="AA734" s="193" t="b">
        <x:v>0</x:v>
      </x:c>
      <x:c r="AB734" s="193" t="b">
        <x:v>1</x:v>
      </x:c>
      <x:c r="AC734" s="193" t="b">
        <x:v>1</x:v>
      </x:c>
      <x:c r="AD734" s="193" t="b">
        <x:v>1</x:v>
      </x:c>
      <x:c r="AE734" s="193" t="b">
        <x:v>1</x:v>
      </x:c>
      <x:c r="AF734" s="193" t="b">
        <x:v>1</x:v>
      </x:c>
      <x:c r="AG734" s="193" t="b">
        <x:v>1</x:v>
      </x:c>
      <x:c r="AH734" s="193" t="b">
        <x:v>1</x:v>
      </x:c>
      <x:c r="AI734" s="193" t="b">
        <x:v>1</x:v>
      </x:c>
      <x:c r="AJ734" s="193" t="b">
        <x:v>1</x:v>
      </x:c>
    </x:row>
    <x:row r="735">
      <x:c r="A735" s="192" t="n">
        <x:v>41141790</x:v>
      </x:c>
      <x:c r="B735" s="192" t="str">
        <x:v>https://www.airbnb.com.br/rooms/41141790</x:v>
      </x:c>
      <x:c r="C735" s="192" t="str">
        <x:v>Lindo apto a 40m da praia.</x:v>
      </x:c>
      <x:c r="D735" s="192" t="str">
        <x:v>Meia Praia</x:v>
      </x:c>
      <x:c r="E735" s="192" t="n">
        <x:v>-27.13362</x:v>
      </x:c>
      <x:c r="F735" s="192" t="n">
        <x:v>-48.59582</x:v>
      </x:c>
      <x:c r="G735" s="192" t="str">
        <x:v>apartamento</x:v>
      </x:c>
      <x:c r="H735" s="192" t="n">
        <x:v>3</x:v>
      </x:c>
      <x:c r="I735" s="192" t="n">
        <x:v>2</x:v>
      </x:c>
      <x:c r="J735" s="192" t="n">
        <x:v>3</x:v>
      </x:c>
      <x:c r="K735" s="192" t="n">
        <x:v>8</x:v>
      </x:c>
      <x:c r="L735" s="192" t="n">
        <x:v>10</x:v>
      </x:c>
      <x:c r="M735" s="192" t="n">
        <x:v>4.9000000954</x:v>
      </x:c>
      <x:c r="N735" s="192" t="n">
        <x:v>330</x:v>
      </x:c>
      <x:c r="O735" s="192" t="n">
        <x:v>24</x:v>
      </x:c>
      <x:c r="P735" s="193" t="b">
        <x:v>0</x:v>
      </x:c>
      <x:c r="Q735" s="193" t="b">
        <x:v>0</x:v>
      </x:c>
      <x:c r="R735" s="193" t="b">
        <x:v>0</x:v>
      </x:c>
      <x:c r="S735" s="193" t="b">
        <x:v>0</x:v>
      </x:c>
      <x:c r="T735" s="192" t="n">
        <x:v>39</x:v>
      </x:c>
      <x:c r="U735" s="192" t="n">
        <x:v>51</x:v>
      </x:c>
      <x:c r="V735" s="200" t="n">
        <x:v>0.5666666667</x:v>
      </x:c>
      <x:c r="W735" s="203" t="n">
        <x:v>656</x:v>
      </x:c>
      <x:c r="X735" s="203" t="n">
        <x:v>32121.230161882</x:v>
      </x:c>
      <x:c r="Y735" s="203" t="n">
        <x:v>83046.7638143658</x:v>
      </x:c>
      <x:c r="Z735" s="193" t="b">
        <x:v>0</x:v>
      </x:c>
      <x:c r="AA735" s="193" t="b">
        <x:v>0</x:v>
      </x:c>
      <x:c r="AB735" s="193" t="b">
        <x:v>1</x:v>
      </x:c>
      <x:c r="AC735" s="193" t="b">
        <x:v>1</x:v>
      </x:c>
      <x:c r="AD735" s="193" t="b">
        <x:v>0</x:v>
      </x:c>
      <x:c r="AE735" s="193" t="b">
        <x:v>1</x:v>
      </x:c>
      <x:c r="AF735" s="193" t="b">
        <x:v>0</x:v>
      </x:c>
      <x:c r="AG735" s="193" t="b">
        <x:v>1</x:v>
      </x:c>
      <x:c r="AH735" s="193" t="b">
        <x:v>1</x:v>
      </x:c>
      <x:c r="AI735" s="193" t="b">
        <x:v>1</x:v>
      </x:c>
      <x:c r="AJ735" s="193" t="b">
        <x:v>0</x:v>
      </x:c>
    </x:row>
    <x:row r="736">
      <x:c r="A736" s="192" t="n">
        <x:v>41270247</x:v>
      </x:c>
      <x:c r="B736" s="192" t="str">
        <x:v>https://www.airbnb.com.br/rooms/41270247</x:v>
      </x:c>
      <x:c r="C736" s="192" t="str">
        <x:v>Apartamento vista mar todo reformado em Meia Praia</x:v>
      </x:c>
      <x:c r="D736" s="192" t="str">
        <x:v>Meia Praia</x:v>
      </x:c>
      <x:c r="E736" s="192" t="n">
        <x:v>-27.1218795776</x:v>
      </x:c>
      <x:c r="F736" s="192" t="n">
        <x:v>-48.6061210632</x:v>
      </x:c>
      <x:c r="G736" s="192" t="str">
        <x:v>apartamento</x:v>
      </x:c>
      <x:c r="H736" s="192" t="n">
        <x:v>3</x:v>
      </x:c>
      <x:c r="I736" s="192" t="n">
        <x:v>2</x:v>
      </x:c>
      <x:c r="J736" s="192" t="n">
        <x:v>3</x:v>
      </x:c>
      <x:c r="K736" s="192" t="n">
        <x:v>9</x:v>
      </x:c>
      <x:c r="L736" s="192" t="n">
        <x:v>18</x:v>
      </x:c>
      <x:c r="M736" s="192" t="n">
        <x:v>4.8899998665</x:v>
      </x:c>
      <x:c r="N736" s="192" t="n">
        <x:v>250</x:v>
      </x:c>
      <x:c r="O736" s="192" t="n">
        <x:v>21</x:v>
      </x:c>
      <x:c r="P736" s="193" t="b">
        <x:v>0</x:v>
      </x:c>
      <x:c r="Q736" s="193" t="b">
        <x:v>0</x:v>
      </x:c>
      <x:c r="R736" s="193" t="b">
        <x:v>1</x:v>
      </x:c>
      <x:c r="S736" s="193" t="b">
        <x:v>1</x:v>
      </x:c>
      <x:c r="T736" s="192" t="n">
        <x:v>20</x:v>
      </x:c>
      <x:c r="U736" s="192" t="n">
        <x:v>70</x:v>
      </x:c>
      <x:c r="V736" s="200" t="n">
        <x:v>0.7777777778</x:v>
      </x:c>
      <x:c r="W736" s="203" t="n">
        <x:v>600</x:v>
      </x:c>
      <x:c r="X736" s="203" t="n">
        <x:v>42727.7787159388</x:v>
      </x:c>
      <x:c r="Y736" s="203" t="n">
        <x:v>110469.1112218336</x:v>
      </x:c>
      <x:c r="Z736" s="193" t="b">
        <x:v>0</x:v>
      </x:c>
      <x:c r="AA736" s="193" t="b">
        <x:v>0</x:v>
      </x:c>
      <x:c r="AB736" s="193" t="b">
        <x:v>1</x:v>
      </x:c>
      <x:c r="AC736" s="193" t="b">
        <x:v>1</x:v>
      </x:c>
      <x:c r="AD736" s="193" t="b">
        <x:v>1</x:v>
      </x:c>
      <x:c r="AE736" s="193" t="b">
        <x:v>1</x:v>
      </x:c>
      <x:c r="AF736" s="193" t="b">
        <x:v>1</x:v>
      </x:c>
      <x:c r="AG736" s="193" t="b">
        <x:v>1</x:v>
      </x:c>
      <x:c r="AH736" s="193" t="b">
        <x:v>1</x:v>
      </x:c>
      <x:c r="AI736" s="193" t="b">
        <x:v>1</x:v>
      </x:c>
      <x:c r="AJ736" s="193" t="b">
        <x:v>1</x:v>
      </x:c>
    </x:row>
    <x:row r="737">
      <x:c r="A737" s="192" t="n">
        <x:v>45621607</x:v>
      </x:c>
      <x:c r="B737" s="192" t="str">
        <x:v>https://www.airbnb.com.br/rooms/45621607</x:v>
      </x:c>
      <x:c r="C737" s="192" t="str">
        <x:v>Lindo Apto em Meia Praia Itapema  400 mts da praia</x:v>
      </x:c>
      <x:c r="D737" s="192" t="str">
        <x:v>Meia Praia</x:v>
      </x:c>
      <x:c r="E737" s="192" t="n">
        <x:v>-27.14178</x:v>
      </x:c>
      <x:c r="F737" s="192" t="n">
        <x:v>-48.59554</x:v>
      </x:c>
      <x:c r="G737" s="192" t="str">
        <x:v>apartamento</x:v>
      </x:c>
      <x:c r="H737" s="192" t="n">
        <x:v>2</x:v>
      </x:c>
      <x:c r="I737" s="192" t="n">
        <x:v>1</x:v>
      </x:c>
      <x:c r="J737" s="192" t="n">
        <x:v>4</x:v>
      </x:c>
      <x:c r="K737" s="192" t="n">
        <x:v>4</x:v>
      </x:c>
      <x:c r="L737" s="192" t="n">
        <x:v>9</x:v>
      </x:c>
      <x:c r="M737" s="192" t="n">
        <x:v>5</x:v>
      </x:c>
      <x:c r="N737" s="192" t="n">
        <x:v>180</x:v>
      </x:c>
      <x:c r="O737" s="192" t="n">
        <x:v>7</x:v>
      </x:c>
      <x:c r="P737" s="193" t="b">
        <x:v>0</x:v>
      </x:c>
      <x:c r="Q737" s="193" t="b">
        <x:v>0</x:v>
      </x:c>
      <x:c r="R737" s="193" t="b">
        <x:v>0</x:v>
      </x:c>
      <x:c r="S737" s="193" t="b">
        <x:v>0</x:v>
      </x:c>
      <x:c r="T737" s="192" t="n">
        <x:v>71</x:v>
      </x:c>
      <x:c r="U737" s="192" t="n">
        <x:v>19</x:v>
      </x:c>
      <x:c r="V737" s="200" t="n">
        <x:v>0.2111111111</x:v>
      </x:c>
      <x:c r="W737" s="203" t="n">
        <x:v>350</x:v>
      </x:c>
      <x:c r="X737" s="203" t="n">
        <x:v>6677.6117055669</x:v>
      </x:c>
      <x:c r="Y737" s="203" t="n">
        <x:v>17264.4085971012</x:v>
      </x:c>
      <x:c r="Z737" s="193" t="b">
        <x:v>1</x:v>
      </x:c>
      <x:c r="AA737" s="193" t="b">
        <x:v>0</x:v>
      </x:c>
      <x:c r="AB737" s="193" t="b">
        <x:v>1</x:v>
      </x:c>
      <x:c r="AC737" s="193" t="b">
        <x:v>1</x:v>
      </x:c>
      <x:c r="AD737" s="193" t="b">
        <x:v>0</x:v>
      </x:c>
      <x:c r="AE737" s="193" t="b">
        <x:v>0</x:v>
      </x:c>
      <x:c r="AF737" s="193" t="b">
        <x:v>0</x:v>
      </x:c>
      <x:c r="AG737" s="193" t="b">
        <x:v>1</x:v>
      </x:c>
      <x:c r="AH737" s="193" t="b">
        <x:v>1</x:v>
      </x:c>
      <x:c r="AI737" s="193" t="b">
        <x:v>1</x:v>
      </x:c>
      <x:c r="AJ737" s="193" t="b">
        <x:v>0</x:v>
      </x:c>
    </x:row>
    <x:row r="738">
      <x:c r="A738" s="192" t="n">
        <x:v>41883230</x:v>
      </x:c>
      <x:c r="B738" s="192" t="str">
        <x:v>https://www.airbnb.com.br/rooms/41883230</x:v>
      </x:c>
      <x:c r="C738" s="192" t="str">
        <x:v>Apartamento com excelente localização  Meia Praia</x:v>
      </x:c>
      <x:c r="D738" s="192" t="str">
        <x:v>Meia Praia</x:v>
      </x:c>
      <x:c r="E738" s="192" t="n">
        <x:v>-27.12806</x:v>
      </x:c>
      <x:c r="F738" s="192" t="n">
        <x:v>-48.60174</x:v>
      </x:c>
      <x:c r="G738" s="192" t="str">
        <x:v>apartamento</x:v>
      </x:c>
      <x:c r="H738" s="192" t="n">
        <x:v>3</x:v>
      </x:c>
      <x:c r="I738" s="192" t="n">
        <x:v>3</x:v>
      </x:c>
      <x:c r="J738" s="192" t="n">
        <x:v>6</x:v>
      </x:c>
      <x:c r="K738" s="192" t="n">
        <x:v>7</x:v>
      </x:c>
      <x:c r="L738" s="192" t="n">
        <x:v>5</x:v>
      </x:c>
      <x:c r="M738" s="192" t="n">
        <x:v>5</x:v>
      </x:c>
      <x:c r="N738" s="192" t="n">
        <x:v>300</x:v>
      </x:c>
      <x:c r="O738" s="192" t="n">
        <x:v>1</x:v>
      </x:c>
      <x:c r="P738" s="193" t="b">
        <x:v>0</x:v>
      </x:c>
      <x:c r="Q738" s="193" t="b">
        <x:v>0</x:v>
      </x:c>
      <x:c r="R738" s="193" t="b">
        <x:v>0</x:v>
      </x:c>
      <x:c r="S738" s="193" t="b">
        <x:v>0</x:v>
      </x:c>
      <x:c r="T738" s="192" t="n">
        <x:v>53</x:v>
      </x:c>
      <x:c r="U738" s="192" t="n">
        <x:v>37</x:v>
      </x:c>
      <x:c r="V738" s="200" t="n">
        <x:v>0.4111111111</x:v>
      </x:c>
      <x:c r="W738" s="203" t="n">
        <x:v>470</x:v>
      </x:c>
      <x:c r="X738" s="203" t="n">
        <x:v>16935.6715615694</x:v>
      </x:c>
      <x:c r="Y738" s="203" t="n">
        <x:v>43785.7675164741</x:v>
      </x:c>
      <x:c r="Z738" s="193" t="b">
        <x:v>1</x:v>
      </x:c>
      <x:c r="AA738" s="193" t="b">
        <x:v>0</x:v>
      </x:c>
      <x:c r="AB738" s="193" t="b">
        <x:v>1</x:v>
      </x:c>
      <x:c r="AC738" s="193" t="b">
        <x:v>1</x:v>
      </x:c>
      <x:c r="AD738" s="193" t="b">
        <x:v>0</x:v>
      </x:c>
      <x:c r="AE738" s="193" t="b">
        <x:v>0</x:v>
      </x:c>
      <x:c r="AF738" s="193" t="b">
        <x:v>0</x:v>
      </x:c>
      <x:c r="AG738" s="193" t="b">
        <x:v>1</x:v>
      </x:c>
      <x:c r="AH738" s="193" t="b">
        <x:v>1</x:v>
      </x:c>
      <x:c r="AI738" s="193" t="b">
        <x:v>1</x:v>
      </x:c>
      <x:c r="AJ738" s="193" t="b">
        <x:v>0</x:v>
      </x:c>
    </x:row>
    <x:row r="739">
      <x:c r="A739" s="192" t="n">
        <x:v>785658004981722600</x:v>
      </x:c>
      <x:c r="B739" s="192" t="str">
        <x:v>https://www.airbnb.com.br/rooms/785658004981722606</x:v>
      </x:c>
      <x:c r="C739" s="192" t="str">
        <x:v>Apartamento em Itapema</x:v>
      </x:c>
      <x:c r="D739" s="192" t="str">
        <x:v>Tabuleiro dos Oliveiras</x:v>
      </x:c>
      <x:c r="E739" s="192" t="n">
        <x:v>-27.1140003204</x:v>
      </x:c>
      <x:c r="F739" s="192" t="n">
        <x:v>-48.6119995117</x:v>
      </x:c>
      <x:c r="G739" s="192" t="str">
        <x:v>apartamento</x:v>
      </x:c>
      <x:c r="H739" s="192" t="n">
        <x:v>2</x:v>
      </x:c>
      <x:c r="I739" s="192" t="n">
        <x:v>2</x:v>
      </x:c>
      <x:c r="J739" s="192" t="n">
        <x:v>2</x:v>
      </x:c>
      <x:c r="K739" s="192" t="n">
        <x:v>6</x:v>
      </x:c>
      <x:c r="L739" s="192" t="n">
        <x:v>10</x:v>
      </x:c>
      <x:c r="M739" s="192" t="n">
        <x:v>5</x:v>
      </x:c>
      <x:c r="N739" s="192" t="n">
        <x:v>200</x:v>
      </x:c>
      <x:c r="O739" s="192" t="n">
        <x:v>20</x:v>
      </x:c>
      <x:c r="P739" s="193" t="b">
        <x:v>1</x:v>
      </x:c>
      <x:c r="Q739" s="193" t="b">
        <x:v>0</x:v>
      </x:c>
      <x:c r="R739" s="193" t="b">
        <x:v>1</x:v>
      </x:c>
      <x:c r="S739" s="193" t="b">
        <x:v>0</x:v>
      </x:c>
      <x:c r="T739" s="192" t="n">
        <x:v>62</x:v>
      </x:c>
      <x:c r="U739" s="192" t="n">
        <x:v>28</x:v>
      </x:c>
      <x:c r="V739" s="200" t="n">
        <x:v>0.3111111111</x:v>
      </x:c>
      <x:c r="W739" s="203" t="n">
        <x:v>495</x:v>
      </x:c>
      <x:c r="X739" s="203" t="n">
        <x:v>13428.5867684444</x:v>
      </x:c>
      <x:c r="Y739" s="203" t="n">
        <x:v>34718.4920409156</x:v>
      </x:c>
      <x:c r="Z739" s="193" t="b">
        <x:v>1</x:v>
      </x:c>
      <x:c r="AA739" s="193" t="b">
        <x:v>0</x:v>
      </x:c>
      <x:c r="AB739" s="193" t="b">
        <x:v>1</x:v>
      </x:c>
      <x:c r="AC739" s="193" t="b">
        <x:v>1</x:v>
      </x:c>
      <x:c r="AD739" s="193" t="b">
        <x:v>1</x:v>
      </x:c>
      <x:c r="AE739" s="193" t="b">
        <x:v>1</x:v>
      </x:c>
      <x:c r="AF739" s="193" t="b">
        <x:v>1</x:v>
      </x:c>
      <x:c r="AG739" s="193" t="b">
        <x:v>1</x:v>
      </x:c>
      <x:c r="AH739" s="193" t="b">
        <x:v>1</x:v>
      </x:c>
      <x:c r="AI739" s="193" t="b">
        <x:v>1</x:v>
      </x:c>
      <x:c r="AJ739" s="193" t="b">
        <x:v>0</x:v>
      </x:c>
    </x:row>
    <x:row r="740">
      <x:c r="A740" s="192" t="n">
        <x:v>605748852048435500</x:v>
      </x:c>
      <x:c r="B740" s="192" t="str">
        <x:v>https://www.airbnb.com.br/rooms/605748852048435444</x:v>
      </x:c>
      <x:c r="C740" s="192" t="str">
        <x:v>Ap no Centro de Meia Praia, Vaga Ampla de Garagem</x:v>
      </x:c>
      <x:c r="D740" s="192" t="str">
        <x:v>Meia Praia</x:v>
      </x:c>
      <x:c r="E740" s="192" t="n">
        <x:v>-27.132032</x:v>
      </x:c>
      <x:c r="F740" s="192" t="n">
        <x:v>-48.60078</x:v>
      </x:c>
      <x:c r="G740" s="192" t="str">
        <x:v>apartamento</x:v>
      </x:c>
      <x:c r="H740" s="192" t="n">
        <x:v>3</x:v>
      </x:c>
      <x:c r="I740" s="192" t="n">
        <x:v>2</x:v>
      </x:c>
      <x:c r="J740" s="192" t="n">
        <x:v>3</x:v>
      </x:c>
      <x:c r="K740" s="192" t="n">
        <x:v>6</x:v>
      </x:c>
      <x:c r="L740" s="192" t="n">
        <x:v>33</x:v>
      </x:c>
      <x:c r="M740" s="192" t="n">
        <x:v>5</x:v>
      </x:c>
      <x:c r="N740" s="192" t="n">
        <x:v>250</x:v>
      </x:c>
      <x:c r="O740" s="192" t="n">
        <x:v>30</x:v>
      </x:c>
      <x:c r="P740" s="193" t="b">
        <x:v>0</x:v>
      </x:c>
      <x:c r="Q740" s="193" t="b">
        <x:v>0</x:v>
      </x:c>
      <x:c r="R740" s="193" t="b">
        <x:v>1</x:v>
      </x:c>
      <x:c r="S740" s="193" t="b">
        <x:v>1</x:v>
      </x:c>
      <x:c r="T740" s="192" t="n">
        <x:v>59</x:v>
      </x:c>
      <x:c r="U740" s="192" t="n">
        <x:v>31</x:v>
      </x:c>
      <x:c r="V740" s="200" t="n">
        <x:v>0.3444444444</x:v>
      </x:c>
      <x:c r="W740" s="203" t="n">
        <x:v>400</x:v>
      </x:c>
      <x:c r="X740" s="203" t="n">
        <x:v>13124.1921334966</x:v>
      </x:c>
      <x:c r="Y740" s="203" t="n">
        <x:v>33931.5050784778</x:v>
      </x:c>
      <x:c r="Z740" s="193" t="b">
        <x:v>1</x:v>
      </x:c>
      <x:c r="AA740" s="193" t="b">
        <x:v>0</x:v>
      </x:c>
      <x:c r="AB740" s="193" t="b">
        <x:v>1</x:v>
      </x:c>
      <x:c r="AC740" s="193" t="b">
        <x:v>1</x:v>
      </x:c>
      <x:c r="AD740" s="193" t="b">
        <x:v>1</x:v>
      </x:c>
      <x:c r="AE740" s="193" t="b">
        <x:v>1</x:v>
      </x:c>
      <x:c r="AF740" s="193" t="b">
        <x:v>1</x:v>
      </x:c>
      <x:c r="AG740" s="193" t="b">
        <x:v>1</x:v>
      </x:c>
      <x:c r="AH740" s="193" t="b">
        <x:v>1</x:v>
      </x:c>
      <x:c r="AI740" s="193" t="b">
        <x:v>1</x:v>
      </x:c>
      <x:c r="AJ740" s="193" t="b">
        <x:v>1</x:v>
      </x:c>
    </x:row>
    <x:row r="741">
      <x:c r="A741" s="192" t="n">
        <x:v>41676390</x:v>
      </x:c>
      <x:c r="B741" s="192" t="str">
        <x:v>https://www.airbnb.com.br/rooms/41676390</x:v>
      </x:c>
      <x:c r="C741" s="192" t="str">
        <x:v>Apto aconchegante para 4 ou 6</x:v>
      </x:c>
      <x:c r="D741" s="192" t="str">
        <x:v>Meia Praia</x:v>
      </x:c>
      <x:c r="E741" s="192" t="n">
        <x:v>-27.14099</x:v>
      </x:c>
      <x:c r="F741" s="192" t="n">
        <x:v>-48.5961</x:v>
      </x:c>
      <x:c r="G741" s="192" t="str">
        <x:v>apartamento</x:v>
      </x:c>
      <x:c r="H741" s="192" t="n">
        <x:v>2</x:v>
      </x:c>
      <x:c r="I741" s="192" t="n">
        <x:v>2</x:v>
      </x:c>
      <x:c r="J741" s="192" t="n">
        <x:v>2</x:v>
      </x:c>
      <x:c r="K741" s="192" t="n">
        <x:v>6</x:v>
      </x:c>
      <x:c r="L741" s="192" t="n">
        <x:v>20</x:v>
      </x:c>
      <x:c r="M741" s="192" t="n">
        <x:v>4.9499998093</x:v>
      </x:c>
      <x:c r="N741" s="192" t="n">
        <x:v>250</x:v>
      </x:c>
      <x:c r="O741" s="192" t="n">
        <x:v>45</x:v>
      </x:c>
      <x:c r="P741" s="193" t="b">
        <x:v>0</x:v>
      </x:c>
      <x:c r="Q741" s="193" t="b">
        <x:v>0</x:v>
      </x:c>
      <x:c r="R741" s="193" t="b">
        <x:v>0</x:v>
      </x:c>
      <x:c r="S741" s="193" t="b">
        <x:v>0</x:v>
      </x:c>
      <x:c r="T741" s="192" t="n">
        <x:v>90</x:v>
      </x:c>
      <x:c r="U741" s="192" t="n">
        <x:v>0</x:v>
      </x:c>
      <x:c r="V741" s="200" t="n">
        <x:v>0</x:v>
      </x:c>
      <x:c r="W741" s="203" t="n">
        <x:v>600</x:v>
      </x:c>
      <x:c r="X741" s="203" t="n">
        <x:v>0</x:v>
      </x:c>
      <x:c r="Y741" s="203" t="n">
        <x:v>0</x:v>
      </x:c>
      <x:c r="Z741" s="193" t="b">
        <x:v>1</x:v>
      </x:c>
      <x:c r="AA741" s="193" t="b">
        <x:v>0</x:v>
      </x:c>
      <x:c r="AB741" s="193" t="b">
        <x:v>1</x:v>
      </x:c>
      <x:c r="AC741" s="193" t="b">
        <x:v>1</x:v>
      </x:c>
      <x:c r="AD741" s="193" t="b">
        <x:v>1</x:v>
      </x:c>
      <x:c r="AE741" s="193" t="b">
        <x:v>0</x:v>
      </x:c>
      <x:c r="AF741" s="193" t="b">
        <x:v>1</x:v>
      </x:c>
      <x:c r="AG741" s="193" t="b">
        <x:v>1</x:v>
      </x:c>
      <x:c r="AH741" s="193" t="b">
        <x:v>1</x:v>
      </x:c>
      <x:c r="AI741" s="193" t="b">
        <x:v>1</x:v>
      </x:c>
      <x:c r="AJ741" s="193" t="b">
        <x:v>1</x:v>
      </x:c>
    </x:row>
    <x:row r="742">
      <x:c r="A742" s="192" t="n">
        <x:v>16586622</x:v>
      </x:c>
      <x:c r="B742" s="192" t="str">
        <x:v>https://www.airbnb.com.br/rooms/16586622</x:v>
      </x:c>
      <x:c r="C742" s="192" t="str">
        <x:v>Cobertura Alto Padrão 6 coladinha/mar Meia Praia</x:v>
      </x:c>
      <x:c r="D742" s="192" t="str">
        <x:v>Meia Praia</x:v>
      </x:c>
      <x:c r="E742" s="192" t="n">
        <x:v>-27.1383</x:v>
      </x:c>
      <x:c r="F742" s="192" t="n">
        <x:v>-48.59238</x:v>
      </x:c>
      <x:c r="G742" s="192" t="str">
        <x:v>apartamento</x:v>
      </x:c>
      <x:c r="H742" s="192" t="n">
        <x:v>3</x:v>
      </x:c>
      <x:c r="I742" s="192" t="n">
        <x:v>2</x:v>
      </x:c>
      <x:c r="J742" s="192" t="n">
        <x:v>3</x:v>
      </x:c>
      <x:c r="K742" s="192" t="n">
        <x:v>6</x:v>
      </x:c>
      <x:c r="L742" s="192" t="n">
        <x:v>30</x:v>
      </x:c>
      <x:c r="M742" s="192" t="n">
        <x:v>4.8299999237</x:v>
      </x:c>
      <x:c r="N742" s="192" t="n">
        <x:v>0</x:v>
      </x:c>
      <x:c r="O742" s="192" t="n">
        <x:v>111</x:v>
      </x:c>
      <x:c r="P742" s="193" t="b">
        <x:v>1</x:v>
      </x:c>
      <x:c r="Q742" s="193" t="b">
        <x:v>0</x:v>
      </x:c>
      <x:c r="R742" s="193" t="b">
        <x:v>0</x:v>
      </x:c>
      <x:c r="S742" s="193" t="b">
        <x:v>1</x:v>
      </x:c>
      <x:c r="T742" s="192" t="n">
        <x:v>51</x:v>
      </x:c>
      <x:c r="U742" s="192" t="n">
        <x:v>39</x:v>
      </x:c>
      <x:c r="V742" s="200" t="n">
        <x:v>0.4333333333</x:v>
      </x:c>
      <x:c r="W742" s="203" t="n">
        <x:v>500</x:v>
      </x:c>
      <x:c r="X742" s="203" t="n">
        <x:v>19660.5631549864</x:v>
      </x:c>
      <x:c r="Y742" s="203" t="n">
        <x:v>50830.7476569545</x:v>
      </x:c>
      <x:c r="Z742" s="193" t="b">
        <x:v>1</x:v>
      </x:c>
      <x:c r="AA742" s="193" t="b">
        <x:v>0</x:v>
      </x:c>
      <x:c r="AB742" s="193" t="b">
        <x:v>1</x:v>
      </x:c>
      <x:c r="AC742" s="193" t="b">
        <x:v>1</x:v>
      </x:c>
      <x:c r="AD742" s="193" t="b">
        <x:v>1</x:v>
      </x:c>
      <x:c r="AE742" s="193" t="b">
        <x:v>1</x:v>
      </x:c>
      <x:c r="AF742" s="193" t="b">
        <x:v>1</x:v>
      </x:c>
      <x:c r="AG742" s="193" t="b">
        <x:v>1</x:v>
      </x:c>
      <x:c r="AH742" s="193" t="b">
        <x:v>1</x:v>
      </x:c>
      <x:c r="AI742" s="193" t="b">
        <x:v>1</x:v>
      </x:c>
      <x:c r="AJ742" s="193" t="b">
        <x:v>1</x:v>
      </x:c>
    </x:row>
    <x:row r="743">
      <x:c r="A743" s="192" t="n">
        <x:v>1292815457899461600</x:v>
      </x:c>
      <x:c r="B743" s="192" t="str">
        <x:v>https://www.airbnb.com.br/rooms/1292815457899461748</x:v>
      </x:c>
      <x:c r="C743" s="192" t="str">
        <x:v>Apto acolhedor vista mar a 280m da praia MHF2002</x:v>
      </x:c>
      <x:c r="D743" s="192" t="str">
        <x:v>Centro</x:v>
      </x:c>
      <x:c r="E743" s="192" t="n">
        <x:v>-27.09364394</x:v>
      </x:c>
      <x:c r="F743" s="192" t="n">
        <x:v>-48.6130949487</x:v>
      </x:c>
      <x:c r="G743" s="192" t="str">
        <x:v>apartamento</x:v>
      </x:c>
      <x:c r="H743" s="192" t="n">
        <x:v>2</x:v>
      </x:c>
      <x:c r="I743" s="192" t="n">
        <x:v>1</x:v>
      </x:c>
      <x:c r="J743" s="192" t="n">
        <x:v>2</x:v>
      </x:c>
      <x:c r="K743" s="192" t="n">
        <x:v>4</x:v>
      </x:c>
      <x:c r="L743" s="192" t="n">
        <x:v>4</x:v>
      </x:c>
      <x:c r="M743" s="192" t="n">
        <x:v>5</x:v>
      </x:c>
      <x:c r="N743" s="192" t="n">
        <x:v>240</x:v>
      </x:c>
      <x:c r="O743" s="192" t="n">
        <x:v>0</x:v>
      </x:c>
      <x:c r="P743" s="193" t="b">
        <x:v>1</x:v>
      </x:c>
      <x:c r="Q743" s="193" t="b">
        <x:v>1</x:v>
      </x:c>
      <x:c r="R743" s="193" t="b">
        <x:v>0</x:v>
      </x:c>
      <x:c r="S743" s="193" t="b">
        <x:v>0</x:v>
      </x:c>
      <x:c r="T743" s="192" t="n">
        <x:v>48</x:v>
      </x:c>
      <x:c r="U743" s="192" t="n">
        <x:v>42</x:v>
      </x:c>
      <x:c r="V743" s="200" t="n">
        <x:v>0.4666666667</x:v>
      </x:c>
      <x:c r="W743" s="203" t="n">
        <x:v>659.5</x:v>
      </x:c>
      <x:c r="X743" s="203" t="n">
        <x:v>27162.734767096</x:v>
      </x:c>
      <x:c r="Y743" s="203" t="n">
        <x:v>70226.9871790962</x:v>
      </x:c>
      <x:c r="Z743" s="193" t="b">
        <x:v>1</x:v>
      </x:c>
      <x:c r="AA743" s="193" t="b">
        <x:v>1</x:v>
      </x:c>
      <x:c r="AB743" s="193" t="b">
        <x:v>1</x:v>
      </x:c>
      <x:c r="AC743" s="193" t="b">
        <x:v>1</x:v>
      </x:c>
      <x:c r="AD743" s="193" t="b">
        <x:v>1</x:v>
      </x:c>
      <x:c r="AE743" s="193" t="b">
        <x:v>1</x:v>
      </x:c>
      <x:c r="AF743" s="193" t="b">
        <x:v>1</x:v>
      </x:c>
      <x:c r="AG743" s="193" t="b">
        <x:v>1</x:v>
      </x:c>
      <x:c r="AH743" s="193" t="b">
        <x:v>1</x:v>
      </x:c>
      <x:c r="AI743" s="193" t="b">
        <x:v>1</x:v>
      </x:c>
      <x:c r="AJ743" s="193" t="b">
        <x:v>0</x:v>
      </x:c>
    </x:row>
    <x:row r="744">
      <x:c r="A744" s="192" t="n">
        <x:v>1269623861253689900</x:v>
      </x:c>
      <x:c r="B744" s="192" t="str">
        <x:v>https://www.airbnb.com.br/rooms/1269623861253689862</x:v>
      </x:c>
      <x:c r="C744" s="192" t="str">
        <x:v>Studio vista mar em edifício com Piscina MHFA0605</x:v>
      </x:c>
      <x:c r="D744" s="192" t="str">
        <x:v>Centro</x:v>
      </x:c>
      <x:c r="E744" s="192" t="n">
        <x:v>-27.0927395</x:v>
      </x:c>
      <x:c r="F744" s="192" t="n">
        <x:v>-48.6133933</x:v>
      </x:c>
      <x:c r="G744" s="192" t="str">
        <x:v>apartamento</x:v>
      </x:c>
      <x:c r="H744" s="192" t="n">
        <x:v>1</x:v>
      </x:c>
      <x:c r="I744" s="192" t="n">
        <x:v>1</x:v>
      </x:c>
      <x:c r="J744" s="192" t="n">
        <x:v>1</x:v>
      </x:c>
      <x:c r="K744" s="192" t="n">
        <x:v>3</x:v>
      </x:c>
      <x:c r="L744" s="192" t="n">
        <x:v>3</x:v>
      </x:c>
      <x:c r="M744" s="192" t="n">
        <x:v>5</x:v>
      </x:c>
      <x:c r="N744" s="192" t="n">
        <x:v>190</x:v>
      </x:c>
      <x:c r="O744" s="192" t="n">
        <x:v>0</x:v>
      </x:c>
      <x:c r="P744" s="193" t="b">
        <x:v>1</x:v>
      </x:c>
      <x:c r="Q744" s="193" t="b">
        <x:v>1</x:v>
      </x:c>
      <x:c r="R744" s="193" t="b">
        <x:v>0</x:v>
      </x:c>
      <x:c r="S744" s="193" t="b">
        <x:v>0</x:v>
      </x:c>
      <x:c r="T744" s="192" t="n">
        <x:v>58</x:v>
      </x:c>
      <x:c r="U744" s="192" t="n">
        <x:v>32</x:v>
      </x:c>
      <x:c r="V744" s="200" t="n">
        <x:v>0.3555555556</x:v>
      </x:c>
      <x:c r="W744" s="203" t="n">
        <x:v>372</x:v>
      </x:c>
      <x:c r="X744" s="203" t="n">
        <x:v>12110.1557327175</x:v>
      </x:c>
      <x:c r="Y744" s="203" t="n">
        <x:v>31309.7984672966</x:v>
      </x:c>
      <x:c r="Z744" s="193" t="b">
        <x:v>1</x:v>
      </x:c>
      <x:c r="AA744" s="193" t="b">
        <x:v>1</x:v>
      </x:c>
      <x:c r="AB744" s="193" t="b">
        <x:v>1</x:v>
      </x:c>
      <x:c r="AC744" s="193" t="b">
        <x:v>1</x:v>
      </x:c>
      <x:c r="AD744" s="193" t="b">
        <x:v>1</x:v>
      </x:c>
      <x:c r="AE744" s="193" t="b">
        <x:v>1</x:v>
      </x:c>
      <x:c r="AF744" s="193" t="b">
        <x:v>1</x:v>
      </x:c>
      <x:c r="AG744" s="193" t="b">
        <x:v>1</x:v>
      </x:c>
      <x:c r="AH744" s="193" t="b">
        <x:v>1</x:v>
      </x:c>
      <x:c r="AI744" s="193" t="b">
        <x:v>1</x:v>
      </x:c>
      <x:c r="AJ744" s="193" t="b">
        <x:v>0</x:v>
      </x:c>
    </x:row>
    <x:row r="745">
      <x:c r="A745" s="192" t="n">
        <x:v>856482117556875600</x:v>
      </x:c>
      <x:c r="B745" s="192" t="str">
        <x:v>https://www.airbnb.com.br/rooms/856482117556875618</x:v>
      </x:c>
      <x:c r="C745" s="192" t="str">
        <x:v>Pé na Areia - conforto familiar</x:v>
      </x:c>
      <x:c r="D745" s="192" t="str">
        <x:v>Meia Praia</x:v>
      </x:c>
      <x:c r="E745" s="192" t="n">
        <x:v>-27.125</x:v>
      </x:c>
      <x:c r="F745" s="192" t="n">
        <x:v>-48.6040000916</x:v>
      </x:c>
      <x:c r="G745" s="192" t="str">
        <x:v>apartamento</x:v>
      </x:c>
      <x:c r="H745" s="192" t="n">
        <x:v>2</x:v>
      </x:c>
      <x:c r="I745" s="192" t="n">
        <x:v>2</x:v>
      </x:c>
      <x:c r="J745" s="192" t="n">
        <x:v>2</x:v>
      </x:c>
      <x:c r="K745" s="192" t="n">
        <x:v>6</x:v>
      </x:c>
      <x:c r="L745" s="192" t="n">
        <x:v>26</x:v>
      </x:c>
      <x:c r="M745" s="192" t="n">
        <x:v>4.9600000381</x:v>
      </x:c>
      <x:c r="N745" s="192" t="n">
        <x:v>250</x:v>
      </x:c>
      <x:c r="O745" s="192" t="n">
        <x:v>26</x:v>
      </x:c>
      <x:c r="P745" s="193" t="b">
        <x:v>1</x:v>
      </x:c>
      <x:c r="Q745" s="193" t="b">
        <x:v>0</x:v>
      </x:c>
      <x:c r="R745" s="193" t="b">
        <x:v>1</x:v>
      </x:c>
      <x:c r="S745" s="193" t="b">
        <x:v>1</x:v>
      </x:c>
      <x:c r="T745" s="192" t="n">
        <x:v>20</x:v>
      </x:c>
      <x:c r="U745" s="192" t="n">
        <x:v>70</x:v>
      </x:c>
      <x:c r="V745" s="200" t="n">
        <x:v>0.7777777778</x:v>
      </x:c>
      <x:c r="W745" s="203" t="n">
        <x:v>370</x:v>
      </x:c>
      <x:c r="X745" s="203" t="n">
        <x:v>26348.796874829</x:v>
      </x:c>
      <x:c r="Y745" s="203" t="n">
        <x:v>68122.6185867974</x:v>
      </x:c>
      <x:c r="Z745" s="193" t="b">
        <x:v>0</x:v>
      </x:c>
      <x:c r="AA745" s="193" t="b">
        <x:v>0</x:v>
      </x:c>
      <x:c r="AB745" s="193" t="b">
        <x:v>1</x:v>
      </x:c>
      <x:c r="AC745" s="193" t="b">
        <x:v>1</x:v>
      </x:c>
      <x:c r="AD745" s="193" t="b">
        <x:v>1</x:v>
      </x:c>
      <x:c r="AE745" s="193" t="b">
        <x:v>1</x:v>
      </x:c>
      <x:c r="AF745" s="193" t="b">
        <x:v>1</x:v>
      </x:c>
      <x:c r="AG745" s="193" t="b">
        <x:v>1</x:v>
      </x:c>
      <x:c r="AH745" s="193" t="b">
        <x:v>1</x:v>
      </x:c>
      <x:c r="AI745" s="193" t="b">
        <x:v>1</x:v>
      </x:c>
      <x:c r="AJ745" s="193" t="b">
        <x:v>1</x:v>
      </x:c>
    </x:row>
    <x:row r="746">
      <x:c r="A746" s="192" t="n">
        <x:v>51785337</x:v>
      </x:c>
      <x:c r="B746" s="192" t="str">
        <x:v>https://www.airbnb.com.br/rooms/51785337</x:v>
      </x:c>
      <x:c r="C746" s="192" t="str">
        <x:v>Apartamento Alto Padrão, Próximo da Praia</x:v>
      </x:c>
      <x:c r="D746" s="192" t="str">
        <x:v>Morretes</x:v>
      </x:c>
      <x:c r="E746" s="192" t="n">
        <x:v>-27.11956</x:v>
      </x:c>
      <x:c r="F746" s="192" t="n">
        <x:v>-48.61128</x:v>
      </x:c>
      <x:c r="G746" s="192" t="str">
        <x:v>apartamento</x:v>
      </x:c>
      <x:c r="H746" s="192" t="n">
        <x:v>2</x:v>
      </x:c>
      <x:c r="I746" s="192" t="n">
        <x:v>2</x:v>
      </x:c>
      <x:c r="J746" s="192" t="n">
        <x:v>4</x:v>
      </x:c>
      <x:c r="K746" s="192" t="n">
        <x:v>6</x:v>
      </x:c>
      <x:c r="L746" s="192" t="n">
        <x:v>9</x:v>
      </x:c>
      <x:c r="M746" s="192" t="n">
        <x:v>5</x:v>
      </x:c>
      <x:c r="N746" s="192" t="n">
        <x:v>200</x:v>
      </x:c>
      <x:c r="O746" s="192" t="n">
        <x:v>17</x:v>
      </x:c>
      <x:c r="P746" s="193" t="b">
        <x:v>0</x:v>
      </x:c>
      <x:c r="Q746" s="193" t="b">
        <x:v>0</x:v>
      </x:c>
      <x:c r="R746" s="193" t="b">
        <x:v>1</x:v>
      </x:c>
      <x:c r="S746" s="193" t="b">
        <x:v>0</x:v>
      </x:c>
      <x:c r="T746" s="192" t="n">
        <x:v>56</x:v>
      </x:c>
      <x:c r="U746" s="192" t="n">
        <x:v>34</x:v>
      </x:c>
      <x:c r="V746" s="200" t="n">
        <x:v>0.3777777778</x:v>
      </x:c>
      <x:c r="W746" s="203" t="n">
        <x:v>308.83334</x:v>
      </x:c>
      <x:c r="X746" s="203" t="n">
        <x:v>11044.8552425497</x:v>
      </x:c>
      <x:c r="Y746" s="203" t="n">
        <x:v>28555.5528250086</x:v>
      </x:c>
      <x:c r="Z746" s="193" t="b">
        <x:v>1</x:v>
      </x:c>
      <x:c r="AA746" s="193" t="b">
        <x:v>0</x:v>
      </x:c>
      <x:c r="AB746" s="193" t="b">
        <x:v>1</x:v>
      </x:c>
      <x:c r="AC746" s="193" t="b">
        <x:v>1</x:v>
      </x:c>
      <x:c r="AD746" s="193" t="b">
        <x:v>1</x:v>
      </x:c>
      <x:c r="AE746" s="193" t="b">
        <x:v>1</x:v>
      </x:c>
      <x:c r="AF746" s="193" t="b">
        <x:v>1</x:v>
      </x:c>
      <x:c r="AG746" s="193" t="b">
        <x:v>1</x:v>
      </x:c>
      <x:c r="AH746" s="193" t="b">
        <x:v>1</x:v>
      </x:c>
      <x:c r="AI746" s="193" t="b">
        <x:v>1</x:v>
      </x:c>
      <x:c r="AJ746" s="193" t="b">
        <x:v>1</x:v>
      </x:c>
    </x:row>
    <x:row r="747">
      <x:c r="A747" s="192" t="n">
        <x:v>1254384361135492000</x:v>
      </x:c>
      <x:c r="B747" s="192" t="str">
        <x:v>https://www.airbnb.com.br/rooms/1254384361135492137</x:v>
      </x:c>
      <x:c r="C747" s="192" t="str">
        <x:v>Apt com Churrasqueira a 700m da praia SIR0501</x:v>
      </x:c>
      <x:c r="D747" s="192" t="str">
        <x:v>Morretes</x:v>
      </x:c>
      <x:c r="E747" s="192" t="n">
        <x:v>-27.1192949828</x:v>
      </x:c>
      <x:c r="F747" s="192" t="n">
        <x:v>-48.6130837299</x:v>
      </x:c>
      <x:c r="G747" s="192" t="str">
        <x:v>apartamento</x:v>
      </x:c>
      <x:c r="H747" s="192" t="n">
        <x:v>2</x:v>
      </x:c>
      <x:c r="I747" s="192" t="n">
        <x:v>2</x:v>
      </x:c>
      <x:c r="J747" s="192" t="n">
        <x:v>2</x:v>
      </x:c>
      <x:c r="K747" s="192" t="n">
        <x:v>4</x:v>
      </x:c>
      <x:c r="L747" s="192" t="n">
        <x:v>4</x:v>
      </x:c>
      <x:c r="M747" s="192" t="n">
        <x:v>4.5</x:v>
      </x:c>
      <x:c r="N747" s="192" t="n">
        <x:v>369</x:v>
      </x:c>
      <x:c r="O747" s="192" t="n">
        <x:v>0</x:v>
      </x:c>
      <x:c r="P747" s="193" t="b">
        <x:v>1</x:v>
      </x:c>
      <x:c r="Q747" s="193" t="b">
        <x:v>1</x:v>
      </x:c>
      <x:c r="R747" s="193" t="b">
        <x:v>0</x:v>
      </x:c>
      <x:c r="S747" s="193" t="b">
        <x:v>0</x:v>
      </x:c>
      <x:c r="T747" s="192" t="n">
        <x:v>81</x:v>
      </x:c>
      <x:c r="U747" s="192" t="n">
        <x:v>9</x:v>
      </x:c>
      <x:c r="V747" s="200" t="n">
        <x:v>0.1</x:v>
      </x:c>
      <x:c r="W747" s="203" t="n">
        <x:v>515</x:v>
      </x:c>
      <x:c r="X747" s="203" t="n">
        <x:v>4692.1182677198</x:v>
      </x:c>
      <x:c r="Y747" s="203" t="n">
        <x:v>12131.080771334</x:v>
      </x:c>
      <x:c r="Z747" s="193" t="b">
        <x:v>1</x:v>
      </x:c>
      <x:c r="AA747" s="193" t="b">
        <x:v>0</x:v>
      </x:c>
      <x:c r="AB747" s="193" t="b">
        <x:v>1</x:v>
      </x:c>
      <x:c r="AC747" s="193" t="b">
        <x:v>1</x:v>
      </x:c>
      <x:c r="AD747" s="193" t="b">
        <x:v>1</x:v>
      </x:c>
      <x:c r="AE747" s="193" t="b">
        <x:v>0</x:v>
      </x:c>
      <x:c r="AF747" s="193" t="b">
        <x:v>1</x:v>
      </x:c>
      <x:c r="AG747" s="193" t="b">
        <x:v>1</x:v>
      </x:c>
      <x:c r="AH747" s="193" t="b">
        <x:v>1</x:v>
      </x:c>
      <x:c r="AI747" s="193" t="b">
        <x:v>1</x:v>
      </x:c>
      <x:c r="AJ747" s="193" t="b">
        <x:v>1</x:v>
      </x:c>
    </x:row>
    <x:row r="748">
      <x:c r="A748" s="192" t="n">
        <x:v>815806026505024000</x:v>
      </x:c>
      <x:c r="B748" s="192" t="str">
        <x:v>https://www.airbnb.com.br/rooms/815806026505024003</x:v>
      </x:c>
      <x:c r="C748" s="192" t="str">
        <x:v>Apartamento Beira Mar 3 quartos</x:v>
      </x:c>
      <x:c r="D748" s="192" t="str">
        <x:v>Meia Praia</x:v>
      </x:c>
      <x:c r="E748" s="192" t="n">
        <x:v>-27.1264896393</x:v>
      </x:c>
      <x:c r="F748" s="192" t="n">
        <x:v>-48.6037788391</x:v>
      </x:c>
      <x:c r="G748" s="192" t="str">
        <x:v>apartamento</x:v>
      </x:c>
      <x:c r="H748" s="192" t="n">
        <x:v>3</x:v>
      </x:c>
      <x:c r="I748" s="192" t="n">
        <x:v>2</x:v>
      </x:c>
      <x:c r="J748" s="192" t="n">
        <x:v>3</x:v>
      </x:c>
      <x:c r="K748" s="192" t="n">
        <x:v>9</x:v>
      </x:c>
      <x:c r="L748" s="192" t="n">
        <x:v>7</x:v>
      </x:c>
      <x:c r="M748" s="192" t="n">
        <x:v>5</x:v>
      </x:c>
      <x:c r="N748" s="192" t="n">
        <x:v>250</x:v>
      </x:c>
      <x:c r="O748" s="192" t="n">
        <x:v>18</x:v>
      </x:c>
      <x:c r="P748" s="193" t="b">
        <x:v>0</x:v>
      </x:c>
      <x:c r="Q748" s="193" t="b">
        <x:v>0</x:v>
      </x:c>
      <x:c r="R748" s="193" t="b">
        <x:v>1</x:v>
      </x:c>
      <x:c r="S748" s="193" t="b">
        <x:v>0</x:v>
      </x:c>
      <x:c r="T748" s="192" t="n">
        <x:v>33</x:v>
      </x:c>
      <x:c r="U748" s="192" t="n">
        <x:v>57</x:v>
      </x:c>
      <x:c r="V748" s="200" t="n">
        <x:v>0.6333333333</x:v>
      </x:c>
      <x:c r="W748" s="203" t="n">
        <x:v>900</x:v>
      </x:c>
      <x:c r="X748" s="203" t="n">
        <x:v>51275.3273493572</x:v>
      </x:c>
      <x:c r="Y748" s="203" t="n">
        <x:v>132568.0859178172</x:v>
      </x:c>
      <x:c r="Z748" s="193" t="b">
        <x:v>0</x:v>
      </x:c>
      <x:c r="AA748" s="193" t="b">
        <x:v>0</x:v>
      </x:c>
      <x:c r="AB748" s="193" t="b">
        <x:v>1</x:v>
      </x:c>
      <x:c r="AC748" s="193" t="b">
        <x:v>1</x:v>
      </x:c>
      <x:c r="AD748" s="193" t="b">
        <x:v>1</x:v>
      </x:c>
      <x:c r="AE748" s="193" t="b">
        <x:v>0</x:v>
      </x:c>
      <x:c r="AF748" s="193" t="b">
        <x:v>1</x:v>
      </x:c>
      <x:c r="AG748" s="193" t="b">
        <x:v>1</x:v>
      </x:c>
      <x:c r="AH748" s="193" t="b">
        <x:v>1</x:v>
      </x:c>
      <x:c r="AI748" s="193" t="b">
        <x:v>1</x:v>
      </x:c>
      <x:c r="AJ748" s="193" t="b">
        <x:v>1</x:v>
      </x:c>
    </x:row>
    <x:row r="749">
      <x:c r="A749" s="192" t="n">
        <x:v>1131810056799937500</x:v>
      </x:c>
      <x:c r="B749" s="192" t="str">
        <x:v>https://www.airbnb.com.br/rooms/1131810056799937593</x:v>
      </x:c>
      <x:c r="C749" s="192" t="str">
        <x:v>Apto Vista Mar Com Churrasqueira SBN0705</x:v>
      </x:c>
      <x:c r="D749" s="192" t="str">
        <x:v>Tabuleiro dos Oliveiras</x:v>
      </x:c>
      <x:c r="E749" s="192" t="n">
        <x:v>-27.1079998016</x:v>
      </x:c>
      <x:c r="F749" s="192" t="n">
        <x:v>-48.6139984131</x:v>
      </x:c>
      <x:c r="G749" s="192" t="str">
        <x:v>apartamento</x:v>
      </x:c>
      <x:c r="H749" s="192" t="n">
        <x:v>3</x:v>
      </x:c>
      <x:c r="I749" s="192" t="n">
        <x:v>2</x:v>
      </x:c>
      <x:c r="J749" s="192" t="n">
        <x:v>4</x:v>
      </x:c>
      <x:c r="K749" s="192" t="n">
        <x:v>6</x:v>
      </x:c>
      <x:c r="L749" s="192" t="n">
        <x:v>5</x:v>
      </x:c>
      <x:c r="M749" s="192" t="n">
        <x:v>5</x:v>
      </x:c>
      <x:c r="N749" s="192" t="n">
        <x:v>456</x:v>
      </x:c>
      <x:c r="O749" s="192" t="n">
        <x:v>0</x:v>
      </x:c>
      <x:c r="P749" s="193" t="b">
        <x:v>1</x:v>
      </x:c>
      <x:c r="Q749" s="193" t="b">
        <x:v>1</x:v>
      </x:c>
      <x:c r="R749" s="193" t="b">
        <x:v>1</x:v>
      </x:c>
      <x:c r="S749" s="193" t="b">
        <x:v>0</x:v>
      </x:c>
      <x:c r="T749" s="192" t="n">
        <x:v>72</x:v>
      </x:c>
      <x:c r="U749" s="192" t="n">
        <x:v>18</x:v>
      </x:c>
      <x:c r="V749" s="200" t="n">
        <x:v>0.2</x:v>
      </x:c>
      <x:c r="W749" s="203" t="n">
        <x:v>640</x:v>
      </x:c>
      <x:c r="X749" s="203" t="n">
        <x:v>11531.0385340265</x:v>
      </x:c>
      <x:c r="Y749" s="203" t="n">
        <x:v>29812.5392098478</x:v>
      </x:c>
      <x:c r="Z749" s="193" t="b">
        <x:v>1</x:v>
      </x:c>
      <x:c r="AA749" s="193" t="b">
        <x:v>0</x:v>
      </x:c>
      <x:c r="AB749" s="193" t="b">
        <x:v>1</x:v>
      </x:c>
      <x:c r="AC749" s="193" t="b">
        <x:v>1</x:v>
      </x:c>
      <x:c r="AD749" s="193" t="b">
        <x:v>1</x:v>
      </x:c>
      <x:c r="AE749" s="193" t="b">
        <x:v>0</x:v>
      </x:c>
      <x:c r="AF749" s="193" t="b">
        <x:v>1</x:v>
      </x:c>
      <x:c r="AG749" s="193" t="b">
        <x:v>1</x:v>
      </x:c>
      <x:c r="AH749" s="193" t="b">
        <x:v>1</x:v>
      </x:c>
      <x:c r="AI749" s="193" t="b">
        <x:v>1</x:v>
      </x:c>
      <x:c r="AJ749" s="193" t="b">
        <x:v>1</x:v>
      </x:c>
    </x:row>
    <x:row r="750">
      <x:c r="A750" s="192" t="n">
        <x:v>1207881809440159000</x:v>
      </x:c>
      <x:c r="B750" s="192" t="str">
        <x:v>https://www.airbnb.com.br/rooms/1207881809440158991</x:v>
      </x:c>
      <x:c r="C750" s="192" t="str">
        <x:v>Studio em Edifício com Piscina Vista Mar MHFA0604</x:v>
      </x:c>
      <x:c r="D750" s="192" t="str">
        <x:v>Centro</x:v>
      </x:c>
      <x:c r="E750" s="192" t="n">
        <x:v>-27.09231</x:v>
      </x:c>
      <x:c r="F750" s="192" t="n">
        <x:v>-48.61455</x:v>
      </x:c>
      <x:c r="G750" s="192" t="str">
        <x:v>apartamento</x:v>
      </x:c>
      <x:c r="H750" s="192" t="n">
        <x:v>1</x:v>
      </x:c>
      <x:c r="I750" s="192" t="n">
        <x:v>1</x:v>
      </x:c>
      <x:c r="J750" s="192" t="n">
        <x:v>1</x:v>
      </x:c>
      <x:c r="K750" s="192" t="n">
        <x:v>2</x:v>
      </x:c>
      <x:c r="L750" s="192" t="n">
        <x:v>1</x:v>
      </x:c>
      <x:c r="M750" s="192" t="n">
        <x:v>5</x:v>
      </x:c>
      <x:c r="N750" s="192" t="n">
        <x:v>150</x:v>
      </x:c>
      <x:c r="O750" s="192" t="n">
        <x:v>0</x:v>
      </x:c>
      <x:c r="P750" s="193" t="b">
        <x:v>1</x:v>
      </x:c>
      <x:c r="Q750" s="193" t="b">
        <x:v>1</x:v>
      </x:c>
      <x:c r="R750" s="193" t="b">
        <x:v>0</x:v>
      </x:c>
      <x:c r="S750" s="193" t="b">
        <x:v>0</x:v>
      </x:c>
      <x:c r="T750" s="192" t="n">
        <x:v>82</x:v>
      </x:c>
      <x:c r="U750" s="192" t="n">
        <x:v>8</x:v>
      </x:c>
      <x:c r="V750" s="200" t="n">
        <x:v>0.0888888889</x:v>
      </x:c>
      <x:c r="W750" s="203" t="n">
        <x:v>427</x:v>
      </x:c>
      <x:c r="X750" s="203" t="n">
        <x:v>3464.79157081</x:v>
      </x:c>
      <x:c r="Y750" s="203" t="n">
        <x:v>8957.9298736984</x:v>
      </x:c>
      <x:c r="Z750" s="193" t="b">
        <x:v>1</x:v>
      </x:c>
      <x:c r="AA750" s="193" t="b">
        <x:v>1</x:v>
      </x:c>
      <x:c r="AB750" s="193" t="b">
        <x:v>1</x:v>
      </x:c>
      <x:c r="AC750" s="193" t="b">
        <x:v>1</x:v>
      </x:c>
      <x:c r="AD750" s="193" t="b">
        <x:v>1</x:v>
      </x:c>
      <x:c r="AE750" s="193" t="b">
        <x:v>0</x:v>
      </x:c>
      <x:c r="AF750" s="193" t="b">
        <x:v>1</x:v>
      </x:c>
      <x:c r="AG750" s="193" t="b">
        <x:v>1</x:v>
      </x:c>
      <x:c r="AH750" s="193" t="b">
        <x:v>1</x:v>
      </x:c>
      <x:c r="AI750" s="193" t="b">
        <x:v>0</x:v>
      </x:c>
      <x:c r="AJ750" s="193" t="b">
        <x:v>0</x:v>
      </x:c>
    </x:row>
    <x:row r="751">
      <x:c r="A751" s="192" t="n">
        <x:v>26197944</x:v>
      </x:c>
      <x:c r="B751" s="192" t="str">
        <x:v>https://www.airbnb.com.br/rooms/26197944</x:v>
      </x:c>
      <x:c r="C751" s="192" t="str">
        <x:v>Vista do Mar,  180m/Praia,  R. 289</x:v>
      </x:c>
      <x:c r="D751" s="192" t="str">
        <x:v>Meia Praia</x:v>
      </x:c>
      <x:c r="E751" s="192" t="n">
        <x:v>-27.13813</x:v>
      </x:c>
      <x:c r="F751" s="192" t="n">
        <x:v>-48.59385</x:v>
      </x:c>
      <x:c r="G751" s="192" t="str">
        <x:v>apartamento</x:v>
      </x:c>
      <x:c r="H751" s="192" t="n">
        <x:v>2</x:v>
      </x:c>
      <x:c r="I751" s="192" t="n">
        <x:v>2</x:v>
      </x:c>
      <x:c r="J751" s="192" t="n">
        <x:v>2</x:v>
      </x:c>
      <x:c r="K751" s="192" t="n">
        <x:v>6</x:v>
      </x:c>
      <x:c r="L751" s="192" t="n">
        <x:v>38</x:v>
      </x:c>
      <x:c r="M751" s="192" t="n">
        <x:v>4.7899999619</x:v>
      </x:c>
      <x:c r="N751" s="192" t="n">
        <x:v>210</x:v>
      </x:c>
      <x:c r="O751" s="192" t="n">
        <x:v>36</x:v>
      </x:c>
      <x:c r="P751" s="193" t="b">
        <x:v>0</x:v>
      </x:c>
      <x:c r="Q751" s="193" t="b">
        <x:v>0</x:v>
      </x:c>
      <x:c r="R751" s="193" t="b">
        <x:v>0</x:v>
      </x:c>
      <x:c r="S751" s="193" t="b">
        <x:v>0</x:v>
      </x:c>
      <x:c r="T751" s="192" t="n">
        <x:v>58</x:v>
      </x:c>
      <x:c r="U751" s="192" t="n">
        <x:v>32</x:v>
      </x:c>
      <x:c r="V751" s="200" t="n">
        <x:v>0.3555555556</x:v>
      </x:c>
      <x:c r="W751" s="203" t="n">
        <x:v>425</x:v>
      </x:c>
      <x:c r="X751" s="203" t="n">
        <x:v>14526.0278676836</x:v>
      </x:c>
      <x:c r="Y751" s="203" t="n">
        <x:v>37555.8345495736</x:v>
      </x:c>
      <x:c r="Z751" s="193" t="b">
        <x:v>1</x:v>
      </x:c>
      <x:c r="AA751" s="193" t="b">
        <x:v>0</x:v>
      </x:c>
      <x:c r="AB751" s="193" t="b">
        <x:v>1</x:v>
      </x:c>
      <x:c r="AC751" s="193" t="b">
        <x:v>1</x:v>
      </x:c>
      <x:c r="AD751" s="193" t="b">
        <x:v>1</x:v>
      </x:c>
      <x:c r="AE751" s="193" t="b">
        <x:v>1</x:v>
      </x:c>
      <x:c r="AF751" s="193" t="b">
        <x:v>1</x:v>
      </x:c>
      <x:c r="AG751" s="193" t="b">
        <x:v>1</x:v>
      </x:c>
      <x:c r="AH751" s="193" t="b">
        <x:v>1</x:v>
      </x:c>
      <x:c r="AI751" s="193" t="b">
        <x:v>1</x:v>
      </x:c>
      <x:c r="AJ751" s="193" t="b">
        <x:v>1</x:v>
      </x:c>
    </x:row>
    <x:row r="752">
      <x:c r="A752" s="192" t="n">
        <x:v>1257312272803307000</x:v>
      </x:c>
      <x:c r="B752" s="192" t="str">
        <x:v>https://www.airbnb.com.br/rooms/1257312272803306995</x:v>
      </x:c>
      <x:c r="C752" s="192" t="str">
        <x:v>Apto com churrasqueira em Meia Praia - MLO0601</x:v>
      </x:c>
      <x:c r="D752" s="192" t="str">
        <x:v>Meia Praia</x:v>
      </x:c>
      <x:c r="E752" s="192" t="n">
        <x:v>-27.133659</x:v>
      </x:c>
      <x:c r="F752" s="192" t="n">
        <x:v>-48.6082168</x:v>
      </x:c>
      <x:c r="G752" s="192" t="str">
        <x:v>apartamento</x:v>
      </x:c>
      <x:c r="H752" s="192" t="n">
        <x:v>2</x:v>
      </x:c>
      <x:c r="I752" s="192" t="n">
        <x:v>2</x:v>
      </x:c>
      <x:c r="J752" s="192" t="n">
        <x:v>2</x:v>
      </x:c>
      <x:c r="K752" s="192" t="n">
        <x:v>4</x:v>
      </x:c>
      <x:c r="L752" s="192" t="n">
        <x:v>8</x:v>
      </x:c>
      <x:c r="M752" s="192" t="n">
        <x:v>4.75</x:v>
      </x:c>
      <x:c r="N752" s="192" t="n">
        <x:v>369</x:v>
      </x:c>
      <x:c r="O752" s="192" t="n">
        <x:v>0</x:v>
      </x:c>
      <x:c r="P752" s="193" t="b">
        <x:v>1</x:v>
      </x:c>
      <x:c r="Q752" s="193" t="b">
        <x:v>1</x:v>
      </x:c>
      <x:c r="R752" s="193" t="b">
        <x:v>0</x:v>
      </x:c>
      <x:c r="S752" s="193" t="b">
        <x:v>0</x:v>
      </x:c>
      <x:c r="T752" s="192" t="n">
        <x:v>73</x:v>
      </x:c>
      <x:c r="U752" s="192" t="n">
        <x:v>17</x:v>
      </x:c>
      <x:c r="V752" s="200" t="n">
        <x:v>0.1888888889</x:v>
      </x:c>
      <x:c r="W752" s="203" t="n">
        <x:v>523</x:v>
      </x:c>
      <x:c r="X752" s="203" t="n">
        <x:v>8824.3985974962</x:v>
      </x:c>
      <x:c r="Y752" s="203" t="n">
        <x:v>22814.7472072767</x:v>
      </x:c>
      <x:c r="Z752" s="193" t="b">
        <x:v>1</x:v>
      </x:c>
      <x:c r="AA752" s="193" t="b">
        <x:v>0</x:v>
      </x:c>
      <x:c r="AB752" s="193" t="b">
        <x:v>1</x:v>
      </x:c>
      <x:c r="AC752" s="193" t="b">
        <x:v>1</x:v>
      </x:c>
      <x:c r="AD752" s="193" t="b">
        <x:v>1</x:v>
      </x:c>
      <x:c r="AE752" s="193" t="b">
        <x:v>0</x:v>
      </x:c>
      <x:c r="AF752" s="193" t="b">
        <x:v>1</x:v>
      </x:c>
      <x:c r="AG752" s="193" t="b">
        <x:v>1</x:v>
      </x:c>
      <x:c r="AH752" s="193" t="b">
        <x:v>1</x:v>
      </x:c>
      <x:c r="AI752" s="193" t="b">
        <x:v>1</x:v>
      </x:c>
      <x:c r="AJ752" s="193" t="b">
        <x:v>0</x:v>
      </x:c>
    </x:row>
    <x:row r="753">
      <x:c r="A753" s="192" t="n">
        <x:v>678242953903454000</x:v>
      </x:c>
      <x:c r="B753" s="192" t="str">
        <x:v>https://www.airbnb.com.br/rooms/678242953903453952</x:v>
      </x:c>
      <x:c r="C753" s="192" t="str">
        <x:v>Apartamento em Meia Praia, próximo do mar!</x:v>
      </x:c>
      <x:c r="D753" s="192" t="str">
        <x:v>Meia Praia</x:v>
      </x:c>
      <x:c r="E753" s="192" t="n">
        <x:v>-27.13409</x:v>
      </x:c>
      <x:c r="F753" s="192" t="n">
        <x:v>-48.59766</x:v>
      </x:c>
      <x:c r="G753" s="192" t="str">
        <x:v>apartamento</x:v>
      </x:c>
      <x:c r="H753" s="192" t="n">
        <x:v>2</x:v>
      </x:c>
      <x:c r="I753" s="192" t="n">
        <x:v>2</x:v>
      </x:c>
      <x:c r="J753" s="192" t="n">
        <x:v>3</x:v>
      </x:c>
      <x:c r="K753" s="192" t="n">
        <x:v>6</x:v>
      </x:c>
      <x:c r="L753" s="192" t="n">
        <x:v>10</x:v>
      </x:c>
      <x:c r="M753" s="192" t="n">
        <x:v>5</x:v>
      </x:c>
      <x:c r="N753" s="192" t="n">
        <x:v>200</x:v>
      </x:c>
      <x:c r="O753" s="192" t="n">
        <x:v>25</x:v>
      </x:c>
      <x:c r="P753" s="193" t="b">
        <x:v>1</x:v>
      </x:c>
      <x:c r="Q753" s="193" t="b">
        <x:v>0</x:v>
      </x:c>
      <x:c r="R753" s="193" t="b">
        <x:v>1</x:v>
      </x:c>
      <x:c r="S753" s="193" t="b">
        <x:v>1</x:v>
      </x:c>
      <x:c r="T753" s="192" t="n">
        <x:v>47</x:v>
      </x:c>
      <x:c r="U753" s="192" t="n">
        <x:v>43</x:v>
      </x:c>
      <x:c r="V753" s="200" t="n">
        <x:v>0.4777777778</x:v>
      </x:c>
      <x:c r="W753" s="203" t="n">
        <x:v>350</x:v>
      </x:c>
      <x:c r="X753" s="203" t="n">
        <x:v>15507.773927308</x:v>
      </x:c>
      <x:c r="Y753" s="203" t="n">
        <x:v>40094.057174561</x:v>
      </x:c>
      <x:c r="Z753" s="193" t="b">
        <x:v>1</x:v>
      </x:c>
      <x:c r="AA753" s="193" t="b">
        <x:v>0</x:v>
      </x:c>
      <x:c r="AB753" s="193" t="b">
        <x:v>1</x:v>
      </x:c>
      <x:c r="AC753" s="193" t="b">
        <x:v>1</x:v>
      </x:c>
      <x:c r="AD753" s="193" t="b">
        <x:v>1</x:v>
      </x:c>
      <x:c r="AE753" s="193" t="b">
        <x:v>0</x:v>
      </x:c>
      <x:c r="AF753" s="193" t="b">
        <x:v>1</x:v>
      </x:c>
      <x:c r="AG753" s="193" t="b">
        <x:v>1</x:v>
      </x:c>
      <x:c r="AH753" s="193" t="b">
        <x:v>1</x:v>
      </x:c>
      <x:c r="AI753" s="193" t="b">
        <x:v>1</x:v>
      </x:c>
      <x:c r="AJ753" s="193" t="b">
        <x:v>1</x:v>
      </x:c>
    </x:row>
    <x:row r="754">
      <x:c r="A754" s="192" t="n">
        <x:v>807400945391416700</x:v>
      </x:c>
      <x:c r="B754" s="192" t="str">
        <x:v>https://www.airbnb.com.br/rooms/807400945391416643</x:v>
      </x:c>
      <x:c r="C754" s="192" t="str">
        <x:v>Cobertura beira-mar com a melhor vista de Itapema!</x:v>
      </x:c>
      <x:c r="D754" s="192" t="str">
        <x:v>Centro</x:v>
      </x:c>
      <x:c r="E754" s="192" t="n">
        <x:v>-27.0949993134</x:v>
      </x:c>
      <x:c r="F754" s="192" t="n">
        <x:v>-48.6129989624</x:v>
      </x:c>
      <x:c r="G754" s="192" t="str">
        <x:v>apartamento</x:v>
      </x:c>
      <x:c r="H754" s="192" t="n">
        <x:v>4</x:v>
      </x:c>
      <x:c r="I754" s="192" t="n">
        <x:v>3</x:v>
      </x:c>
      <x:c r="J754" s="192" t="n">
        <x:v>6</x:v>
      </x:c>
      <x:c r="K754" s="192" t="n">
        <x:v>12</x:v>
      </x:c>
      <x:c r="L754" s="192" t="n">
        <x:v>39</x:v>
      </x:c>
      <x:c r="M754" s="192" t="n">
        <x:v>4.9000000954</x:v>
      </x:c>
      <x:c r="N754" s="192" t="n">
        <x:v>250</x:v>
      </x:c>
      <x:c r="O754" s="192" t="n">
        <x:v>64</x:v>
      </x:c>
      <x:c r="P754" s="193" t="b">
        <x:v>0</x:v>
      </x:c>
      <x:c r="Q754" s="193" t="b">
        <x:v>0</x:v>
      </x:c>
      <x:c r="R754" s="193" t="b">
        <x:v>1</x:v>
      </x:c>
      <x:c r="S754" s="193" t="b">
        <x:v>1</x:v>
      </x:c>
      <x:c r="T754" s="192" t="n">
        <x:v>19</x:v>
      </x:c>
      <x:c r="U754" s="192" t="n">
        <x:v>71</x:v>
      </x:c>
      <x:c r="V754" s="200" t="n">
        <x:v>0.7888888889</x:v>
      </x:c>
      <x:c r="W754" s="203" t="n">
        <x:v>450</x:v>
      </x:c>
      <x:c r="X754" s="203" t="n">
        <x:v>32303.3491909111</x:v>
      </x:c>
      <x:c r="Y754" s="203" t="n">
        <x:v>83517.6173873347</x:v>
      </x:c>
      <x:c r="Z754" s="193" t="b">
        <x:v>0</x:v>
      </x:c>
      <x:c r="AA754" s="193" t="b">
        <x:v>0</x:v>
      </x:c>
      <x:c r="AB754" s="193" t="b">
        <x:v>1</x:v>
      </x:c>
      <x:c r="AC754" s="193" t="b">
        <x:v>1</x:v>
      </x:c>
      <x:c r="AD754" s="193" t="b">
        <x:v>1</x:v>
      </x:c>
      <x:c r="AE754" s="193" t="b">
        <x:v>1</x:v>
      </x:c>
      <x:c r="AF754" s="193" t="b">
        <x:v>1</x:v>
      </x:c>
      <x:c r="AG754" s="193" t="b">
        <x:v>1</x:v>
      </x:c>
      <x:c r="AH754" s="193" t="b">
        <x:v>1</x:v>
      </x:c>
      <x:c r="AI754" s="193" t="b">
        <x:v>1</x:v>
      </x:c>
      <x:c r="AJ754" s="193" t="b">
        <x:v>1</x:v>
      </x:c>
    </x:row>
    <x:row r="755">
      <x:c r="A755" s="192" t="n">
        <x:v>38514587</x:v>
      </x:c>
      <x:c r="B755" s="192" t="str">
        <x:v>https://www.airbnb.com.br/rooms/38514587</x:v>
      </x:c>
      <x:c r="C755" s="192" t="str">
        <x:v>Ap família /50 mts do Mar, spa e churrasqueira!</x:v>
      </x:c>
      <x:c r="D755" s="192" t="str">
        <x:v>Meia Praia</x:v>
      </x:c>
      <x:c r="E755" s="192" t="n">
        <x:v>-27.12364</x:v>
      </x:c>
      <x:c r="F755" s="192" t="n">
        <x:v>-48.60868</x:v>
      </x:c>
      <x:c r="G755" s="192" t="str">
        <x:v>apartamento</x:v>
      </x:c>
      <x:c r="H755" s="192" t="n">
        <x:v>4</x:v>
      </x:c>
      <x:c r="I755" s="192" t="n">
        <x:v>3</x:v>
      </x:c>
      <x:c r="J755" s="192" t="n">
        <x:v>4</x:v>
      </x:c>
      <x:c r="K755" s="192" t="n">
        <x:v>7</x:v>
      </x:c>
      <x:c r="L755" s="192" t="n">
        <x:v>9</x:v>
      </x:c>
      <x:c r="M755" s="192" t="n">
        <x:v>5</x:v>
      </x:c>
      <x:c r="N755" s="192" t="n">
        <x:v>300</x:v>
      </x:c>
      <x:c r="O755" s="192" t="n">
        <x:v>16</x:v>
      </x:c>
      <x:c r="P755" s="193" t="b">
        <x:v>0</x:v>
      </x:c>
      <x:c r="Q755" s="193" t="b">
        <x:v>0</x:v>
      </x:c>
      <x:c r="R755" s="193" t="b">
        <x:v>0</x:v>
      </x:c>
      <x:c r="S755" s="193" t="b">
        <x:v>0</x:v>
      </x:c>
      <x:c r="T755" s="192" t="n">
        <x:v>90</x:v>
      </x:c>
      <x:c r="U755" s="192" t="n">
        <x:v>0</x:v>
      </x:c>
      <x:c r="V755" s="200" t="n">
        <x:v>0</x:v>
      </x:c>
      <x:c r="W755" s="203" t="n">
        <x:v>867.3333</x:v>
      </x:c>
      <x:c r="X755" s="203" t="n">
        <x:v>0</x:v>
      </x:c>
      <x:c r="Y755" s="203" t="n">
        <x:v>0</x:v>
      </x:c>
      <x:c r="Z755" s="193" t="b">
        <x:v>1</x:v>
      </x:c>
      <x:c r="AA755" s="193" t="b">
        <x:v>0</x:v>
      </x:c>
      <x:c r="AB755" s="193" t="b">
        <x:v>1</x:v>
      </x:c>
      <x:c r="AC755" s="193" t="b">
        <x:v>1</x:v>
      </x:c>
      <x:c r="AD755" s="193" t="b">
        <x:v>1</x:v>
      </x:c>
      <x:c r="AE755" s="193" t="b">
        <x:v>1</x:v>
      </x:c>
      <x:c r="AF755" s="193" t="b">
        <x:v>1</x:v>
      </x:c>
      <x:c r="AG755" s="193" t="b">
        <x:v>1</x:v>
      </x:c>
      <x:c r="AH755" s="193" t="b">
        <x:v>1</x:v>
      </x:c>
      <x:c r="AI755" s="193" t="b">
        <x:v>1</x:v>
      </x:c>
      <x:c r="AJ755" s="193" t="b">
        <x:v>1</x:v>
      </x:c>
    </x:row>
    <x:row r="756">
      <x:c r="A756" s="192" t="n">
        <x:v>840525492567265500</x:v>
      </x:c>
      <x:c r="B756" s="192" t="str">
        <x:v>https://www.airbnb.com.br/rooms/840525492567265584</x:v>
      </x:c>
      <x:c r="C756" s="192" t="str">
        <x:v>Casa de frente ao
mar!</x:v>
      </x:c>
      <x:c r="D756" s="192" t="str">
        <x:v>Centro</x:v>
      </x:c>
      <x:c r="E756" s="192" t="n">
        <x:v>-27.0944900513</x:v>
      </x:c>
      <x:c r="F756" s="192" t="n">
        <x:v>-48.6129188538</x:v>
      </x:c>
      <x:c r="G756" s="192" t="str">
        <x:v>casa</x:v>
      </x:c>
      <x:c r="H756" s="192" t="n">
        <x:v>4</x:v>
      </x:c>
      <x:c r="I756" s="192" t="n">
        <x:v>3</x:v>
      </x:c>
      <x:c r="J756" s="192" t="n">
        <x:v>7</x:v>
      </x:c>
      <x:c r="K756" s="192" t="n">
        <x:v>11</x:v>
      </x:c>
      <x:c r="L756" s="192" t="n">
        <x:v>24</x:v>
      </x:c>
      <x:c r="M756" s="192" t="n">
        <x:v>4.9600000381</x:v>
      </x:c>
      <x:c r="N756" s="192" t="n">
        <x:v>200</x:v>
      </x:c>
      <x:c r="O756" s="192" t="n">
        <x:v>54</x:v>
      </x:c>
      <x:c r="P756" s="193" t="b">
        <x:v>1</x:v>
      </x:c>
      <x:c r="Q756" s="193" t="b">
        <x:v>0</x:v>
      </x:c>
      <x:c r="R756" s="193" t="b">
        <x:v>1</x:v>
      </x:c>
      <x:c r="S756" s="193" t="b">
        <x:v>1</x:v>
      </x:c>
      <x:c r="T756" s="192" t="n">
        <x:v>39</x:v>
      </x:c>
      <x:c r="U756" s="192" t="n">
        <x:v>51</x:v>
      </x:c>
      <x:c r="V756" s="200" t="n">
        <x:v>0.5666666667</x:v>
      </x:c>
      <x:c r="W756" s="203" t="n">
        <x:v>1000</x:v>
      </x:c>
      <x:c r="X756" s="203" t="n">
        <x:v>50378.1325975937</x:v>
      </x:c>
      <x:c r="Y756" s="203" t="n">
        <x:v>130248.463653362</x:v>
      </x:c>
      <x:c r="Z756" s="193" t="b">
        <x:v>0</x:v>
      </x:c>
      <x:c r="AA756" s="193" t="b">
        <x:v>0</x:v>
      </x:c>
      <x:c r="AB756" s="193" t="b">
        <x:v>1</x:v>
      </x:c>
      <x:c r="AC756" s="193" t="b">
        <x:v>1</x:v>
      </x:c>
      <x:c r="AD756" s="193" t="b">
        <x:v>0</x:v>
      </x:c>
      <x:c r="AE756" s="193" t="b">
        <x:v>1</x:v>
      </x:c>
      <x:c r="AF756" s="193" t="b">
        <x:v>1</x:v>
      </x:c>
      <x:c r="AG756" s="193" t="b">
        <x:v>1</x:v>
      </x:c>
      <x:c r="AH756" s="193" t="b">
        <x:v>1</x:v>
      </x:c>
      <x:c r="AI756" s="193" t="b">
        <x:v>1</x:v>
      </x:c>
      <x:c r="AJ756" s="193" t="b">
        <x:v>1</x:v>
      </x:c>
    </x:row>
    <x:row r="757">
      <x:c r="A757" s="192" t="n">
        <x:v>39316910</x:v>
      </x:c>
      <x:c r="B757" s="192" t="str">
        <x:v>https://www.airbnb.com.br/rooms/39316910</x:v>
      </x:c>
      <x:c r="C757" s="192" t="str">
        <x:v>PÉ NA AREIA - FRENTE PRO MAR - MEIA PRAIA -ITAPEMA</x:v>
      </x:c>
      <x:c r="D757" s="192" t="str">
        <x:v>Meia Praia</x:v>
      </x:c>
      <x:c r="E757" s="192" t="n">
        <x:v>-27.12098</x:v>
      </x:c>
      <x:c r="F757" s="192" t="n">
        <x:v>-48.6058</x:v>
      </x:c>
      <x:c r="G757" s="192" t="str">
        <x:v>apartamento</x:v>
      </x:c>
      <x:c r="H757" s="192" t="n">
        <x:v>4</x:v>
      </x:c>
      <x:c r="I757" s="192" t="n">
        <x:v>3</x:v>
      </x:c>
      <x:c r="J757" s="192" t="n">
        <x:v>4</x:v>
      </x:c>
      <x:c r="K757" s="192" t="n">
        <x:v>10</x:v>
      </x:c>
      <x:c r="L757" s="192" t="n">
        <x:v>52</x:v>
      </x:c>
      <x:c r="M757" s="192" t="n">
        <x:v>4.7899999619</x:v>
      </x:c>
      <x:c r="N757" s="192" t="n">
        <x:v>300</x:v>
      </x:c>
      <x:c r="O757" s="192" t="n">
        <x:v>30</x:v>
      </x:c>
      <x:c r="P757" s="193" t="b">
        <x:v>0</x:v>
      </x:c>
      <x:c r="Q757" s="193" t="b">
        <x:v>0</x:v>
      </x:c>
      <x:c r="R757" s="193" t="b">
        <x:v>1</x:v>
      </x:c>
      <x:c r="S757" s="193" t="b">
        <x:v>0</x:v>
      </x:c>
      <x:c r="T757" s="192" t="n">
        <x:v>15</x:v>
      </x:c>
      <x:c r="U757" s="192" t="n">
        <x:v>75</x:v>
      </x:c>
      <x:c r="V757" s="200" t="n">
        <x:v>0.8333333333</x:v>
      </x:c>
      <x:c r="W757" s="203" t="n">
        <x:v>790</x:v>
      </x:c>
      <x:c r="X757" s="203" t="n">
        <x:v>59617.7603598001</x:v>
      </x:c>
      <x:c r="Y757" s="203" t="n">
        <x:v>154136.7512635666</x:v>
      </x:c>
      <x:c r="Z757" s="193" t="b">
        <x:v>0</x:v>
      </x:c>
      <x:c r="AA757" s="193" t="b">
        <x:v>0</x:v>
      </x:c>
      <x:c r="AB757" s="193" t="b">
        <x:v>1</x:v>
      </x:c>
      <x:c r="AC757" s="193" t="b">
        <x:v>1</x:v>
      </x:c>
      <x:c r="AD757" s="193" t="b">
        <x:v>1</x:v>
      </x:c>
      <x:c r="AE757" s="193" t="b">
        <x:v>1</x:v>
      </x:c>
      <x:c r="AF757" s="193" t="b">
        <x:v>1</x:v>
      </x:c>
      <x:c r="AG757" s="193" t="b">
        <x:v>1</x:v>
      </x:c>
      <x:c r="AH757" s="193" t="b">
        <x:v>1</x:v>
      </x:c>
      <x:c r="AI757" s="193" t="b">
        <x:v>1</x:v>
      </x:c>
      <x:c r="AJ757" s="193" t="b">
        <x:v>1</x:v>
      </x:c>
    </x:row>
    <x:row r="758">
      <x:c r="A758" s="192" t="n">
        <x:v>39394644</x:v>
      </x:c>
      <x:c r="B758" s="192" t="str">
        <x:v>https://www.airbnb.com.br/rooms/39394644</x:v>
      </x:c>
      <x:c r="C758" s="192" t="str">
        <x:v>3 Dormitórios c/ar cond, garagem, Rua McDonalds</x:v>
      </x:c>
      <x:c r="D758" s="192" t="str">
        <x:v>Meia Praia</x:v>
      </x:c>
      <x:c r="E758" s="192" t="n">
        <x:v>-27.12987</x:v>
      </x:c>
      <x:c r="F758" s="192" t="n">
        <x:v>-48.59797</x:v>
      </x:c>
      <x:c r="G758" s="192" t="str">
        <x:v>apartamento</x:v>
      </x:c>
      <x:c r="H758" s="192" t="n">
        <x:v>3</x:v>
      </x:c>
      <x:c r="I758" s="192" t="n">
        <x:v>2</x:v>
      </x:c>
      <x:c r="J758" s="192" t="n">
        <x:v>5</x:v>
      </x:c>
      <x:c r="K758" s="192" t="n">
        <x:v>8</x:v>
      </x:c>
      <x:c r="L758" s="192" t="n">
        <x:v>5</x:v>
      </x:c>
      <x:c r="M758" s="192" t="n">
        <x:v>5</x:v>
      </x:c>
      <x:c r="N758" s="192" t="n">
        <x:v>300</x:v>
      </x:c>
      <x:c r="O758" s="192" t="n">
        <x:v>26</x:v>
      </x:c>
      <x:c r="P758" s="193" t="b">
        <x:v>0</x:v>
      </x:c>
      <x:c r="Q758" s="193" t="b">
        <x:v>0</x:v>
      </x:c>
      <x:c r="R758" s="193" t="b">
        <x:v>0</x:v>
      </x:c>
      <x:c r="S758" s="193" t="b">
        <x:v>0</x:v>
      </x:c>
      <x:c r="T758" s="192" t="n">
        <x:v>73</x:v>
      </x:c>
      <x:c r="U758" s="192" t="n">
        <x:v>17</x:v>
      </x:c>
      <x:c r="V758" s="200" t="n">
        <x:v>0.1888888889</x:v>
      </x:c>
      <x:c r="W758" s="203" t="n">
        <x:v>650</x:v>
      </x:c>
      <x:c r="X758" s="203" t="n">
        <x:v>11008.0536312469</x:v>
      </x:c>
      <x:c r="Y758" s="203" t="n">
        <x:v>28460.4053257863</x:v>
      </x:c>
      <x:c r="Z758" s="193" t="b">
        <x:v>1</x:v>
      </x:c>
      <x:c r="AA758" s="193" t="b">
        <x:v>0</x:v>
      </x:c>
      <x:c r="AB758" s="193" t="b">
        <x:v>1</x:v>
      </x:c>
      <x:c r="AC758" s="193" t="b">
        <x:v>1</x:v>
      </x:c>
      <x:c r="AD758" s="193" t="b">
        <x:v>1</x:v>
      </x:c>
      <x:c r="AE758" s="193" t="b">
        <x:v>0</x:v>
      </x:c>
      <x:c r="AF758" s="193" t="b">
        <x:v>0</x:v>
      </x:c>
      <x:c r="AG758" s="193" t="b">
        <x:v>1</x:v>
      </x:c>
      <x:c r="AH758" s="193" t="b">
        <x:v>1</x:v>
      </x:c>
      <x:c r="AI758" s="193" t="b">
        <x:v>1</x:v>
      </x:c>
      <x:c r="AJ758" s="193" t="b">
        <x:v>0</x:v>
      </x:c>
    </x:row>
    <x:row r="759">
      <x:c r="A759" s="192" t="n">
        <x:v>21091876</x:v>
      </x:c>
      <x:c r="B759" s="192" t="str">
        <x:v>https://www.airbnb.com.br/rooms/21091876</x:v>
      </x:c>
      <x:c r="C759" s="192" t="str">
        <x:v>Lugar perfeito para temporada em Meia Praia - SC!</x:v>
      </x:c>
      <x:c r="D759" s="192" t="str">
        <x:v>Meia Praia</x:v>
      </x:c>
      <x:c r="E759" s="192" t="n">
        <x:v>-27.12244</x:v>
      </x:c>
      <x:c r="F759" s="192" t="n">
        <x:v>-48.60431</x:v>
      </x:c>
      <x:c r="G759" s="192" t="str">
        <x:v>apartamento</x:v>
      </x:c>
      <x:c r="H759" s="192" t="n">
        <x:v>3</x:v>
      </x:c>
      <x:c r="I759" s="192" t="n">
        <x:v>2</x:v>
      </x:c>
      <x:c r="J759" s="192" t="n">
        <x:v>3</x:v>
      </x:c>
      <x:c r="K759" s="192" t="n">
        <x:v>6</x:v>
      </x:c>
      <x:c r="L759" s="192" t="n">
        <x:v>11</x:v>
      </x:c>
      <x:c r="M759" s="192" t="n">
        <x:v>4.9099998474</x:v>
      </x:c>
      <x:c r="N759" s="192" t="n">
        <x:v>350</x:v>
      </x:c>
      <x:c r="O759" s="192" t="n">
        <x:v>24</x:v>
      </x:c>
      <x:c r="P759" s="193" t="b">
        <x:v>0</x:v>
      </x:c>
      <x:c r="Q759" s="193" t="b">
        <x:v>0</x:v>
      </x:c>
      <x:c r="R759" s="193" t="b">
        <x:v>0</x:v>
      </x:c>
      <x:c r="S759" s="193" t="b">
        <x:v>0</x:v>
      </x:c>
      <x:c r="T759" s="192" t="n">
        <x:v>77</x:v>
      </x:c>
      <x:c r="U759" s="192" t="n">
        <x:v>13</x:v>
      </x:c>
      <x:c r="V759" s="200" t="n">
        <x:v>0.1444444444</x:v>
      </x:c>
      <x:c r="W759" s="203" t="n">
        <x:v>700</x:v>
      </x:c>
      <x:c r="X759" s="203" t="n">
        <x:v>8870.7142447043</x:v>
      </x:c>
      <x:c r="Y759" s="203" t="n">
        <x:v>22934.492453496</x:v>
      </x:c>
      <x:c r="Z759" s="193" t="b">
        <x:v>1</x:v>
      </x:c>
      <x:c r="AA759" s="193" t="b">
        <x:v>0</x:v>
      </x:c>
      <x:c r="AB759" s="193" t="b">
        <x:v>1</x:v>
      </x:c>
      <x:c r="AC759" s="193" t="b">
        <x:v>1</x:v>
      </x:c>
      <x:c r="AD759" s="193" t="b">
        <x:v>1</x:v>
      </x:c>
      <x:c r="AE759" s="193" t="b">
        <x:v>0</x:v>
      </x:c>
      <x:c r="AF759" s="193" t="b">
        <x:v>0</x:v>
      </x:c>
      <x:c r="AG759" s="193" t="b">
        <x:v>1</x:v>
      </x:c>
      <x:c r="AH759" s="193" t="b">
        <x:v>1</x:v>
      </x:c>
      <x:c r="AI759" s="193" t="b">
        <x:v>1</x:v>
      </x:c>
      <x:c r="AJ759" s="193" t="b">
        <x:v>1</x:v>
      </x:c>
    </x:row>
    <x:row r="760">
      <x:c r="A760" s="192" t="n">
        <x:v>1307990676918355000</x:v>
      </x:c>
      <x:c r="B760" s="192" t="str">
        <x:v>https://www.airbnb.com.br/rooms/1307990676918354925</x:v>
      </x:c>
      <x:c r="C760" s="192" t="str">
        <x:v>Apto em cond c/ piscina vista mar MHF2001</x:v>
      </x:c>
      <x:c r="D760" s="192" t="str">
        <x:v>Centro</x:v>
      </x:c>
      <x:c r="E760" s="192" t="n">
        <x:v>-27.0936468951</x:v>
      </x:c>
      <x:c r="F760" s="192" t="n">
        <x:v>-48.6130821638</x:v>
      </x:c>
      <x:c r="G760" s="192" t="str">
        <x:v>apartamento</x:v>
      </x:c>
      <x:c r="H760" s="192" t="n">
        <x:v>1</x:v>
      </x:c>
      <x:c r="I760" s="192" t="n">
        <x:v>1</x:v>
      </x:c>
      <x:c r="J760" s="192" t="n">
        <x:v>2</x:v>
      </x:c>
      <x:c r="K760" s="192" t="n">
        <x:v>4</x:v>
      </x:c>
      <x:c r="L760" s="192" t="n">
        <x:v>3</x:v>
      </x:c>
      <x:c r="M760" s="192" t="n">
        <x:v>4.6700000763</x:v>
      </x:c>
      <x:c r="N760" s="192" t="n">
        <x:v>190</x:v>
      </x:c>
      <x:c r="O760" s="192" t="n">
        <x:v>0</x:v>
      </x:c>
      <x:c r="P760" s="193" t="b">
        <x:v>1</x:v>
      </x:c>
      <x:c r="Q760" s="193" t="b">
        <x:v>1</x:v>
      </x:c>
      <x:c r="R760" s="193" t="b">
        <x:v>0</x:v>
      </x:c>
      <x:c r="S760" s="193" t="b">
        <x:v>0</x:v>
      </x:c>
      <x:c r="T760" s="192" t="n">
        <x:v>79</x:v>
      </x:c>
      <x:c r="U760" s="192" t="n">
        <x:v>11</x:v>
      </x:c>
      <x:c r="V760" s="200" t="n">
        <x:v>0.1222222222</x:v>
      </x:c>
      <x:c r="W760" s="203" t="n">
        <x:v>554</x:v>
      </x:c>
      <x:c r="X760" s="203" t="n">
        <x:v>6068.1976783337</x:v>
      </x:c>
      <x:c r="Y760" s="203" t="n">
        <x:v>15688.8194141919</x:v>
      </x:c>
      <x:c r="Z760" s="193" t="b">
        <x:v>1</x:v>
      </x:c>
      <x:c r="AA760" s="193" t="b">
        <x:v>1</x:v>
      </x:c>
      <x:c r="AB760" s="193" t="b">
        <x:v>1</x:v>
      </x:c>
      <x:c r="AC760" s="193" t="b">
        <x:v>1</x:v>
      </x:c>
      <x:c r="AD760" s="193" t="b">
        <x:v>1</x:v>
      </x:c>
      <x:c r="AE760" s="193" t="b">
        <x:v>0</x:v>
      </x:c>
      <x:c r="AF760" s="193" t="b">
        <x:v>1</x:v>
      </x:c>
      <x:c r="AG760" s="193" t="b">
        <x:v>1</x:v>
      </x:c>
      <x:c r="AH760" s="193" t="b">
        <x:v>1</x:v>
      </x:c>
      <x:c r="AI760" s="193" t="b">
        <x:v>1</x:v>
      </x:c>
      <x:c r="AJ760" s="193" t="b">
        <x:v>0</x:v>
      </x:c>
    </x:row>
    <x:row r="761">
      <x:c r="A761" s="192" t="n">
        <x:v>687757820659405600</x:v>
      </x:c>
      <x:c r="B761" s="192" t="str">
        <x:v>https://www.airbnb.com.br/rooms/687757820659405525</x:v>
      </x:c>
      <x:c r="C761" s="192" t="str">
        <x:v>Apartamento novo e aconchegante, 250m do mar.</x:v>
      </x:c>
      <x:c r="D761" s="192" t="str">
        <x:v>Morretes</x:v>
      </x:c>
      <x:c r="E761" s="192" t="n">
        <x:v>-27.1179432516</x:v>
      </x:c>
      <x:c r="F761" s="192" t="n">
        <x:v>-48.6103539169</x:v>
      </x:c>
      <x:c r="G761" s="192" t="str">
        <x:v>apartamento</x:v>
      </x:c>
      <x:c r="H761" s="192" t="n">
        <x:v>2</x:v>
      </x:c>
      <x:c r="I761" s="192" t="n">
        <x:v>2</x:v>
      </x:c>
      <x:c r="J761" s="192" t="n">
        <x:v>3</x:v>
      </x:c>
      <x:c r="K761" s="192" t="n">
        <x:v>6</x:v>
      </x:c>
      <x:c r="L761" s="192" t="n">
        <x:v>8</x:v>
      </x:c>
      <x:c r="M761" s="192" t="n">
        <x:v>5</x:v>
      </x:c>
      <x:c r="N761" s="192" t="n">
        <x:v>220</x:v>
      </x:c>
      <x:c r="O761" s="192" t="n">
        <x:v>22</x:v>
      </x:c>
      <x:c r="P761" s="193" t="b">
        <x:v>0</x:v>
      </x:c>
      <x:c r="Q761" s="193" t="b">
        <x:v>0</x:v>
      </x:c>
      <x:c r="R761" s="193" t="b">
        <x:v>1</x:v>
      </x:c>
      <x:c r="S761" s="193" t="b">
        <x:v>0</x:v>
      </x:c>
      <x:c r="T761" s="192" t="n">
        <x:v>86</x:v>
      </x:c>
      <x:c r="U761" s="192" t="n">
        <x:v>4</x:v>
      </x:c>
      <x:c r="V761" s="200" t="n">
        <x:v>0.0444444444</x:v>
      </x:c>
      <x:c r="W761" s="203" t="n">
        <x:v>557.5</x:v>
      </x:c>
      <x:c r="X761" s="203" t="n">
        <x:v>2306.9750234535</x:v>
      </x:c>
      <x:c r="Y761" s="203" t="n">
        <x:v>5964.4916752205</x:v>
      </x:c>
      <x:c r="Z761" s="193" t="b">
        <x:v>1</x:v>
      </x:c>
      <x:c r="AA761" s="193" t="b">
        <x:v>0</x:v>
      </x:c>
      <x:c r="AB761" s="193" t="b">
        <x:v>1</x:v>
      </x:c>
      <x:c r="AC761" s="193" t="b">
        <x:v>1</x:v>
      </x:c>
      <x:c r="AD761" s="193" t="b">
        <x:v>0</x:v>
      </x:c>
      <x:c r="AE761" s="193" t="b">
        <x:v>1</x:v>
      </x:c>
      <x:c r="AF761" s="193" t="b">
        <x:v>1</x:v>
      </x:c>
      <x:c r="AG761" s="193" t="b">
        <x:v>1</x:v>
      </x:c>
      <x:c r="AH761" s="193" t="b">
        <x:v>1</x:v>
      </x:c>
      <x:c r="AI761" s="193" t="b">
        <x:v>1</x:v>
      </x:c>
      <x:c r="AJ761" s="193" t="b">
        <x:v>1</x:v>
      </x:c>
    </x:row>
    <x:row r="762">
      <x:c r="A762" s="192" t="n">
        <x:v>770131545986036200</x:v>
      </x:c>
      <x:c r="B762" s="192" t="str">
        <x:v>https://www.airbnb.com.br/rooms/770131545986036241</x:v>
      </x:c>
      <x:c r="C762" s="192" t="str">
        <x:v>Ap 03 suítes no Coração da Meia Praia!</x:v>
      </x:c>
      <x:c r="D762" s="192" t="str">
        <x:v>Meia Praia</x:v>
      </x:c>
      <x:c r="E762" s="192" t="n">
        <x:v>-27.131439209</x:v>
      </x:c>
      <x:c r="F762" s="192" t="n">
        <x:v>-48.602519989</x:v>
      </x:c>
      <x:c r="G762" s="192" t="str">
        <x:v>apartamento</x:v>
      </x:c>
      <x:c r="H762" s="192" t="n">
        <x:v>3</x:v>
      </x:c>
      <x:c r="I762" s="192" t="n">
        <x:v>3</x:v>
      </x:c>
      <x:c r="J762" s="192" t="n">
        <x:v>4</x:v>
      </x:c>
      <x:c r="K762" s="192" t="n">
        <x:v>8</x:v>
      </x:c>
      <x:c r="L762" s="192" t="n">
        <x:v>36</x:v>
      </x:c>
      <x:c r="M762" s="192" t="n">
        <x:v>4.9200000763</x:v>
      </x:c>
      <x:c r="N762" s="192" t="n">
        <x:v>300</x:v>
      </x:c>
      <x:c r="O762" s="192" t="n">
        <x:v>17</x:v>
      </x:c>
      <x:c r="P762" s="193" t="b">
        <x:v>1</x:v>
      </x:c>
      <x:c r="Q762" s="193" t="b">
        <x:v>0</x:v>
      </x:c>
      <x:c r="R762" s="193" t="b">
        <x:v>1</x:v>
      </x:c>
      <x:c r="S762" s="193" t="b">
        <x:v>1</x:v>
      </x:c>
      <x:c r="T762" s="192" t="n">
        <x:v>72</x:v>
      </x:c>
      <x:c r="U762" s="192" t="n">
        <x:v>18</x:v>
      </x:c>
      <x:c r="V762" s="200" t="n">
        <x:v>0.2</x:v>
      </x:c>
      <x:c r="W762" s="203" t="n">
        <x:v>900</x:v>
      </x:c>
      <x:c r="X762" s="203" t="n">
        <x:v>16401.1637673537</x:v>
      </x:c>
      <x:c r="Y762" s="203" t="n">
        <x:v>42403.8421568457</x:v>
      </x:c>
      <x:c r="Z762" s="193" t="b">
        <x:v>1</x:v>
      </x:c>
      <x:c r="AA762" s="193" t="b">
        <x:v>0</x:v>
      </x:c>
      <x:c r="AB762" s="193" t="b">
        <x:v>1</x:v>
      </x:c>
      <x:c r="AC762" s="193" t="b">
        <x:v>1</x:v>
      </x:c>
      <x:c r="AD762" s="193" t="b">
        <x:v>1</x:v>
      </x:c>
      <x:c r="AE762" s="193" t="b">
        <x:v>1</x:v>
      </x:c>
      <x:c r="AF762" s="193" t="b">
        <x:v>0</x:v>
      </x:c>
      <x:c r="AG762" s="193" t="b">
        <x:v>1</x:v>
      </x:c>
      <x:c r="AH762" s="193" t="b">
        <x:v>1</x:v>
      </x:c>
      <x:c r="AI762" s="193" t="b">
        <x:v>1</x:v>
      </x:c>
      <x:c r="AJ762" s="193" t="b">
        <x:v>0</x:v>
      </x:c>
    </x:row>
    <x:row r="763">
      <x:c r="A763" s="192" t="n">
        <x:v>792096103347121000</x:v>
      </x:c>
      <x:c r="B763" s="192" t="str">
        <x:v>https://www.airbnb.com.br/rooms/792096103347120988</x:v>
      </x:c>
      <x:c r="C763" s="192" t="str">
        <x:v>Paraíso lindo, sol e mar.</x:v>
      </x:c>
      <x:c r="D763" s="192" t="str">
        <x:v>Tabuleiro dos Oliveiras</x:v>
      </x:c>
      <x:c r="E763" s="192" t="n">
        <x:v>-27.1060009003</x:v>
      </x:c>
      <x:c r="F763" s="192" t="n">
        <x:v>-48.6150016785</x:v>
      </x:c>
      <x:c r="G763" s="192" t="str">
        <x:v>apartamento</x:v>
      </x:c>
      <x:c r="H763" s="192" t="n">
        <x:v>2</x:v>
      </x:c>
      <x:c r="I763" s="192" t="n">
        <x:v>2</x:v>
      </x:c>
      <x:c r="J763" s="192" t="n">
        <x:v>2</x:v>
      </x:c>
      <x:c r="K763" s="192" t="n">
        <x:v>6</x:v>
      </x:c>
      <x:c r="L763" s="192" t="n">
        <x:v>15</x:v>
      </x:c>
      <x:c r="M763" s="192" t="n">
        <x:v>5</x:v>
      </x:c>
      <x:c r="N763" s="192" t="n">
        <x:v>250</x:v>
      </x:c>
      <x:c r="O763" s="192" t="n">
        <x:v>18</x:v>
      </x:c>
      <x:c r="P763" s="193" t="b">
        <x:v>0</x:v>
      </x:c>
      <x:c r="Q763" s="193" t="b">
        <x:v>0</x:v>
      </x:c>
      <x:c r="R763" s="193" t="b">
        <x:v>1</x:v>
      </x:c>
      <x:c r="S763" s="193" t="b">
        <x:v>0</x:v>
      </x:c>
      <x:c r="T763" s="192" t="n">
        <x:v>24</x:v>
      </x:c>
      <x:c r="U763" s="192" t="n">
        <x:v>66</x:v>
      </x:c>
      <x:c r="V763" s="200" t="n">
        <x:v>0.7333333333</x:v>
      </x:c>
      <x:c r="W763" s="203" t="n">
        <x:v>390</x:v>
      </x:c>
      <x:c r="X763" s="203" t="n">
        <x:v>24836.4613607957</x:v>
      </x:c>
      <x:c r="Y763" s="203" t="n">
        <x:v>64212.6011432239</x:v>
      </x:c>
      <x:c r="Z763" s="193" t="b">
        <x:v>0</x:v>
      </x:c>
      <x:c r="AA763" s="193" t="b">
        <x:v>0</x:v>
      </x:c>
      <x:c r="AB763" s="193" t="b">
        <x:v>1</x:v>
      </x:c>
      <x:c r="AC763" s="193" t="b">
        <x:v>1</x:v>
      </x:c>
      <x:c r="AD763" s="193" t="b">
        <x:v>1</x:v>
      </x:c>
      <x:c r="AE763" s="193" t="b">
        <x:v>1</x:v>
      </x:c>
      <x:c r="AF763" s="193" t="b">
        <x:v>1</x:v>
      </x:c>
      <x:c r="AG763" s="193" t="b">
        <x:v>1</x:v>
      </x:c>
      <x:c r="AH763" s="193" t="b">
        <x:v>1</x:v>
      </x:c>
      <x:c r="AI763" s="193" t="b">
        <x:v>1</x:v>
      </x:c>
      <x:c r="AJ763" s="193" t="b">
        <x:v>1</x:v>
      </x:c>
    </x:row>
    <x:row r="764">
      <x:c r="A764" s="192" t="n">
        <x:v>52619006</x:v>
      </x:c>
      <x:c r="B764" s="192" t="str">
        <x:v>https://www.airbnb.com.br/rooms/52619006</x:v>
      </x:c>
      <x:c r="C764" s="192" t="str">
        <x:v>Apartamento Quadra mar
Rua 129E2
Itapema, Centro</x:v>
      </x:c>
      <x:c r="D764" s="192" t="str">
        <x:v>Centro</x:v>
      </x:c>
      <x:c r="E764" s="192" t="n">
        <x:v>-27.09687</x:v>
      </x:c>
      <x:c r="F764" s="192" t="n">
        <x:v>-48.61349</x:v>
      </x:c>
      <x:c r="G764" s="192" t="str">
        <x:v>apartamento</x:v>
      </x:c>
      <x:c r="H764" s="192" t="n">
        <x:v>2</x:v>
      </x:c>
      <x:c r="I764" s="192" t="n">
        <x:v>2</x:v>
      </x:c>
      <x:c r="J764" s="192" t="n">
        <x:v>3</x:v>
      </x:c>
      <x:c r="K764" s="192" t="n">
        <x:v>6</x:v>
      </x:c>
      <x:c r="L764" s="192" t="n">
        <x:v>70</x:v>
      </x:c>
      <x:c r="M764" s="192" t="n">
        <x:v>5</x:v>
      </x:c>
      <x:c r="N764" s="192" t="n">
        <x:v>260</x:v>
      </x:c>
      <x:c r="O764" s="192" t="n">
        <x:v>70</x:v>
      </x:c>
      <x:c r="P764" s="193" t="b">
        <x:v>0</x:v>
      </x:c>
      <x:c r="Q764" s="193" t="b">
        <x:v>0</x:v>
      </x:c>
      <x:c r="R764" s="193" t="b">
        <x:v>1</x:v>
      </x:c>
      <x:c r="S764" s="193" t="b">
        <x:v>1</x:v>
      </x:c>
      <x:c r="T764" s="192" t="n">
        <x:v>38</x:v>
      </x:c>
      <x:c r="U764" s="192" t="n">
        <x:v>52</x:v>
      </x:c>
      <x:c r="V764" s="200" t="n">
        <x:v>0.5777777778</x:v>
      </x:c>
      <x:c r="W764" s="203" t="n">
        <x:v>450</x:v>
      </x:c>
      <x:c r="X764" s="203" t="n">
        <x:v>22987.8331646793</x:v>
      </x:c>
      <x:c r="Y764" s="203" t="n">
        <x:v>59433.1269945145</x:v>
      </x:c>
      <x:c r="Z764" s="193" t="b">
        <x:v>1</x:v>
      </x:c>
      <x:c r="AA764" s="193" t="b">
        <x:v>0</x:v>
      </x:c>
      <x:c r="AB764" s="193" t="b">
        <x:v>1</x:v>
      </x:c>
      <x:c r="AC764" s="193" t="b">
        <x:v>1</x:v>
      </x:c>
      <x:c r="AD764" s="193" t="b">
        <x:v>1</x:v>
      </x:c>
      <x:c r="AE764" s="193" t="b">
        <x:v>1</x:v>
      </x:c>
      <x:c r="AF764" s="193" t="b">
        <x:v>1</x:v>
      </x:c>
      <x:c r="AG764" s="193" t="b">
        <x:v>1</x:v>
      </x:c>
      <x:c r="AH764" s="193" t="b">
        <x:v>1</x:v>
      </x:c>
      <x:c r="AI764" s="193" t="b">
        <x:v>1</x:v>
      </x:c>
      <x:c r="AJ764" s="193" t="b">
        <x:v>1</x:v>
      </x:c>
    </x:row>
    <x:row r="765">
      <x:c r="A765" s="192" t="n">
        <x:v>41686810</x:v>
      </x:c>
      <x:c r="B765" s="192" t="str">
        <x:v>https://www.airbnb.com.br/rooms/41686810</x:v>
      </x:c>
      <x:c r="C765" s="192" t="str">
        <x:v>Quarto em apartamento - Meia Praia - Rua 240</x:v>
      </x:c>
      <x:c r="D765" s="192" t="str">
        <x:v>Meia Praia</x:v>
      </x:c>
      <x:c r="E765" s="192" t="n">
        <x:v>-27.1271</x:v>
      </x:c>
      <x:c r="F765" s="192" t="n">
        <x:v>-48.60526</x:v>
      </x:c>
      <x:c r="G765" s="192" t="str">
        <x:v>outros</x:v>
      </x:c>
      <x:c r="H765" s="192" t="n">
        <x:v>2</x:v>
      </x:c>
      <x:c r="I765" s="192" t="n">
        <x:v>2</x:v>
      </x:c>
      <x:c r="J765" s="192" t="n">
        <x:v>2</x:v>
      </x:c>
      <x:c r="K765" s="192" t="n">
        <x:v>2</x:v>
      </x:c>
      <x:c r="L765" s="192" t="n">
        <x:v>24</x:v>
      </x:c>
      <x:c r="M765" s="192" t="n">
        <x:v>4.7100000381</x:v>
      </x:c>
      <x:c r="N765" s="192" t="n">
        <x:v>100</x:v>
      </x:c>
      <x:c r="O765" s="192" t="n">
        <x:v>32</x:v>
      </x:c>
      <x:c r="P765" s="193" t="b">
        <x:v>0</x:v>
      </x:c>
      <x:c r="Q765" s="193" t="b">
        <x:v>0</x:v>
      </x:c>
      <x:c r="R765" s="193" t="b">
        <x:v>0</x:v>
      </x:c>
      <x:c r="S765" s="193" t="b">
        <x:v>0</x:v>
      </x:c>
      <x:c r="T765" s="192" t="n">
        <x:v>59</x:v>
      </x:c>
      <x:c r="U765" s="192" t="n">
        <x:v>31</x:v>
      </x:c>
      <x:c r="V765" s="200" t="n">
        <x:v>0.3444444444</x:v>
      </x:c>
      <x:c r="W765" s="203" t="n">
        <x:v>100</x:v>
      </x:c>
      <x:c r="X765" s="203" t="n">
        <x:v>3279.43175103</x:v>
      </x:c>
      <x:c r="Y765" s="203" t="n">
        <x:v>8478.6975063088</x:v>
      </x:c>
      <x:c r="Z765" s="193" t="b">
        <x:v>1</x:v>
      </x:c>
      <x:c r="AA765" s="193" t="b">
        <x:v>0</x:v>
      </x:c>
      <x:c r="AB765" s="193" t="b">
        <x:v>1</x:v>
      </x:c>
      <x:c r="AC765" s="193" t="b">
        <x:v>1</x:v>
      </x:c>
      <x:c r="AD765" s="193" t="b">
        <x:v>0</x:v>
      </x:c>
      <x:c r="AE765" s="193" t="b">
        <x:v>0</x:v>
      </x:c>
      <x:c r="AF765" s="193" t="b">
        <x:v>0</x:v>
      </x:c>
      <x:c r="AG765" s="193" t="b">
        <x:v>1</x:v>
      </x:c>
      <x:c r="AH765" s="193" t="b">
        <x:v>1</x:v>
      </x:c>
      <x:c r="AI765" s="193" t="b">
        <x:v>1</x:v>
      </x:c>
      <x:c r="AJ765" s="193" t="b">
        <x:v>1</x:v>
      </x:c>
    </x:row>
    <x:row r="766">
      <x:c r="A766" s="192" t="n">
        <x:v>956398979498945300</x:v>
      </x:c>
      <x:c r="B766" s="192" t="str">
        <x:v>https://www.airbnb.com.br/rooms/956398979498945273</x:v>
      </x:c>
      <x:c r="C766" s="192" t="str">
        <x:v>3 suítes a 150 metros do mar</x:v>
      </x:c>
      <x:c r="D766" s="192" t="str">
        <x:v>Meia Praia</x:v>
      </x:c>
      <x:c r="E766" s="192" t="n">
        <x:v>-27.12121</x:v>
      </x:c>
      <x:c r="F766" s="192" t="n">
        <x:v>-48.60852</x:v>
      </x:c>
      <x:c r="G766" s="192" t="str">
        <x:v>apartamento</x:v>
      </x:c>
      <x:c r="H766" s="192" t="n">
        <x:v>3</x:v>
      </x:c>
      <x:c r="I766" s="192" t="n">
        <x:v>3</x:v>
      </x:c>
      <x:c r="J766" s="192" t="n">
        <x:v>3</x:v>
      </x:c>
      <x:c r="K766" s="192" t="n">
        <x:v>8</x:v>
      </x:c>
      <x:c r="L766" s="192" t="n">
        <x:v>17</x:v>
      </x:c>
      <x:c r="M766" s="192" t="n">
        <x:v>5</x:v>
      </x:c>
      <x:c r="N766" s="192" t="n">
        <x:v>250</x:v>
      </x:c>
      <x:c r="O766" s="192" t="n">
        <x:v>19</x:v>
      </x:c>
      <x:c r="P766" s="193" t="b">
        <x:v>0</x:v>
      </x:c>
      <x:c r="Q766" s="193" t="b">
        <x:v>0</x:v>
      </x:c>
      <x:c r="R766" s="193" t="b">
        <x:v>1</x:v>
      </x:c>
      <x:c r="S766" s="193" t="b">
        <x:v>1</x:v>
      </x:c>
      <x:c r="T766" s="192" t="n">
        <x:v>39</x:v>
      </x:c>
      <x:c r="U766" s="192" t="n">
        <x:v>51</x:v>
      </x:c>
      <x:c r="V766" s="200" t="n">
        <x:v>0.5666666667</x:v>
      </x:c>
      <x:c r="W766" s="203" t="n">
        <x:v>500</x:v>
      </x:c>
      <x:c r="X766" s="203" t="n">
        <x:v>26512.2356864127</x:v>
      </x:c>
      <x:c r="Y766" s="203" t="n">
        <x:v>68545.1760142462</x:v>
      </x:c>
      <x:c r="Z766" s="193" t="b">
        <x:v>0</x:v>
      </x:c>
      <x:c r="AA766" s="193" t="b">
        <x:v>0</x:v>
      </x:c>
      <x:c r="AB766" s="193" t="b">
        <x:v>1</x:v>
      </x:c>
      <x:c r="AC766" s="193" t="b">
        <x:v>1</x:v>
      </x:c>
      <x:c r="AD766" s="193" t="b">
        <x:v>1</x:v>
      </x:c>
      <x:c r="AE766" s="193" t="b">
        <x:v>1</x:v>
      </x:c>
      <x:c r="AF766" s="193" t="b">
        <x:v>1</x:v>
      </x:c>
      <x:c r="AG766" s="193" t="b">
        <x:v>1</x:v>
      </x:c>
      <x:c r="AH766" s="193" t="b">
        <x:v>1</x:v>
      </x:c>
      <x:c r="AI766" s="193" t="b">
        <x:v>1</x:v>
      </x:c>
      <x:c r="AJ766" s="193" t="b">
        <x:v>1</x:v>
      </x:c>
    </x:row>
    <x:row r="767">
      <x:c r="A767" s="192" t="n">
        <x:v>1070343877574441200</x:v>
      </x:c>
      <x:c r="B767" s="192" t="str">
        <x:v>https://www.airbnb.com.br/rooms/1070343877574441166</x:v>
      </x:c>
      <x:c r="C767" s="192" t="str">
        <x:v>Seu Ninho Praiano com 2 Suítes!</x:v>
      </x:c>
      <x:c r="D767" s="192" t="str">
        <x:v>Morretes</x:v>
      </x:c>
      <x:c r="E767" s="192" t="n">
        <x:v>-27.1170005798</x:v>
      </x:c>
      <x:c r="F767" s="192" t="n">
        <x:v>-48.6129989624</x:v>
      </x:c>
      <x:c r="G767" s="192" t="str">
        <x:v>apartamento</x:v>
      </x:c>
      <x:c r="H767" s="192" t="n">
        <x:v>2</x:v>
      </x:c>
      <x:c r="I767" s="192" t="n">
        <x:v>2</x:v>
      </x:c>
      <x:c r="J767" s="192" t="n">
        <x:v>2</x:v>
      </x:c>
      <x:c r="K767" s="192" t="n">
        <x:v>5</x:v>
      </x:c>
      <x:c r="L767" s="192" t="n">
        <x:v>12</x:v>
      </x:c>
      <x:c r="M767" s="192" t="n">
        <x:v>5</x:v>
      </x:c>
      <x:c r="N767" s="192" t="n">
        <x:v>150</x:v>
      </x:c>
      <x:c r="O767" s="192" t="n">
        <x:v>29</x:v>
      </x:c>
      <x:c r="P767" s="193" t="b">
        <x:v>0</x:v>
      </x:c>
      <x:c r="Q767" s="193" t="b">
        <x:v>0</x:v>
      </x:c>
      <x:c r="R767" s="193" t="b">
        <x:v>1</x:v>
      </x:c>
      <x:c r="S767" s="193" t="b">
        <x:v>1</x:v>
      </x:c>
      <x:c r="T767" s="192" t="n">
        <x:v>19</x:v>
      </x:c>
      <x:c r="U767" s="192" t="n">
        <x:v>71</x:v>
      </x:c>
      <x:c r="V767" s="200" t="n">
        <x:v>0.7888888889</x:v>
      </x:c>
      <x:c r="W767" s="203" t="n">
        <x:v>300</x:v>
      </x:c>
      <x:c r="X767" s="203" t="n">
        <x:v>21540.3271293122</x:v>
      </x:c>
      <x:c r="Y767" s="203" t="n">
        <x:v>55690.7207655759</x:v>
      </x:c>
      <x:c r="Z767" s="193" t="b">
        <x:v>1</x:v>
      </x:c>
      <x:c r="AA767" s="193" t="b">
        <x:v>0</x:v>
      </x:c>
      <x:c r="AB767" s="193" t="b">
        <x:v>1</x:v>
      </x:c>
      <x:c r="AC767" s="193" t="b">
        <x:v>1</x:v>
      </x:c>
      <x:c r="AD767" s="193" t="b">
        <x:v>1</x:v>
      </x:c>
      <x:c r="AE767" s="193" t="b">
        <x:v>1</x:v>
      </x:c>
      <x:c r="AF767" s="193" t="b">
        <x:v>1</x:v>
      </x:c>
      <x:c r="AG767" s="193" t="b">
        <x:v>1</x:v>
      </x:c>
      <x:c r="AH767" s="193" t="b">
        <x:v>1</x:v>
      </x:c>
      <x:c r="AI767" s="193" t="b">
        <x:v>1</x:v>
      </x:c>
      <x:c r="AJ767" s="193" t="b">
        <x:v>0</x:v>
      </x:c>
    </x:row>
    <x:row r="768">
      <x:c r="A768" s="192" t="n">
        <x:v>46088002</x:v>
      </x:c>
      <x:c r="B768" s="192" t="str">
        <x:v>https://www.airbnb.com.br/rooms/46088002</x:v>
      </x:c>
      <x:c r="C768" s="192" t="str">
        <x:v>(292) Meia Praia: 350m do mar, com ar-condicionado</x:v>
      </x:c>
      <x:c r="D768" s="192" t="str">
        <x:v>Meia Praia</x:v>
      </x:c>
      <x:c r="E768" s="192" t="n">
        <x:v>-27.1375</x:v>
      </x:c>
      <x:c r="F768" s="192" t="n">
        <x:v>-48.59726</x:v>
      </x:c>
      <x:c r="G768" s="192" t="str">
        <x:v>apartamento</x:v>
      </x:c>
      <x:c r="H768" s="192" t="n">
        <x:v>2</x:v>
      </x:c>
      <x:c r="I768" s="192" t="n">
        <x:v>3</x:v>
      </x:c>
      <x:c r="J768" s="192" t="n">
        <x:v>3</x:v>
      </x:c>
      <x:c r="K768" s="192" t="n">
        <x:v>5</x:v>
      </x:c>
      <x:c r="L768" s="192" t="n">
        <x:v>103</x:v>
      </x:c>
      <x:c r="M768" s="192" t="n">
        <x:v>4.8299999237</x:v>
      </x:c>
      <x:c r="N768" s="192" t="n">
        <x:v>200</x:v>
      </x:c>
      <x:c r="O768" s="192" t="n">
        <x:v>44</x:v>
      </x:c>
      <x:c r="P768" s="193" t="b">
        <x:v>0</x:v>
      </x:c>
      <x:c r="Q768" s="193" t="b">
        <x:v>1</x:v>
      </x:c>
      <x:c r="R768" s="193" t="b">
        <x:v>1</x:v>
      </x:c>
      <x:c r="S768" s="193" t="b">
        <x:v>1</x:v>
      </x:c>
      <x:c r="T768" s="192" t="n">
        <x:v>43</x:v>
      </x:c>
      <x:c r="U768" s="192" t="n">
        <x:v>47</x:v>
      </x:c>
      <x:c r="V768" s="200" t="n">
        <x:v>0.5222222222</x:v>
      </x:c>
      <x:c r="W768" s="203" t="n">
        <x:v>648</x:v>
      </x:c>
      <x:c r="X768" s="203" t="n">
        <x:v>29734.0956344796</x:v>
      </x:c>
      <x:c r="Y768" s="203" t="n">
        <x:v>76875.0264216442</x:v>
      </x:c>
      <x:c r="Z768" s="193" t="b">
        <x:v>1</x:v>
      </x:c>
      <x:c r="AA768" s="193" t="b">
        <x:v>0</x:v>
      </x:c>
      <x:c r="AB768" s="193" t="b">
        <x:v>1</x:v>
      </x:c>
      <x:c r="AC768" s="193" t="b">
        <x:v>1</x:v>
      </x:c>
      <x:c r="AD768" s="193" t="b">
        <x:v>1</x:v>
      </x:c>
      <x:c r="AE768" s="193" t="b">
        <x:v>0</x:v>
      </x:c>
      <x:c r="AF768" s="193" t="b">
        <x:v>0</x:v>
      </x:c>
      <x:c r="AG768" s="193" t="b">
        <x:v>1</x:v>
      </x:c>
      <x:c r="AH768" s="193" t="b">
        <x:v>1</x:v>
      </x:c>
      <x:c r="AI768" s="193" t="b">
        <x:v>1</x:v>
      </x:c>
      <x:c r="AJ768" s="193" t="b">
        <x:v>0</x:v>
      </x:c>
    </x:row>
    <x:row r="769">
      <x:c r="A769" s="192" t="n">
        <x:v>39745810</x:v>
      </x:c>
      <x:c r="B769" s="192" t="str">
        <x:v>https://www.airbnb.com.br/rooms/39745810</x:v>
      </x:c>
      <x:c r="C769" s="192" t="str">
        <x:v>Apartamento Amplo e climatizado</x:v>
      </x:c>
      <x:c r="D769" s="192" t="str">
        <x:v>Meia Praia</x:v>
      </x:c>
      <x:c r="E769" s="192" t="n">
        <x:v>-27.1388312285</x:v>
      </x:c>
      <x:c r="F769" s="192" t="n">
        <x:v>-48.5924334079</x:v>
      </x:c>
      <x:c r="G769" s="192" t="str">
        <x:v>apartamento</x:v>
      </x:c>
      <x:c r="H769" s="192" t="n">
        <x:v>4</x:v>
      </x:c>
      <x:c r="I769" s="192" t="n">
        <x:v>5</x:v>
      </x:c>
      <x:c r="J769" s="192" t="n">
        <x:v>3</x:v>
      </x:c>
      <x:c r="K769" s="192" t="n">
        <x:v>8</x:v>
      </x:c>
      <x:c r="L769" s="192" t="n">
        <x:v>0</x:v>
      </x:c>
      <x:c r="M769" s="192"/>
      <x:c r="N769" s="192" t="n">
        <x:v>700</x:v>
      </x:c>
      <x:c r="O769" s="192" t="n">
        <x:v>0</x:v>
      </x:c>
      <x:c r="P769" s="193" t="b">
        <x:v>0</x:v>
      </x:c>
      <x:c r="Q769" s="193" t="b">
        <x:v>0</x:v>
      </x:c>
      <x:c r="R769" s="193" t="b">
        <x:v>0</x:v>
      </x:c>
      <x:c r="S769" s="193" t="b">
        <x:v>0</x:v>
      </x:c>
      <x:c r="T769" s="192" t="n">
        <x:v>89</x:v>
      </x:c>
      <x:c r="U769" s="192" t="n">
        <x:v>1</x:v>
      </x:c>
      <x:c r="V769" s="200" t="n">
        <x:v>0.0111111111</x:v>
      </x:c>
      <x:c r="W769" s="203" t="n">
        <x:v>2250</x:v>
      </x:c>
      <x:c r="X769" s="203" t="n">
        <x:v>2264.6468563114</x:v>
      </x:c>
      <x:c r="Y769" s="203" t="n">
        <x:v>5855.0557264217</x:v>
      </x:c>
      <x:c r="Z769" s="193" t="b">
        <x:v>1</x:v>
      </x:c>
      <x:c r="AA769" s="193" t="b">
        <x:v>0</x:v>
      </x:c>
      <x:c r="AB769" s="193" t="b">
        <x:v>1</x:v>
      </x:c>
      <x:c r="AC769" s="193" t="b">
        <x:v>1</x:v>
      </x:c>
      <x:c r="AD769" s="193" t="b">
        <x:v>0</x:v>
      </x:c>
      <x:c r="AE769" s="193" t="b">
        <x:v>0</x:v>
      </x:c>
      <x:c r="AF769" s="193" t="b">
        <x:v>1</x:v>
      </x:c>
      <x:c r="AG769" s="193" t="b">
        <x:v>1</x:v>
      </x:c>
      <x:c r="AH769" s="193" t="b">
        <x:v>1</x:v>
      </x:c>
      <x:c r="AI769" s="193" t="b">
        <x:v>1</x:v>
      </x:c>
      <x:c r="AJ769" s="193" t="b">
        <x:v>0</x:v>
      </x:c>
    </x:row>
    <x:row r="770">
      <x:c r="A770" s="192" t="n">
        <x:v>703527486074504600</x:v>
      </x:c>
      <x:c r="B770" s="192" t="str">
        <x:v>https://www.airbnb.com.br/rooms/703527486074504582</x:v>
      </x:c>
      <x:c r="C770" s="192" t="str">
        <x:v>Preço justo e muito bem localizado em Itapema</x:v>
      </x:c>
      <x:c r="D770" s="192" t="str">
        <x:v>Meia Praia</x:v>
      </x:c>
      <x:c r="E770" s="192" t="n">
        <x:v>-27.1405906677</x:v>
      </x:c>
      <x:c r="F770" s="192" t="n">
        <x:v>-48.5980682373</x:v>
      </x:c>
      <x:c r="G770" s="192" t="str">
        <x:v>apartamento</x:v>
      </x:c>
      <x:c r="H770" s="192" t="n">
        <x:v>2</x:v>
      </x:c>
      <x:c r="I770" s="192" t="n">
        <x:v>1</x:v>
      </x:c>
      <x:c r="J770" s="192" t="n">
        <x:v>4</x:v>
      </x:c>
      <x:c r="K770" s="192" t="n">
        <x:v>5</x:v>
      </x:c>
      <x:c r="L770" s="192" t="n">
        <x:v>18</x:v>
      </x:c>
      <x:c r="M770" s="192" t="n">
        <x:v>4.9400000572</x:v>
      </x:c>
      <x:c r="N770" s="192" t="n">
        <x:v>300</x:v>
      </x:c>
      <x:c r="O770" s="192" t="n">
        <x:v>35</x:v>
      </x:c>
      <x:c r="P770" s="193" t="b">
        <x:v>0</x:v>
      </x:c>
      <x:c r="Q770" s="193" t="b">
        <x:v>0</x:v>
      </x:c>
      <x:c r="R770" s="193" t="b">
        <x:v>1</x:v>
      </x:c>
      <x:c r="S770" s="193" t="b">
        <x:v>1</x:v>
      </x:c>
      <x:c r="T770" s="192" t="n">
        <x:v>67</x:v>
      </x:c>
      <x:c r="U770" s="192" t="n">
        <x:v>23</x:v>
      </x:c>
      <x:c r="V770" s="200" t="n">
        <x:v>0.2555555556</x:v>
      </x:c>
      <x:c r="W770" s="203" t="n">
        <x:v>300</x:v>
      </x:c>
      <x:c r="X770" s="203" t="n">
        <x:v>6852.8624122804</x:v>
      </x:c>
      <x:c r="Y770" s="203" t="n">
        <x:v>17717.5046950832</x:v>
      </x:c>
      <x:c r="Z770" s="193" t="b">
        <x:v>1</x:v>
      </x:c>
      <x:c r="AA770" s="193" t="b">
        <x:v>0</x:v>
      </x:c>
      <x:c r="AB770" s="193" t="b">
        <x:v>1</x:v>
      </x:c>
      <x:c r="AC770" s="193" t="b">
        <x:v>1</x:v>
      </x:c>
      <x:c r="AD770" s="193" t="b">
        <x:v>0</x:v>
      </x:c>
      <x:c r="AE770" s="193" t="b">
        <x:v>1</x:v>
      </x:c>
      <x:c r="AF770" s="193" t="b">
        <x:v>1</x:v>
      </x:c>
      <x:c r="AG770" s="193" t="b">
        <x:v>0</x:v>
      </x:c>
      <x:c r="AH770" s="193" t="b">
        <x:v>1</x:v>
      </x:c>
      <x:c r="AI770" s="193" t="b">
        <x:v>1</x:v>
      </x:c>
      <x:c r="AJ770" s="193" t="b">
        <x:v>1</x:v>
      </x:c>
    </x:row>
    <x:row r="771">
      <x:c r="A771" s="192" t="n">
        <x:v>1199996219082185500</x:v>
      </x:c>
      <x:c r="B771" s="192" t="str">
        <x:v>https://www.airbnb.com.br/rooms/1199996219082185363</x:v>
      </x:c>
      <x:c r="C771" s="192" t="str">
        <x:v>Excelente apartamento em lugar tranquilo.</x:v>
      </x:c>
      <x:c r="D771" s="192" t="str">
        <x:v>Morretes</x:v>
      </x:c>
      <x:c r="E771" s="192" t="n">
        <x:v>-27.11627</x:v>
      </x:c>
      <x:c r="F771" s="192" t="n">
        <x:v>-48.6140501</x:v>
      </x:c>
      <x:c r="G771" s="192" t="str">
        <x:v>apartamento</x:v>
      </x:c>
      <x:c r="H771" s="192" t="n">
        <x:v>2</x:v>
      </x:c>
      <x:c r="I771" s="192" t="n">
        <x:v>1</x:v>
      </x:c>
      <x:c r="J771" s="192" t="n">
        <x:v>2</x:v>
      </x:c>
      <x:c r="K771" s="192" t="n">
        <x:v>5</x:v>
      </x:c>
      <x:c r="L771" s="192" t="n">
        <x:v>12</x:v>
      </x:c>
      <x:c r="M771" s="192" t="n">
        <x:v>4.6700000763</x:v>
      </x:c>
      <x:c r="N771" s="192" t="n">
        <x:v>0</x:v>
      </x:c>
      <x:c r="O771" s="192" t="n">
        <x:v>0</x:v>
      </x:c>
      <x:c r="P771" s="192"/>
      <x:c r="Q771" s="192"/>
      <x:c r="R771" s="193" t="b">
        <x:v>0</x:v>
      </x:c>
      <x:c r="S771" s="193" t="b">
        <x:v>0</x:v>
      </x:c>
      <x:c r="T771" s="192" t="n">
        <x:v>54</x:v>
      </x:c>
      <x:c r="U771" s="192" t="n">
        <x:v>36</x:v>
      </x:c>
      <x:c r="V771" s="200" t="n">
        <x:v>0.4</x:v>
      </x:c>
      <x:c r="W771" s="203" t="n">
        <x:v>200</x:v>
      </x:c>
      <x:c r="X771" s="203" t="n">
        <x:v>7452.7507465086</x:v>
      </x:c>
      <x:c r="Y771" s="203" t="n">
        <x:v>19268.4659925358</x:v>
      </x:c>
      <x:c r="Z771" s="193" t="b">
        <x:v>1</x:v>
      </x:c>
      <x:c r="AA771" s="193" t="b">
        <x:v>0</x:v>
      </x:c>
      <x:c r="AB771" s="193" t="b">
        <x:v>1</x:v>
      </x:c>
      <x:c r="AC771" s="193" t="b">
        <x:v>1</x:v>
      </x:c>
      <x:c r="AD771" s="193" t="b">
        <x:v>1</x:v>
      </x:c>
      <x:c r="AE771" s="193" t="b">
        <x:v>0</x:v>
      </x:c>
      <x:c r="AF771" s="193" t="b">
        <x:v>1</x:v>
      </x:c>
      <x:c r="AG771" s="193" t="b">
        <x:v>0</x:v>
      </x:c>
      <x:c r="AH771" s="193" t="b">
        <x:v>1</x:v>
      </x:c>
      <x:c r="AI771" s="193" t="b">
        <x:v>1</x:v>
      </x:c>
      <x:c r="AJ771" s="193" t="b">
        <x:v>0</x:v>
      </x:c>
    </x:row>
    <x:row r="772">
      <x:c r="A772" s="192" t="n">
        <x:v>33336758</x:v>
      </x:c>
      <x:c r="B772" s="192" t="str">
        <x:v>https://www.airbnb.com.br/rooms/33336758</x:v>
      </x:c>
      <x:c r="C772" s="192" t="str">
        <x:v>Lindo 2 suítes aluguel temporada Meia Praia! *023</x:v>
      </x:c>
      <x:c r="D772" s="192" t="str">
        <x:v>Meia Praia</x:v>
      </x:c>
      <x:c r="E772" s="192" t="n">
        <x:v>-27.13058</x:v>
      </x:c>
      <x:c r="F772" s="192" t="n">
        <x:v>-48.60356</x:v>
      </x:c>
      <x:c r="G772" s="192" t="str">
        <x:v>apartamento</x:v>
      </x:c>
      <x:c r="H772" s="192" t="n">
        <x:v>2</x:v>
      </x:c>
      <x:c r="I772" s="192" t="n">
        <x:v>2</x:v>
      </x:c>
      <x:c r="J772" s="192" t="n">
        <x:v>2</x:v>
      </x:c>
      <x:c r="K772" s="192" t="n">
        <x:v>6</x:v>
      </x:c>
      <x:c r="L772" s="192" t="n">
        <x:v>29</x:v>
      </x:c>
      <x:c r="M772" s="192" t="n">
        <x:v>4.8600001335</x:v>
      </x:c>
      <x:c r="N772" s="192" t="n">
        <x:v>250</x:v>
      </x:c>
      <x:c r="O772" s="192" t="n">
        <x:v>27</x:v>
      </x:c>
      <x:c r="P772" s="193" t="b">
        <x:v>0</x:v>
      </x:c>
      <x:c r="Q772" s="193" t="b">
        <x:v>0</x:v>
      </x:c>
      <x:c r="R772" s="193" t="b">
        <x:v>1</x:v>
      </x:c>
      <x:c r="S772" s="193" t="b">
        <x:v>1</x:v>
      </x:c>
      <x:c r="T772" s="192" t="n">
        <x:v>30</x:v>
      </x:c>
      <x:c r="U772" s="192" t="n">
        <x:v>60</x:v>
      </x:c>
      <x:c r="V772" s="200" t="n">
        <x:v>0.6666666667</x:v>
      </x:c>
      <x:c r="W772" s="203" t="n">
        <x:v>480</x:v>
      </x:c>
      <x:c r="X772" s="203" t="n">
        <x:v>28031.9918046435</x:v>
      </x:c>
      <x:c r="Y772" s="203" t="n">
        <x:v>72474.3788115887</x:v>
      </x:c>
      <x:c r="Z772" s="193" t="b">
        <x:v>1</x:v>
      </x:c>
      <x:c r="AA772" s="193" t="b">
        <x:v>0</x:v>
      </x:c>
      <x:c r="AB772" s="193" t="b">
        <x:v>1</x:v>
      </x:c>
      <x:c r="AC772" s="193" t="b">
        <x:v>1</x:v>
      </x:c>
      <x:c r="AD772" s="193" t="b">
        <x:v>1</x:v>
      </x:c>
      <x:c r="AE772" s="193" t="b">
        <x:v>1</x:v>
      </x:c>
      <x:c r="AF772" s="193" t="b">
        <x:v>1</x:v>
      </x:c>
      <x:c r="AG772" s="193" t="b">
        <x:v>1</x:v>
      </x:c>
      <x:c r="AH772" s="193" t="b">
        <x:v>1</x:v>
      </x:c>
      <x:c r="AI772" s="193" t="b">
        <x:v>1</x:v>
      </x:c>
      <x:c r="AJ772" s="193" t="b">
        <x:v>1</x:v>
      </x:c>
    </x:row>
    <x:row r="773">
      <x:c r="A773" s="192" t="n">
        <x:v>923133320997277000</x:v>
      </x:c>
      <x:c r="B773" s="192" t="str">
        <x:v>https://www.airbnb.com.br/rooms/923133320997277084</x:v>
      </x:c>
      <x:c r="C773" s="192" t="str">
        <x:v>Infinity Tower Flat Meia Praia</x:v>
      </x:c>
      <x:c r="D773" s="192" t="str">
        <x:v>Meia Praia</x:v>
      </x:c>
      <x:c r="E773" s="192" t="n">
        <x:v>-27.12641</x:v>
      </x:c>
      <x:c r="F773" s="192" t="n">
        <x:v>-48.60459</x:v>
      </x:c>
      <x:c r="G773" s="192" t="str">
        <x:v>apartamento</x:v>
      </x:c>
      <x:c r="H773" s="192" t="n">
        <x:v>0</x:v>
      </x:c>
      <x:c r="I773" s="192" t="n">
        <x:v>1</x:v>
      </x:c>
      <x:c r="J773" s="192" t="n">
        <x:v>2</x:v>
      </x:c>
      <x:c r="K773" s="192" t="n">
        <x:v>4</x:v>
      </x:c>
      <x:c r="L773" s="192" t="n">
        <x:v>24</x:v>
      </x:c>
      <x:c r="M773" s="192" t="n">
        <x:v>5</x:v>
      </x:c>
      <x:c r="N773" s="192" t="n">
        <x:v>150</x:v>
      </x:c>
      <x:c r="O773" s="192" t="n">
        <x:v>12</x:v>
      </x:c>
      <x:c r="P773" s="193" t="b">
        <x:v>1</x:v>
      </x:c>
      <x:c r="Q773" s="193" t="b">
        <x:v>0</x:v>
      </x:c>
      <x:c r="R773" s="193" t="b">
        <x:v>1</x:v>
      </x:c>
      <x:c r="S773" s="193" t="b">
        <x:v>1</x:v>
      </x:c>
      <x:c r="T773" s="192" t="n">
        <x:v>39</x:v>
      </x:c>
      <x:c r="U773" s="192" t="n">
        <x:v>51</x:v>
      </x:c>
      <x:c r="V773" s="200" t="n">
        <x:v>0.5666666667</x:v>
      </x:c>
      <x:c r="W773" s="203" t="n">
        <x:v>300</x:v>
      </x:c>
      <x:c r="X773" s="203" t="n">
        <x:v>15755.1027363241</x:v>
      </x:c>
      <x:c r="Y773" s="203" t="n">
        <x:v>40733.505199538</x:v>
      </x:c>
      <x:c r="Z773" s="193" t="b">
        <x:v>1</x:v>
      </x:c>
      <x:c r="AA773" s="193" t="b">
        <x:v>1</x:v>
      </x:c>
      <x:c r="AB773" s="193" t="b">
        <x:v>1</x:v>
      </x:c>
      <x:c r="AC773" s="193" t="b">
        <x:v>1</x:v>
      </x:c>
      <x:c r="AD773" s="193" t="b">
        <x:v>0</x:v>
      </x:c>
      <x:c r="AE773" s="193" t="b">
        <x:v>0</x:v>
      </x:c>
      <x:c r="AF773" s="193" t="b">
        <x:v>1</x:v>
      </x:c>
      <x:c r="AG773" s="193" t="b">
        <x:v>1</x:v>
      </x:c>
      <x:c r="AH773" s="193" t="b">
        <x:v>1</x:v>
      </x:c>
      <x:c r="AI773" s="193" t="b">
        <x:v>1</x:v>
      </x:c>
      <x:c r="AJ773" s="193" t="b">
        <x:v>0</x:v>
      </x:c>
    </x:row>
    <x:row r="774">
      <x:c r="A774" s="192" t="n">
        <x:v>48158176</x:v>
      </x:c>
      <x:c r="B774" s="192" t="str">
        <x:v>https://www.airbnb.com.br/rooms/48158176</x:v>
      </x:c>
      <x:c r="C774" s="192" t="str">
        <x:v>Apartamento 100m do mar, próximo ao Burger King.</x:v>
      </x:c>
      <x:c r="D774" s="192" t="str">
        <x:v>Meia Praia</x:v>
      </x:c>
      <x:c r="E774" s="192" t="n">
        <x:v>-27.13105</x:v>
      </x:c>
      <x:c r="F774" s="192" t="n">
        <x:v>-48.5996</x:v>
      </x:c>
      <x:c r="G774" s="192" t="str">
        <x:v>apartamento</x:v>
      </x:c>
      <x:c r="H774" s="192" t="n">
        <x:v>2</x:v>
      </x:c>
      <x:c r="I774" s="192" t="n">
        <x:v>2</x:v>
      </x:c>
      <x:c r="J774" s="192" t="n">
        <x:v>2</x:v>
      </x:c>
      <x:c r="K774" s="192" t="n">
        <x:v>6</x:v>
      </x:c>
      <x:c r="L774" s="192" t="n">
        <x:v>33</x:v>
      </x:c>
      <x:c r="M774" s="192" t="n">
        <x:v>4.9099998474</x:v>
      </x:c>
      <x:c r="N774" s="192" t="n">
        <x:v>280</x:v>
      </x:c>
      <x:c r="O774" s="192" t="n">
        <x:v>18</x:v>
      </x:c>
      <x:c r="P774" s="193" t="b">
        <x:v>1</x:v>
      </x:c>
      <x:c r="Q774" s="193" t="b">
        <x:v>0</x:v>
      </x:c>
      <x:c r="R774" s="193" t="b">
        <x:v>1</x:v>
      </x:c>
      <x:c r="S774" s="193" t="b">
        <x:v>1</x:v>
      </x:c>
      <x:c r="T774" s="192" t="n">
        <x:v>29</x:v>
      </x:c>
      <x:c r="U774" s="192" t="n">
        <x:v>61</x:v>
      </x:c>
      <x:c r="V774" s="200" t="n">
        <x:v>0.6777777778</x:v>
      </x:c>
      <x:c r="W774" s="203" t="n">
        <x:v>390</x:v>
      </x:c>
      <x:c r="X774" s="203" t="n">
        <x:v>24373.4644766228</x:v>
      </x:c>
      <x:c r="Y774" s="203" t="n">
        <x:v>63015.5612822684</x:v>
      </x:c>
      <x:c r="Z774" s="193" t="b">
        <x:v>1</x:v>
      </x:c>
      <x:c r="AA774" s="193" t="b">
        <x:v>0</x:v>
      </x:c>
      <x:c r="AB774" s="193" t="b">
        <x:v>1</x:v>
      </x:c>
      <x:c r="AC774" s="193" t="b">
        <x:v>1</x:v>
      </x:c>
      <x:c r="AD774" s="193" t="b">
        <x:v>1</x:v>
      </x:c>
      <x:c r="AE774" s="193" t="b">
        <x:v>1</x:v>
      </x:c>
      <x:c r="AF774" s="193" t="b">
        <x:v>1</x:v>
      </x:c>
      <x:c r="AG774" s="193" t="b">
        <x:v>1</x:v>
      </x:c>
      <x:c r="AH774" s="193" t="b">
        <x:v>1</x:v>
      </x:c>
      <x:c r="AI774" s="193" t="b">
        <x:v>1</x:v>
      </x:c>
      <x:c r="AJ774" s="193" t="b">
        <x:v>1</x:v>
      </x:c>
    </x:row>
    <x:row r="775">
      <x:c r="A775" s="192" t="n">
        <x:v>694947516825280100</x:v>
      </x:c>
      <x:c r="B775" s="192" t="str">
        <x:v>https://www.airbnb.com.br/rooms/694947516825280143</x:v>
      </x:c>
      <x:c r="C775" s="192" t="str">
        <x:v>Espaçoso e confortável Apartamento à100m da Praia</x:v>
      </x:c>
      <x:c r="D775" s="192" t="str">
        <x:v>Meia Praia</x:v>
      </x:c>
      <x:c r="E775" s="192" t="n">
        <x:v>-27.1302070834</x:v>
      </x:c>
      <x:c r="F775" s="192" t="n">
        <x:v>-48.6008587105</x:v>
      </x:c>
      <x:c r="G775" s="192" t="str">
        <x:v>apartamento</x:v>
      </x:c>
      <x:c r="H775" s="192" t="n">
        <x:v>3</x:v>
      </x:c>
      <x:c r="I775" s="192" t="n">
        <x:v>2</x:v>
      </x:c>
      <x:c r="J775" s="192" t="n">
        <x:v>5</x:v>
      </x:c>
      <x:c r="K775" s="192" t="n">
        <x:v>8</x:v>
      </x:c>
      <x:c r="L775" s="192" t="n">
        <x:v>24</x:v>
      </x:c>
      <x:c r="M775" s="192" t="n">
        <x:v>5</x:v>
      </x:c>
      <x:c r="N775" s="192" t="n">
        <x:v>500</x:v>
      </x:c>
      <x:c r="O775" s="192" t="n">
        <x:v>23</x:v>
      </x:c>
      <x:c r="P775" s="193" t="b">
        <x:v>0</x:v>
      </x:c>
      <x:c r="Q775" s="193" t="b">
        <x:v>0</x:v>
      </x:c>
      <x:c r="R775" s="193" t="b">
        <x:v>1</x:v>
      </x:c>
      <x:c r="S775" s="193" t="b">
        <x:v>1</x:v>
      </x:c>
      <x:c r="T775" s="192" t="n">
        <x:v>21</x:v>
      </x:c>
      <x:c r="U775" s="192" t="n">
        <x:v>69</x:v>
      </x:c>
      <x:c r="V775" s="200" t="n">
        <x:v>0.7666666667</x:v>
      </x:c>
      <x:c r="W775" s="203" t="n">
        <x:v>330</x:v>
      </x:c>
      <x:c r="X775" s="203" t="n">
        <x:v>23119.8585812891</x:v>
      </x:c>
      <x:c r="Y775" s="203" t="n">
        <x:v>59774.4677070412</x:v>
      </x:c>
      <x:c r="Z775" s="193" t="b">
        <x:v>0</x:v>
      </x:c>
      <x:c r="AA775" s="193" t="b">
        <x:v>0</x:v>
      </x:c>
      <x:c r="AB775" s="193" t="b">
        <x:v>1</x:v>
      </x:c>
      <x:c r="AC775" s="193" t="b">
        <x:v>1</x:v>
      </x:c>
      <x:c r="AD775" s="193" t="b">
        <x:v>1</x:v>
      </x:c>
      <x:c r="AE775" s="193" t="b">
        <x:v>1</x:v>
      </x:c>
      <x:c r="AF775" s="193" t="b">
        <x:v>1</x:v>
      </x:c>
      <x:c r="AG775" s="193" t="b">
        <x:v>1</x:v>
      </x:c>
      <x:c r="AH775" s="193" t="b">
        <x:v>1</x:v>
      </x:c>
      <x:c r="AI775" s="193" t="b">
        <x:v>1</x:v>
      </x:c>
      <x:c r="AJ775" s="193" t="b">
        <x:v>1</x:v>
      </x:c>
    </x:row>
    <x:row r="776">
      <x:c r="A776" s="192" t="n">
        <x:v>766052072199682700</x:v>
      </x:c>
      <x:c r="B776" s="192" t="str">
        <x:v>https://www.airbnb.com.br/rooms/766052072199682693</x:v>
      </x:c>
      <x:c r="C776" s="192" t="str">
        <x:v>Apto com Vista Mar em Meia Praia</x:v>
      </x:c>
      <x:c r="D776" s="192" t="str">
        <x:v>Meia Praia</x:v>
      </x:c>
      <x:c r="E776" s="192" t="n">
        <x:v>-27.1219997406</x:v>
      </x:c>
      <x:c r="F776" s="192" t="n">
        <x:v>-48.6059989929</x:v>
      </x:c>
      <x:c r="G776" s="192" t="str">
        <x:v>apartamento</x:v>
      </x:c>
      <x:c r="H776" s="192" t="n">
        <x:v>1</x:v>
      </x:c>
      <x:c r="I776" s="192" t="n">
        <x:v>2</x:v>
      </x:c>
      <x:c r="J776" s="192" t="n">
        <x:v>3</x:v>
      </x:c>
      <x:c r="K776" s="192" t="n">
        <x:v>6</x:v>
      </x:c>
      <x:c r="L776" s="192" t="n">
        <x:v>23</x:v>
      </x:c>
      <x:c r="M776" s="192" t="n">
        <x:v>4.7800002098</x:v>
      </x:c>
      <x:c r="N776" s="192" t="n">
        <x:v>200</x:v>
      </x:c>
      <x:c r="O776" s="192" t="n">
        <x:v>18</x:v>
      </x:c>
      <x:c r="P776" s="193" t="b">
        <x:v>0</x:v>
      </x:c>
      <x:c r="Q776" s="193" t="b">
        <x:v>0</x:v>
      </x:c>
      <x:c r="R776" s="193" t="b">
        <x:v>0</x:v>
      </x:c>
      <x:c r="S776" s="193" t="b">
        <x:v>1</x:v>
      </x:c>
      <x:c r="T776" s="192" t="n">
        <x:v>57</x:v>
      </x:c>
      <x:c r="U776" s="192" t="n">
        <x:v>33</x:v>
      </x:c>
      <x:c r="V776" s="200" t="n">
        <x:v>0.3666666667</x:v>
      </x:c>
      <x:c r="W776" s="203" t="n">
        <x:v>750</x:v>
      </x:c>
      <x:c r="X776" s="203" t="n">
        <x:v>24865.2963083744</x:v>
      </x:c>
      <x:c r="Y776" s="203" t="n">
        <x:v>64287.1514972762</x:v>
      </x:c>
      <x:c r="Z776" s="193" t="b">
        <x:v>1</x:v>
      </x:c>
      <x:c r="AA776" s="193" t="b">
        <x:v>0</x:v>
      </x:c>
      <x:c r="AB776" s="193" t="b">
        <x:v>1</x:v>
      </x:c>
      <x:c r="AC776" s="193" t="b">
        <x:v>1</x:v>
      </x:c>
      <x:c r="AD776" s="193" t="b">
        <x:v>1</x:v>
      </x:c>
      <x:c r="AE776" s="193" t="b">
        <x:v>1</x:v>
      </x:c>
      <x:c r="AF776" s="193" t="b">
        <x:v>1</x:v>
      </x:c>
      <x:c r="AG776" s="193" t="b">
        <x:v>1</x:v>
      </x:c>
      <x:c r="AH776" s="193" t="b">
        <x:v>1</x:v>
      </x:c>
      <x:c r="AI776" s="193" t="b">
        <x:v>1</x:v>
      </x:c>
      <x:c r="AJ776" s="193" t="b">
        <x:v>1</x:v>
      </x:c>
    </x:row>
    <x:row r="777">
      <x:c r="A777" s="192" t="n">
        <x:v>52969803</x:v>
      </x:c>
      <x:c r="B777" s="192" t="str">
        <x:v>https://www.airbnb.com.br/rooms/52969803</x:v>
      </x:c>
      <x:c r="C777" s="192" t="str">
        <x:v>Aconchego Agnes</x:v>
      </x:c>
      <x:c r="D777" s="192" t="str">
        <x:v>Centro</x:v>
      </x:c>
      <x:c r="E777" s="192" t="n">
        <x:v>-27.09458</x:v>
      </x:c>
      <x:c r="F777" s="192" t="n">
        <x:v>-48.61383</x:v>
      </x:c>
      <x:c r="G777" s="192" t="str">
        <x:v>apartamento</x:v>
      </x:c>
      <x:c r="H777" s="192" t="n">
        <x:v>2</x:v>
      </x:c>
      <x:c r="I777" s="192" t="n">
        <x:v>2</x:v>
      </x:c>
      <x:c r="J777" s="192" t="n">
        <x:v>3</x:v>
      </x:c>
      <x:c r="K777" s="192" t="n">
        <x:v>5</x:v>
      </x:c>
      <x:c r="L777" s="192" t="n">
        <x:v>27</x:v>
      </x:c>
      <x:c r="M777" s="192" t="n">
        <x:v>5</x:v>
      </x:c>
      <x:c r="N777" s="192" t="n">
        <x:v>160</x:v>
      </x:c>
      <x:c r="O777" s="192" t="n">
        <x:v>30</x:v>
      </x:c>
      <x:c r="P777" s="193" t="b">
        <x:v>0</x:v>
      </x:c>
      <x:c r="Q777" s="193" t="b">
        <x:v>0</x:v>
      </x:c>
      <x:c r="R777" s="193" t="b">
        <x:v>1</x:v>
      </x:c>
      <x:c r="S777" s="193" t="b">
        <x:v>1</x:v>
      </x:c>
      <x:c r="T777" s="192" t="n">
        <x:v>61</x:v>
      </x:c>
      <x:c r="U777" s="192" t="n">
        <x:v>29</x:v>
      </x:c>
      <x:c r="V777" s="200" t="n">
        <x:v>0.3222222222</x:v>
      </x:c>
      <x:c r="W777" s="203" t="n">
        <x:v>350</x:v>
      </x:c>
      <x:c r="X777" s="203" t="n">
        <x:v>10552.2022226115</x:v>
      </x:c>
      <x:c r="Y777" s="203" t="n">
        <x:v>27281.8394963769</x:v>
      </x:c>
      <x:c r="Z777" s="193" t="b">
        <x:v>1</x:v>
      </x:c>
      <x:c r="AA777" s="193" t="b">
        <x:v>0</x:v>
      </x:c>
      <x:c r="AB777" s="193" t="b">
        <x:v>1</x:v>
      </x:c>
      <x:c r="AC777" s="193" t="b">
        <x:v>1</x:v>
      </x:c>
      <x:c r="AD777" s="193" t="b">
        <x:v>1</x:v>
      </x:c>
      <x:c r="AE777" s="193" t="b">
        <x:v>1</x:v>
      </x:c>
      <x:c r="AF777" s="193" t="b">
        <x:v>0</x:v>
      </x:c>
      <x:c r="AG777" s="193" t="b">
        <x:v>1</x:v>
      </x:c>
      <x:c r="AH777" s="193" t="b">
        <x:v>1</x:v>
      </x:c>
      <x:c r="AI777" s="193" t="b">
        <x:v>1</x:v>
      </x:c>
      <x:c r="AJ777" s="193" t="b">
        <x:v>0</x:v>
      </x:c>
    </x:row>
    <x:row r="778">
      <x:c r="A778" s="192" t="n">
        <x:v>28429135</x:v>
      </x:c>
      <x:c r="B778" s="192" t="str">
        <x:v>https://www.airbnb.com.br/rooms/28429135</x:v>
      </x:c>
      <x:c r="C778" s="192" t="str">
        <x:v>Próximo mar,mercado,bcos,3 dorm 140m2 c/internet</x:v>
      </x:c>
      <x:c r="D778" s="192" t="str">
        <x:v>Meia Praia</x:v>
      </x:c>
      <x:c r="E778" s="192" t="n">
        <x:v>-27.12125</x:v>
      </x:c>
      <x:c r="F778" s="192" t="n">
        <x:v>-48.60759</x:v>
      </x:c>
      <x:c r="G778" s="192" t="str">
        <x:v>apartamento</x:v>
      </x:c>
      <x:c r="H778" s="192" t="n">
        <x:v>0</x:v>
      </x:c>
      <x:c r="I778" s="192" t="n">
        <x:v>0</x:v>
      </x:c>
      <x:c r="J778" s="192" t="n">
        <x:v>1</x:v>
      </x:c>
      <x:c r="K778" s="192" t="n">
        <x:v>8</x:v>
      </x:c>
      <x:c r="L778" s="192" t="n">
        <x:v>11</x:v>
      </x:c>
      <x:c r="M778" s="192" t="n">
        <x:v>4.9099998474</x:v>
      </x:c>
      <x:c r="N778" s="192" t="n">
        <x:v>350</x:v>
      </x:c>
      <x:c r="O778" s="192" t="n">
        <x:v>27</x:v>
      </x:c>
      <x:c r="P778" s="193" t="b">
        <x:v>0</x:v>
      </x:c>
      <x:c r="Q778" s="193" t="b">
        <x:v>0</x:v>
      </x:c>
      <x:c r="R778" s="193" t="b">
        <x:v>0</x:v>
      </x:c>
      <x:c r="S778" s="193" t="b">
        <x:v>0</x:v>
      </x:c>
      <x:c r="T778" s="192" t="n">
        <x:v>63</x:v>
      </x:c>
      <x:c r="U778" s="192" t="n">
        <x:v>27</x:v>
      </x:c>
      <x:c r="V778" s="200" t="n">
        <x:v>0.3</x:v>
      </x:c>
      <x:c r="W778" s="203" t="n">
        <x:v>330.8</x:v>
      </x:c>
      <x:c r="X778" s="203" t="n">
        <x:v>8892.7411718899</x:v>
      </x:c>
      <x:c r="Y778" s="203" t="n">
        <x:v>22991.4412381571</x:v>
      </x:c>
      <x:c r="Z778" s="193" t="b">
        <x:v>1</x:v>
      </x:c>
      <x:c r="AA778" s="193" t="b">
        <x:v>0</x:v>
      </x:c>
      <x:c r="AB778" s="193" t="b">
        <x:v>1</x:v>
      </x:c>
      <x:c r="AC778" s="193" t="b">
        <x:v>1</x:v>
      </x:c>
      <x:c r="AD778" s="193" t="b">
        <x:v>1</x:v>
      </x:c>
      <x:c r="AE778" s="193" t="b">
        <x:v>1</x:v>
      </x:c>
      <x:c r="AF778" s="193" t="b">
        <x:v>1</x:v>
      </x:c>
      <x:c r="AG778" s="193" t="b">
        <x:v>1</x:v>
      </x:c>
      <x:c r="AH778" s="193" t="b">
        <x:v>1</x:v>
      </x:c>
      <x:c r="AI778" s="193" t="b">
        <x:v>1</x:v>
      </x:c>
      <x:c r="AJ778" s="193" t="b">
        <x:v>1</x:v>
      </x:c>
    </x:row>
    <x:row r="779">
      <x:c r="A779" s="192" t="n">
        <x:v>15500038</x:v>
      </x:c>
      <x:c r="B779" s="192" t="str">
        <x:v>https://www.airbnb.com.br/rooms/15500038</x:v>
      </x:c>
      <x:c r="C779" s="192" t="str">
        <x:v>Lindo Apartamento na quadra do Mar!</x:v>
      </x:c>
      <x:c r="D779" s="192" t="str">
        <x:v>Meia Praia</x:v>
      </x:c>
      <x:c r="E779" s="192" t="n">
        <x:v>-27.14104</x:v>
      </x:c>
      <x:c r="F779" s="192" t="n">
        <x:v>-48.59176</x:v>
      </x:c>
      <x:c r="G779" s="192" t="str">
        <x:v>apartamento</x:v>
      </x:c>
      <x:c r="H779" s="192" t="n">
        <x:v>3</x:v>
      </x:c>
      <x:c r="I779" s="192" t="n">
        <x:v>2</x:v>
      </x:c>
      <x:c r="J779" s="192" t="n">
        <x:v>4</x:v>
      </x:c>
      <x:c r="K779" s="192" t="n">
        <x:v>9</x:v>
      </x:c>
      <x:c r="L779" s="192" t="n">
        <x:v>25</x:v>
      </x:c>
      <x:c r="M779" s="192" t="n">
        <x:v>4.8800001144</x:v>
      </x:c>
      <x:c r="N779" s="192" t="n">
        <x:v>300</x:v>
      </x:c>
      <x:c r="O779" s="192" t="n">
        <x:v>12</x:v>
      </x:c>
      <x:c r="P779" s="193" t="b">
        <x:v>0</x:v>
      </x:c>
      <x:c r="Q779" s="193" t="b">
        <x:v>0</x:v>
      </x:c>
      <x:c r="R779" s="193" t="b">
        <x:v>1</x:v>
      </x:c>
      <x:c r="S779" s="193" t="b">
        <x:v>1</x:v>
      </x:c>
      <x:c r="T779" s="192" t="n">
        <x:v>59</x:v>
      </x:c>
      <x:c r="U779" s="192" t="n">
        <x:v>31</x:v>
      </x:c>
      <x:c r="V779" s="200" t="n">
        <x:v>0.3444444444</x:v>
      </x:c>
      <x:c r="W779" s="203" t="n">
        <x:v>380</x:v>
      </x:c>
      <x:c r="X779" s="203" t="n">
        <x:v>12214.8974057044</x:v>
      </x:c>
      <x:c r="Y779" s="203" t="n">
        <x:v>31580.5993343315</x:v>
      </x:c>
      <x:c r="Z779" s="193" t="b">
        <x:v>1</x:v>
      </x:c>
      <x:c r="AA779" s="193" t="b">
        <x:v>0</x:v>
      </x:c>
      <x:c r="AB779" s="193" t="b">
        <x:v>1</x:v>
      </x:c>
      <x:c r="AC779" s="193" t="b">
        <x:v>1</x:v>
      </x:c>
      <x:c r="AD779" s="193" t="b">
        <x:v>1</x:v>
      </x:c>
      <x:c r="AE779" s="193" t="b">
        <x:v>0</x:v>
      </x:c>
      <x:c r="AF779" s="193" t="b">
        <x:v>1</x:v>
      </x:c>
      <x:c r="AG779" s="193" t="b">
        <x:v>1</x:v>
      </x:c>
      <x:c r="AH779" s="193" t="b">
        <x:v>1</x:v>
      </x:c>
      <x:c r="AI779" s="193" t="b">
        <x:v>1</x:v>
      </x:c>
      <x:c r="AJ779" s="193" t="b">
        <x:v>1</x:v>
      </x:c>
    </x:row>
    <x:row r="780">
      <x:c r="A780" s="192" t="n">
        <x:v>26708551</x:v>
      </x:c>
      <x:c r="B780" s="192" t="str">
        <x:v>https://www.airbnb.com.br/rooms/26708551</x:v>
      </x:c>
      <x:c r="C780" s="192" t="str">
        <x:v>Nilmare Apart Hotel - Apartamento tipo 0</x:v>
      </x:c>
      <x:c r="D780" s="192" t="str">
        <x:v>Centro</x:v>
      </x:c>
      <x:c r="E780" s="192" t="n">
        <x:v>-27.09036</x:v>
      </x:c>
      <x:c r="F780" s="192" t="n">
        <x:v>-48.61327</x:v>
      </x:c>
      <x:c r="G780" s="192" t="str">
        <x:v>apartamento</x:v>
      </x:c>
      <x:c r="H780" s="192" t="n">
        <x:v>3</x:v>
      </x:c>
      <x:c r="I780" s="192" t="n">
        <x:v>2</x:v>
      </x:c>
      <x:c r="J780" s="192" t="n">
        <x:v>7</x:v>
      </x:c>
      <x:c r="K780" s="192" t="n">
        <x:v>10</x:v>
      </x:c>
      <x:c r="L780" s="192" t="n">
        <x:v>361</x:v>
      </x:c>
      <x:c r="M780" s="192" t="n">
        <x:v>4.8299999237</x:v>
      </x:c>
      <x:c r="N780" s="192" t="n">
        <x:v>60</x:v>
      </x:c>
      <x:c r="O780" s="192" t="n">
        <x:v>19</x:v>
      </x:c>
      <x:c r="P780" s="193" t="b">
        <x:v>1</x:v>
      </x:c>
      <x:c r="Q780" s="193" t="b">
        <x:v>1</x:v>
      </x:c>
      <x:c r="R780" s="193" t="b">
        <x:v>0</x:v>
      </x:c>
      <x:c r="S780" s="193" t="b">
        <x:v>1</x:v>
      </x:c>
      <x:c r="T780" s="192" t="n">
        <x:v>60</x:v>
      </x:c>
      <x:c r="U780" s="192" t="n">
        <x:v>30</x:v>
      </x:c>
      <x:c r="V780" s="200" t="n">
        <x:v>0.3333333333</x:v>
      </x:c>
      <x:c r="W780" s="203" t="n">
        <x:v>425.25</x:v>
      </x:c>
      <x:c r="X780" s="203" t="n">
        <x:v>12562.5542627504</x:v>
      </x:c>
      <x:c r="Y780" s="203" t="n">
        <x:v>32479.4371668193</x:v>
      </x:c>
      <x:c r="Z780" s="193" t="b">
        <x:v>1</x:v>
      </x:c>
      <x:c r="AA780" s="193" t="b">
        <x:v>1</x:v>
      </x:c>
      <x:c r="AB780" s="193" t="b">
        <x:v>1</x:v>
      </x:c>
      <x:c r="AC780" s="193" t="b">
        <x:v>1</x:v>
      </x:c>
      <x:c r="AD780" s="193" t="b">
        <x:v>0</x:v>
      </x:c>
      <x:c r="AE780" s="193" t="b">
        <x:v>0</x:v>
      </x:c>
      <x:c r="AF780" s="193" t="b">
        <x:v>1</x:v>
      </x:c>
      <x:c r="AG780" s="193" t="b">
        <x:v>1</x:v>
      </x:c>
      <x:c r="AH780" s="193" t="b">
        <x:v>1</x:v>
      </x:c>
      <x:c r="AI780" s="193" t="b">
        <x:v>1</x:v>
      </x:c>
      <x:c r="AJ780" s="193" t="b">
        <x:v>1</x:v>
      </x:c>
    </x:row>
    <x:row r="781">
      <x:c r="A781" s="194" t="n">
        <x:v>939325387438995800</x:v>
      </x:c>
      <x:c r="B781" s="194" t="str">
        <x:v>https://www.airbnb.com.br/rooms/939325387438995809</x:v>
      </x:c>
      <x:c r="C781" s="194" t="str">
        <x:v>Apto quadra mar novo</x:v>
      </x:c>
      <x:c r="D781" s="194" t="str">
        <x:v>Meia Praia</x:v>
      </x:c>
      <x:c r="E781" s="194" t="n">
        <x:v>-27.1439990997</x:v>
      </x:c>
      <x:c r="F781" s="194" t="n">
        <x:v>-48.5880012512</x:v>
      </x:c>
      <x:c r="G781" s="194" t="str">
        <x:v>apartamento</x:v>
      </x:c>
      <x:c r="H781" s="194" t="n">
        <x:v>4</x:v>
      </x:c>
      <x:c r="I781" s="194" t="n">
        <x:v>5</x:v>
      </x:c>
      <x:c r="J781" s="194" t="n">
        <x:v>5</x:v>
      </x:c>
      <x:c r="K781" s="194" t="n">
        <x:v>13</x:v>
      </x:c>
      <x:c r="L781" s="194" t="n">
        <x:v>4</x:v>
      </x:c>
      <x:c r="M781" s="194" t="n">
        <x:v>5</x:v>
      </x:c>
      <x:c r="N781" s="194" t="n">
        <x:v>400</x:v>
      </x:c>
      <x:c r="O781" s="194" t="n">
        <x:v>20</x:v>
      </x:c>
      <x:c r="P781" s="195" t="b">
        <x:v>0</x:v>
      </x:c>
      <x:c r="Q781" s="195" t="b">
        <x:v>0</x:v>
      </x:c>
      <x:c r="R781" s="195" t="b">
        <x:v>0</x:v>
      </x:c>
      <x:c r="S781" s="195" t="b">
        <x:v>0</x:v>
      </x:c>
      <x:c r="T781" s="194" t="n">
        <x:v>68</x:v>
      </x:c>
      <x:c r="U781" s="194" t="n">
        <x:v>22</x:v>
      </x:c>
      <x:c r="V781" s="201" t="n">
        <x:v>0.2444444444</x:v>
      </x:c>
      <x:c r="W781" s="204" t="n">
        <x:v>1200</x:v>
      </x:c>
      <x:c r="X781" s="204" t="n">
        <x:v>28868.4794309479</x:v>
      </x:c>
      <x:c r="Y781" s="204" t="n">
        <x:v>74637.0478620965</x:v>
      </x:c>
      <x:c r="Z781" s="195" t="b">
        <x:v>1</x:v>
      </x:c>
      <x:c r="AA781" s="195" t="b">
        <x:v>0</x:v>
      </x:c>
      <x:c r="AB781" s="195" t="b">
        <x:v>1</x:v>
      </x:c>
      <x:c r="AC781" s="195" t="b">
        <x:v>1</x:v>
      </x:c>
      <x:c r="AD781" s="195" t="b">
        <x:v>0</x:v>
      </x:c>
      <x:c r="AE781" s="195" t="b">
        <x:v>0</x:v>
      </x:c>
      <x:c r="AF781" s="195" t="b">
        <x:v>1</x:v>
      </x:c>
      <x:c r="AG781" s="195" t="b">
        <x:v>1</x:v>
      </x:c>
      <x:c r="AH781" s="195" t="b">
        <x:v>1</x:v>
      </x:c>
      <x:c r="AI781" s="195" t="b">
        <x:v>1</x:v>
      </x:c>
      <x:c r="AJ781" s="195" t="b">
        <x:v>0</x:v>
      </x:c>
    </x:row>
  </x:sheetData>
  <x:mergeCells>
    <x:mergeCell ref="A1:Z1"/>
    <x:mergeCell ref="A2:Z2"/>
  </x:mergeCells>
  <x:pageMargins left="0.7" right="0.7" top="0.75" bottom="0.75" header="0.3" footer="0.3"/>
</x:worksheet>
</file>